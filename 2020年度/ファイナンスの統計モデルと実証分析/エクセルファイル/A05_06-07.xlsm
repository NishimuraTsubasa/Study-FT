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5" yWindow="-15" windowWidth="12600" windowHeight="12210"/>
  </bookViews>
  <sheets>
    <sheet name="問題5.6-5.7" sheetId="4" r:id="rId1"/>
    <sheet name="問題5.6-5.7解答例" sheetId="1" r:id="rId2"/>
    <sheet name="Sheet2" sheetId="2" r:id="rId3"/>
    <sheet name="Sheet3" sheetId="3" r:id="rId4"/>
  </sheets>
  <functionGroups builtInGroupCount="17"/>
  <definedNames>
    <definedName name="a" localSheetId="0">'問題5.6-5.7'!$F$6</definedName>
    <definedName name="a" localSheetId="1">'問題5.6-5.7解答例'!$F$6</definedName>
    <definedName name="b" localSheetId="0">'問題5.6-5.7'!$F$7</definedName>
    <definedName name="b" localSheetId="1">'問題5.6-5.7解答例'!$F$7</definedName>
    <definedName name="dt" localSheetId="0">'問題5.6-5.7'!$F$12</definedName>
    <definedName name="dt" localSheetId="1">'問題5.6-5.7解答例'!$F$12</definedName>
    <definedName name="lambda" localSheetId="0">'問題5.6-5.7'!$F$9</definedName>
    <definedName name="lambda" localSheetId="1">'問題5.6-5.7解答例'!$F$9</definedName>
    <definedName name="rbar" localSheetId="0">'問題5.6-5.7'!$F$11</definedName>
    <definedName name="rbar">'問題5.6-5.7解答例'!$F$11</definedName>
    <definedName name="sigma" localSheetId="0">'問題5.6-5.7'!$F$8</definedName>
    <definedName name="sigma" localSheetId="1">'問題5.6-5.7解答例'!$F$8</definedName>
    <definedName name="uho" localSheetId="0">'問題5.6-5.7'!$K$6</definedName>
    <definedName name="uho">'問題5.6-5.7解答例'!$K$6</definedName>
  </definedNames>
  <calcPr calcId="145621"/>
</workbook>
</file>

<file path=xl/calcChain.xml><?xml version="1.0" encoding="utf-8"?>
<calcChain xmlns="http://schemas.openxmlformats.org/spreadsheetml/2006/main">
  <c r="C57" i="4" l="1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D22" i="4"/>
  <c r="D23" i="4" s="1"/>
  <c r="D24" i="4" s="1"/>
  <c r="D25" i="4" s="1"/>
  <c r="D26" i="4" s="1"/>
  <c r="D27" i="4" s="1"/>
  <c r="D28" i="4" s="1"/>
  <c r="D29" i="4" s="1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D52" i="4" s="1"/>
  <c r="D53" i="4" s="1"/>
  <c r="D54" i="4" s="1"/>
  <c r="D55" i="4" s="1"/>
  <c r="D56" i="4" s="1"/>
  <c r="D57" i="4" s="1"/>
  <c r="C22" i="4"/>
  <c r="G22" i="4" s="1"/>
  <c r="C21" i="4"/>
  <c r="F12" i="4"/>
  <c r="F11" i="4"/>
  <c r="M6" i="4"/>
  <c r="G23" i="4" l="1"/>
  <c r="C22" i="1"/>
  <c r="E22" i="1" s="1"/>
  <c r="F22" i="1" s="1"/>
  <c r="C23" i="1"/>
  <c r="E23" i="1" s="1"/>
  <c r="C24" i="1"/>
  <c r="E24" i="1" s="1"/>
  <c r="C25" i="1"/>
  <c r="E25" i="1" s="1"/>
  <c r="C26" i="1"/>
  <c r="E26" i="1" s="1"/>
  <c r="C27" i="1"/>
  <c r="E27" i="1" s="1"/>
  <c r="C28" i="1"/>
  <c r="E28" i="1" s="1"/>
  <c r="C29" i="1"/>
  <c r="E29" i="1" s="1"/>
  <c r="C30" i="1"/>
  <c r="E30" i="1" s="1"/>
  <c r="C31" i="1"/>
  <c r="E31" i="1" s="1"/>
  <c r="C32" i="1"/>
  <c r="E32" i="1" s="1"/>
  <c r="C33" i="1"/>
  <c r="E33" i="1" s="1"/>
  <c r="C34" i="1"/>
  <c r="E34" i="1" s="1"/>
  <c r="C35" i="1"/>
  <c r="E35" i="1" s="1"/>
  <c r="C36" i="1"/>
  <c r="E36" i="1" s="1"/>
  <c r="C37" i="1"/>
  <c r="E37" i="1" s="1"/>
  <c r="C38" i="1"/>
  <c r="E38" i="1" s="1"/>
  <c r="C39" i="1"/>
  <c r="E39" i="1" s="1"/>
  <c r="C40" i="1"/>
  <c r="E40" i="1" s="1"/>
  <c r="C41" i="1"/>
  <c r="E41" i="1" s="1"/>
  <c r="C42" i="1"/>
  <c r="E42" i="1" s="1"/>
  <c r="C43" i="1"/>
  <c r="E43" i="1" s="1"/>
  <c r="C44" i="1"/>
  <c r="E44" i="1" s="1"/>
  <c r="C45" i="1"/>
  <c r="E45" i="1" s="1"/>
  <c r="C46" i="1"/>
  <c r="E46" i="1" s="1"/>
  <c r="C47" i="1"/>
  <c r="E47" i="1" s="1"/>
  <c r="C48" i="1"/>
  <c r="E48" i="1" s="1"/>
  <c r="C49" i="1"/>
  <c r="E49" i="1" s="1"/>
  <c r="C50" i="1"/>
  <c r="E50" i="1" s="1"/>
  <c r="C51" i="1"/>
  <c r="E51" i="1" s="1"/>
  <c r="C52" i="1"/>
  <c r="E52" i="1" s="1"/>
  <c r="C53" i="1"/>
  <c r="E53" i="1" s="1"/>
  <c r="C54" i="1"/>
  <c r="E54" i="1" s="1"/>
  <c r="C55" i="1"/>
  <c r="E55" i="1" s="1"/>
  <c r="C56" i="1"/>
  <c r="E56" i="1" s="1"/>
  <c r="C57" i="1"/>
  <c r="E57" i="1" s="1"/>
  <c r="C21" i="1"/>
  <c r="F11" i="1"/>
  <c r="F12" i="1"/>
  <c r="M6" i="1"/>
  <c r="D22" i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M21" i="1"/>
  <c r="Q21" i="1"/>
  <c r="AA21" i="1"/>
  <c r="AT21" i="1"/>
  <c r="AD21" i="1"/>
  <c r="AG21" i="1"/>
  <c r="I21" i="1"/>
  <c r="Z21" i="1"/>
  <c r="AU21" i="1"/>
  <c r="AO21" i="1"/>
  <c r="AK21" i="1"/>
  <c r="AS21" i="1"/>
  <c r="AP21" i="1"/>
  <c r="AQ21" i="1"/>
  <c r="R21" i="1"/>
  <c r="K21" i="1"/>
  <c r="P21" i="1"/>
  <c r="U21" i="1"/>
  <c r="T21" i="1"/>
  <c r="W21" i="1"/>
  <c r="Y21" i="1"/>
  <c r="AE21" i="1"/>
  <c r="AL21" i="1"/>
  <c r="AI21" i="1"/>
  <c r="AJ21" i="1"/>
  <c r="J21" i="1"/>
  <c r="N21" i="1"/>
  <c r="S21" i="1"/>
  <c r="AC21" i="1"/>
  <c r="V21" i="1"/>
  <c r="AR21" i="1"/>
  <c r="X21" i="1"/>
  <c r="O21" i="1"/>
  <c r="AV21" i="1"/>
  <c r="AN21" i="1"/>
  <c r="AF21" i="1"/>
  <c r="AB21" i="1"/>
  <c r="AH21" i="1"/>
  <c r="AM21" i="1"/>
  <c r="L21" i="1"/>
  <c r="G24" i="4" l="1"/>
  <c r="G22" i="1"/>
  <c r="P22" i="1"/>
  <c r="Q22" i="1"/>
  <c r="AH22" i="1"/>
  <c r="AB22" i="1"/>
  <c r="AO22" i="1"/>
  <c r="AM22" i="1"/>
  <c r="AS22" i="1"/>
  <c r="M22" i="1"/>
  <c r="Z22" i="1"/>
  <c r="V22" i="1"/>
  <c r="U22" i="1"/>
  <c r="T22" i="1"/>
  <c r="AA22" i="1"/>
  <c r="L22" i="1"/>
  <c r="N22" i="1"/>
  <c r="AP22" i="1"/>
  <c r="W22" i="1"/>
  <c r="AC22" i="1"/>
  <c r="AL22" i="1"/>
  <c r="AJ22" i="1"/>
  <c r="AQ22" i="1"/>
  <c r="AV22" i="1"/>
  <c r="AN22" i="1"/>
  <c r="AR22" i="1"/>
  <c r="I22" i="1"/>
  <c r="X22" i="1"/>
  <c r="AF22" i="1"/>
  <c r="AK22" i="1"/>
  <c r="O22" i="1"/>
  <c r="R22" i="1"/>
  <c r="AD22" i="1"/>
  <c r="AE22" i="1"/>
  <c r="AU22" i="1"/>
  <c r="S22" i="1"/>
  <c r="K22" i="1"/>
  <c r="Y22" i="1"/>
  <c r="AG22" i="1"/>
  <c r="AT22" i="1"/>
  <c r="AI22" i="1"/>
  <c r="J22" i="1"/>
  <c r="G25" i="4" l="1"/>
  <c r="F23" i="1"/>
  <c r="G23" i="1" s="1"/>
  <c r="AQ23" i="1"/>
  <c r="AM23" i="1"/>
  <c r="X23" i="1"/>
  <c r="AK23" i="1"/>
  <c r="AN23" i="1"/>
  <c r="AS23" i="1"/>
  <c r="AT23" i="1"/>
  <c r="R23" i="1"/>
  <c r="S23" i="1"/>
  <c r="Y23" i="1"/>
  <c r="V23" i="1"/>
  <c r="AF23" i="1"/>
  <c r="AB23" i="1"/>
  <c r="AC23" i="1"/>
  <c r="AL23" i="1"/>
  <c r="W23" i="1"/>
  <c r="I23" i="1"/>
  <c r="AV23" i="1"/>
  <c r="AR23" i="1"/>
  <c r="AJ23" i="1"/>
  <c r="P23" i="1"/>
  <c r="L23" i="1"/>
  <c r="M23" i="1"/>
  <c r="AD23" i="1"/>
  <c r="AH23" i="1"/>
  <c r="AE23" i="1"/>
  <c r="AO23" i="1"/>
  <c r="AA23" i="1"/>
  <c r="Q23" i="1"/>
  <c r="AP23" i="1"/>
  <c r="AG23" i="1"/>
  <c r="K23" i="1"/>
  <c r="J23" i="1"/>
  <c r="AI23" i="1"/>
  <c r="U23" i="1"/>
  <c r="T23" i="1"/>
  <c r="Z23" i="1"/>
  <c r="AU23" i="1"/>
  <c r="N23" i="1"/>
  <c r="O23" i="1"/>
  <c r="G26" i="4" l="1"/>
  <c r="F24" i="1"/>
  <c r="G24" i="1" s="1"/>
  <c r="M24" i="1"/>
  <c r="AV24" i="1"/>
  <c r="X24" i="1"/>
  <c r="AR24" i="1"/>
  <c r="AG24" i="1"/>
  <c r="U24" i="1"/>
  <c r="L24" i="1"/>
  <c r="O24" i="1"/>
  <c r="AS24" i="1"/>
  <c r="AC24" i="1"/>
  <c r="AF24" i="1"/>
  <c r="AI24" i="1"/>
  <c r="W24" i="1"/>
  <c r="AO24" i="1"/>
  <c r="AU24" i="1"/>
  <c r="AD24" i="1"/>
  <c r="AT24" i="1"/>
  <c r="J24" i="1"/>
  <c r="P24" i="1"/>
  <c r="AA24" i="1"/>
  <c r="T24" i="1"/>
  <c r="AJ24" i="1"/>
  <c r="N24" i="1"/>
  <c r="R24" i="1"/>
  <c r="AL24" i="1"/>
  <c r="AQ24" i="1"/>
  <c r="AB24" i="1"/>
  <c r="Y24" i="1"/>
  <c r="AE24" i="1"/>
  <c r="I24" i="1"/>
  <c r="S24" i="1"/>
  <c r="K24" i="1"/>
  <c r="AH24" i="1"/>
  <c r="AN24" i="1"/>
  <c r="AM24" i="1"/>
  <c r="Q24" i="1"/>
  <c r="V24" i="1"/>
  <c r="AP24" i="1"/>
  <c r="Z24" i="1"/>
  <c r="AK24" i="1"/>
  <c r="G27" i="4" l="1"/>
  <c r="F25" i="1"/>
  <c r="G25" i="1" s="1"/>
  <c r="T25" i="1"/>
  <c r="AF25" i="1"/>
  <c r="L25" i="1"/>
  <c r="AU25" i="1"/>
  <c r="AT25" i="1"/>
  <c r="I25" i="1"/>
  <c r="U25" i="1"/>
  <c r="AA25" i="1"/>
  <c r="AV25" i="1"/>
  <c r="AC25" i="1"/>
  <c r="Q25" i="1"/>
  <c r="AK25" i="1"/>
  <c r="Z25" i="1"/>
  <c r="AO25" i="1"/>
  <c r="O25" i="1"/>
  <c r="V25" i="1"/>
  <c r="N25" i="1"/>
  <c r="AB25" i="1"/>
  <c r="AD25" i="1"/>
  <c r="X25" i="1"/>
  <c r="S25" i="1"/>
  <c r="R25" i="1"/>
  <c r="M25" i="1"/>
  <c r="AQ25" i="1"/>
  <c r="AJ25" i="1"/>
  <c r="P25" i="1"/>
  <c r="Y25" i="1"/>
  <c r="W25" i="1"/>
  <c r="AL25" i="1"/>
  <c r="AR25" i="1"/>
  <c r="K25" i="1"/>
  <c r="J25" i="1"/>
  <c r="AS25" i="1"/>
  <c r="AP25" i="1"/>
  <c r="AM25" i="1"/>
  <c r="AH25" i="1"/>
  <c r="AI25" i="1"/>
  <c r="AN25" i="1"/>
  <c r="AG25" i="1"/>
  <c r="AE25" i="1"/>
  <c r="G28" i="4" l="1"/>
  <c r="F26" i="1"/>
  <c r="G26" i="1" s="1"/>
  <c r="L26" i="1"/>
  <c r="R26" i="1"/>
  <c r="K26" i="1"/>
  <c r="V26" i="1"/>
  <c r="AR26" i="1"/>
  <c r="M26" i="1"/>
  <c r="AA26" i="1"/>
  <c r="AG26" i="1"/>
  <c r="AP26" i="1"/>
  <c r="AS26" i="1"/>
  <c r="W26" i="1"/>
  <c r="P26" i="1"/>
  <c r="AU26" i="1"/>
  <c r="AF26" i="1"/>
  <c r="S26" i="1"/>
  <c r="AN26" i="1"/>
  <c r="N26" i="1"/>
  <c r="AC26" i="1"/>
  <c r="Y26" i="1"/>
  <c r="AO26" i="1"/>
  <c r="O26" i="1"/>
  <c r="I26" i="1"/>
  <c r="AL26" i="1"/>
  <c r="Q26" i="1"/>
  <c r="X26" i="1"/>
  <c r="AM26" i="1"/>
  <c r="AQ26" i="1"/>
  <c r="AD26" i="1"/>
  <c r="U26" i="1"/>
  <c r="AB26" i="1"/>
  <c r="Z26" i="1"/>
  <c r="AH26" i="1"/>
  <c r="AK26" i="1"/>
  <c r="AT26" i="1"/>
  <c r="AI26" i="1"/>
  <c r="AV26" i="1"/>
  <c r="AJ26" i="1"/>
  <c r="T26" i="1"/>
  <c r="J26" i="1"/>
  <c r="AE26" i="1"/>
  <c r="G29" i="4" l="1"/>
  <c r="F27" i="1"/>
  <c r="G27" i="1" s="1"/>
  <c r="AK27" i="1"/>
  <c r="L27" i="1"/>
  <c r="AQ27" i="1"/>
  <c r="N27" i="1"/>
  <c r="T27" i="1"/>
  <c r="AE27" i="1"/>
  <c r="AF27" i="1"/>
  <c r="AN27" i="1"/>
  <c r="P27" i="1"/>
  <c r="AO27" i="1"/>
  <c r="AG27" i="1"/>
  <c r="AH27" i="1"/>
  <c r="AI27" i="1"/>
  <c r="O27" i="1"/>
  <c r="S27" i="1"/>
  <c r="AM27" i="1"/>
  <c r="AD27" i="1"/>
  <c r="Z27" i="1"/>
  <c r="U27" i="1"/>
  <c r="AL27" i="1"/>
  <c r="AT27" i="1"/>
  <c r="AP27" i="1"/>
  <c r="AJ27" i="1"/>
  <c r="AB27" i="1"/>
  <c r="K27" i="1"/>
  <c r="AS27" i="1"/>
  <c r="AA27" i="1"/>
  <c r="Y27" i="1"/>
  <c r="I27" i="1"/>
  <c r="M27" i="1"/>
  <c r="J27" i="1"/>
  <c r="AV27" i="1"/>
  <c r="X27" i="1"/>
  <c r="V27" i="1"/>
  <c r="Q27" i="1"/>
  <c r="AU27" i="1"/>
  <c r="AR27" i="1"/>
  <c r="W27" i="1"/>
  <c r="AC27" i="1"/>
  <c r="R27" i="1"/>
  <c r="G30" i="4" l="1"/>
  <c r="F28" i="1"/>
  <c r="G28" i="1" s="1"/>
  <c r="AC28" i="1"/>
  <c r="I28" i="1"/>
  <c r="R28" i="1"/>
  <c r="AV28" i="1"/>
  <c r="T28" i="1"/>
  <c r="AN28" i="1"/>
  <c r="AT28" i="1"/>
  <c r="AB28" i="1"/>
  <c r="Y28" i="1"/>
  <c r="U28" i="1"/>
  <c r="AH28" i="1"/>
  <c r="AE28" i="1"/>
  <c r="AD28" i="1"/>
  <c r="X28" i="1"/>
  <c r="AR28" i="1"/>
  <c r="AQ28" i="1"/>
  <c r="AL28" i="1"/>
  <c r="AK28" i="1"/>
  <c r="M28" i="1"/>
  <c r="L28" i="1"/>
  <c r="AP28" i="1"/>
  <c r="AJ28" i="1"/>
  <c r="S28" i="1"/>
  <c r="AO28" i="1"/>
  <c r="AG28" i="1"/>
  <c r="Z28" i="1"/>
  <c r="AA28" i="1"/>
  <c r="P28" i="1"/>
  <c r="AI28" i="1"/>
  <c r="J28" i="1"/>
  <c r="O28" i="1"/>
  <c r="V28" i="1"/>
  <c r="N28" i="1"/>
  <c r="K28" i="1"/>
  <c r="AU28" i="1"/>
  <c r="AS28" i="1"/>
  <c r="Q28" i="1"/>
  <c r="AM28" i="1"/>
  <c r="W28" i="1"/>
  <c r="AF28" i="1"/>
  <c r="G31" i="4" l="1"/>
  <c r="F29" i="1"/>
  <c r="G29" i="1" s="1"/>
  <c r="AP29" i="1"/>
  <c r="Z29" i="1"/>
  <c r="AI29" i="1"/>
  <c r="R29" i="1"/>
  <c r="AU29" i="1"/>
  <c r="V29" i="1"/>
  <c r="T29" i="1"/>
  <c r="AR29" i="1"/>
  <c r="S29" i="1"/>
  <c r="AG29" i="1"/>
  <c r="I29" i="1"/>
  <c r="AT29" i="1"/>
  <c r="AV29" i="1"/>
  <c r="L29" i="1"/>
  <c r="N29" i="1"/>
  <c r="O29" i="1"/>
  <c r="AA29" i="1"/>
  <c r="X29" i="1"/>
  <c r="AE29" i="1"/>
  <c r="AN29" i="1"/>
  <c r="K29" i="1"/>
  <c r="Y29" i="1"/>
  <c r="AL29" i="1"/>
  <c r="AC29" i="1"/>
  <c r="AK29" i="1"/>
  <c r="W29" i="1"/>
  <c r="AF29" i="1"/>
  <c r="U29" i="1"/>
  <c r="J29" i="1"/>
  <c r="M29" i="1"/>
  <c r="AS29" i="1"/>
  <c r="Q29" i="1"/>
  <c r="AB29" i="1"/>
  <c r="AH29" i="1"/>
  <c r="AJ29" i="1"/>
  <c r="AD29" i="1"/>
  <c r="AM29" i="1"/>
  <c r="P29" i="1"/>
  <c r="AO29" i="1"/>
  <c r="AQ29" i="1"/>
  <c r="G32" i="4" l="1"/>
  <c r="F30" i="1"/>
  <c r="G30" i="1" s="1"/>
  <c r="AS30" i="1"/>
  <c r="V30" i="1"/>
  <c r="O30" i="1"/>
  <c r="AN30" i="1"/>
  <c r="L30" i="1"/>
  <c r="AK30" i="1"/>
  <c r="S30" i="1"/>
  <c r="AO30" i="1"/>
  <c r="Q30" i="1"/>
  <c r="AP30" i="1"/>
  <c r="I30" i="1"/>
  <c r="T30" i="1"/>
  <c r="AV30" i="1"/>
  <c r="AF30" i="1"/>
  <c r="K30" i="1"/>
  <c r="P30" i="1"/>
  <c r="W30" i="1"/>
  <c r="U30" i="1"/>
  <c r="AC30" i="1"/>
  <c r="AA30" i="1"/>
  <c r="AR30" i="1"/>
  <c r="AB30" i="1"/>
  <c r="AI30" i="1"/>
  <c r="AQ30" i="1"/>
  <c r="AL30" i="1"/>
  <c r="N30" i="1"/>
  <c r="R30" i="1"/>
  <c r="Z30" i="1"/>
  <c r="AD30" i="1"/>
  <c r="AU30" i="1"/>
  <c r="AJ30" i="1"/>
  <c r="AH30" i="1"/>
  <c r="X30" i="1"/>
  <c r="J30" i="1"/>
  <c r="AG30" i="1"/>
  <c r="AT30" i="1"/>
  <c r="Y30" i="1"/>
  <c r="AM30" i="1"/>
  <c r="AE30" i="1"/>
  <c r="M30" i="1"/>
  <c r="G33" i="4" l="1"/>
  <c r="F31" i="1"/>
  <c r="G31" i="1" s="1"/>
  <c r="Q31" i="1"/>
  <c r="AL31" i="1"/>
  <c r="AR31" i="1"/>
  <c r="M31" i="1"/>
  <c r="AE31" i="1"/>
  <c r="Y31" i="1"/>
  <c r="AP31" i="1"/>
  <c r="AT31" i="1"/>
  <c r="AN31" i="1"/>
  <c r="AH31" i="1"/>
  <c r="AQ31" i="1"/>
  <c r="AK31" i="1"/>
  <c r="AU31" i="1"/>
  <c r="K31" i="1"/>
  <c r="AI31" i="1"/>
  <c r="AV31" i="1"/>
  <c r="L31" i="1"/>
  <c r="W31" i="1"/>
  <c r="N31" i="1"/>
  <c r="J31" i="1"/>
  <c r="V31" i="1"/>
  <c r="AJ31" i="1"/>
  <c r="AD31" i="1"/>
  <c r="AM31" i="1"/>
  <c r="AA31" i="1"/>
  <c r="T31" i="1"/>
  <c r="AG31" i="1"/>
  <c r="Z31" i="1"/>
  <c r="S31" i="1"/>
  <c r="AS31" i="1"/>
  <c r="P31" i="1"/>
  <c r="X31" i="1"/>
  <c r="I31" i="1"/>
  <c r="AB31" i="1"/>
  <c r="U31" i="1"/>
  <c r="R31" i="1"/>
  <c r="AF31" i="1"/>
  <c r="O31" i="1"/>
  <c r="AO31" i="1"/>
  <c r="AC31" i="1"/>
  <c r="G34" i="4" l="1"/>
  <c r="F32" i="1"/>
  <c r="G32" i="1" s="1"/>
  <c r="AG32" i="1"/>
  <c r="K32" i="1"/>
  <c r="AL32" i="1"/>
  <c r="AQ32" i="1"/>
  <c r="T32" i="1"/>
  <c r="AK32" i="1"/>
  <c r="AR32" i="1"/>
  <c r="AE32" i="1"/>
  <c r="P32" i="1"/>
  <c r="Q32" i="1"/>
  <c r="V32" i="1"/>
  <c r="I32" i="1"/>
  <c r="AV32" i="1"/>
  <c r="AP32" i="1"/>
  <c r="Z32" i="1"/>
  <c r="AF32" i="1"/>
  <c r="AJ32" i="1"/>
  <c r="M32" i="1"/>
  <c r="AC32" i="1"/>
  <c r="N32" i="1"/>
  <c r="AI32" i="1"/>
  <c r="AT32" i="1"/>
  <c r="S32" i="1"/>
  <c r="R32" i="1"/>
  <c r="AH32" i="1"/>
  <c r="AA32" i="1"/>
  <c r="AN32" i="1"/>
  <c r="U32" i="1"/>
  <c r="AB32" i="1"/>
  <c r="AM32" i="1"/>
  <c r="J32" i="1"/>
  <c r="Y32" i="1"/>
  <c r="L32" i="1"/>
  <c r="AD32" i="1"/>
  <c r="AO32" i="1"/>
  <c r="W32" i="1"/>
  <c r="X32" i="1"/>
  <c r="AS32" i="1"/>
  <c r="AU32" i="1"/>
  <c r="O32" i="1"/>
  <c r="G35" i="4" l="1"/>
  <c r="F33" i="1"/>
  <c r="G33" i="1" s="1"/>
  <c r="AT33" i="1"/>
  <c r="W33" i="1"/>
  <c r="AD33" i="1"/>
  <c r="T33" i="1"/>
  <c r="R33" i="1"/>
  <c r="J33" i="1"/>
  <c r="K33" i="1"/>
  <c r="AU33" i="1"/>
  <c r="AP33" i="1"/>
  <c r="M33" i="1"/>
  <c r="V33" i="1"/>
  <c r="AM33" i="1"/>
  <c r="AC33" i="1"/>
  <c r="AH33" i="1"/>
  <c r="P33" i="1"/>
  <c r="AI33" i="1"/>
  <c r="AQ33" i="1"/>
  <c r="AK33" i="1"/>
  <c r="AO33" i="1"/>
  <c r="Z33" i="1"/>
  <c r="X33" i="1"/>
  <c r="O33" i="1"/>
  <c r="AB33" i="1"/>
  <c r="AG33" i="1"/>
  <c r="AA33" i="1"/>
  <c r="Y33" i="1"/>
  <c r="I33" i="1"/>
  <c r="AN33" i="1"/>
  <c r="AR33" i="1"/>
  <c r="AL33" i="1"/>
  <c r="U33" i="1"/>
  <c r="S33" i="1"/>
  <c r="AV33" i="1"/>
  <c r="N33" i="1"/>
  <c r="AF33" i="1"/>
  <c r="AS33" i="1"/>
  <c r="Q33" i="1"/>
  <c r="L33" i="1"/>
  <c r="AJ33" i="1"/>
  <c r="AE33" i="1"/>
  <c r="G36" i="4" l="1"/>
  <c r="F34" i="1"/>
  <c r="G34" i="1" s="1"/>
  <c r="L34" i="1"/>
  <c r="S34" i="1"/>
  <c r="P34" i="1"/>
  <c r="AE34" i="1"/>
  <c r="AP34" i="1"/>
  <c r="Y34" i="1"/>
  <c r="AN34" i="1"/>
  <c r="W34" i="1"/>
  <c r="T34" i="1"/>
  <c r="AF34" i="1"/>
  <c r="AH34" i="1"/>
  <c r="AT34" i="1"/>
  <c r="O34" i="1"/>
  <c r="K34" i="1"/>
  <c r="AD34" i="1"/>
  <c r="AV34" i="1"/>
  <c r="X34" i="1"/>
  <c r="R34" i="1"/>
  <c r="AK34" i="1"/>
  <c r="AG34" i="1"/>
  <c r="M34" i="1"/>
  <c r="I34" i="1"/>
  <c r="AB34" i="1"/>
  <c r="AJ34" i="1"/>
  <c r="U34" i="1"/>
  <c r="Z34" i="1"/>
  <c r="AC34" i="1"/>
  <c r="AO34" i="1"/>
  <c r="AS34" i="1"/>
  <c r="AQ34" i="1"/>
  <c r="AI34" i="1"/>
  <c r="AA34" i="1"/>
  <c r="N34" i="1"/>
  <c r="AU34" i="1"/>
  <c r="Q34" i="1"/>
  <c r="V34" i="1"/>
  <c r="AR34" i="1"/>
  <c r="AL34" i="1"/>
  <c r="J34" i="1"/>
  <c r="AM34" i="1"/>
  <c r="G37" i="4" l="1"/>
  <c r="F35" i="1"/>
  <c r="G35" i="1" s="1"/>
  <c r="AF35" i="1"/>
  <c r="X35" i="1"/>
  <c r="AM35" i="1"/>
  <c r="AE35" i="1"/>
  <c r="AS35" i="1"/>
  <c r="AV35" i="1"/>
  <c r="AG35" i="1"/>
  <c r="N35" i="1"/>
  <c r="K35" i="1"/>
  <c r="J35" i="1"/>
  <c r="Z35" i="1"/>
  <c r="AI35" i="1"/>
  <c r="O35" i="1"/>
  <c r="AA35" i="1"/>
  <c r="AC35" i="1"/>
  <c r="S35" i="1"/>
  <c r="AU35" i="1"/>
  <c r="W35" i="1"/>
  <c r="M35" i="1"/>
  <c r="I35" i="1"/>
  <c r="AR35" i="1"/>
  <c r="AQ35" i="1"/>
  <c r="AN35" i="1"/>
  <c r="R35" i="1"/>
  <c r="L35" i="1"/>
  <c r="P35" i="1"/>
  <c r="AH35" i="1"/>
  <c r="AB35" i="1"/>
  <c r="U35" i="1"/>
  <c r="T35" i="1"/>
  <c r="Y35" i="1"/>
  <c r="V35" i="1"/>
  <c r="AP35" i="1"/>
  <c r="AT35" i="1"/>
  <c r="AD35" i="1"/>
  <c r="Q35" i="1"/>
  <c r="AL35" i="1"/>
  <c r="AJ35" i="1"/>
  <c r="AK35" i="1"/>
  <c r="AO35" i="1"/>
  <c r="G38" i="4" l="1"/>
  <c r="F36" i="1"/>
  <c r="G36" i="1" s="1"/>
  <c r="AF36" i="1"/>
  <c r="AD36" i="1"/>
  <c r="AB36" i="1"/>
  <c r="K36" i="1"/>
  <c r="AU36" i="1"/>
  <c r="AK36" i="1"/>
  <c r="W36" i="1"/>
  <c r="S36" i="1"/>
  <c r="AR36" i="1"/>
  <c r="AI36" i="1"/>
  <c r="U36" i="1"/>
  <c r="T36" i="1"/>
  <c r="AT36" i="1"/>
  <c r="AG36" i="1"/>
  <c r="AC36" i="1"/>
  <c r="AN36" i="1"/>
  <c r="P36" i="1"/>
  <c r="L36" i="1"/>
  <c r="AL36" i="1"/>
  <c r="AM36" i="1"/>
  <c r="Y36" i="1"/>
  <c r="O36" i="1"/>
  <c r="AP36" i="1"/>
  <c r="AE36" i="1"/>
  <c r="AJ36" i="1"/>
  <c r="AV36" i="1"/>
  <c r="Z36" i="1"/>
  <c r="R36" i="1"/>
  <c r="X36" i="1"/>
  <c r="V36" i="1"/>
  <c r="AS36" i="1"/>
  <c r="AQ36" i="1"/>
  <c r="I36" i="1"/>
  <c r="N36" i="1"/>
  <c r="Q36" i="1"/>
  <c r="M36" i="1"/>
  <c r="AA36" i="1"/>
  <c r="J36" i="1"/>
  <c r="AO36" i="1"/>
  <c r="AH36" i="1"/>
  <c r="G39" i="4" l="1"/>
  <c r="F37" i="1"/>
  <c r="G37" i="1" s="1"/>
  <c r="AE37" i="1"/>
  <c r="AQ37" i="1"/>
  <c r="AT37" i="1"/>
  <c r="N37" i="1"/>
  <c r="AI37" i="1"/>
  <c r="AV37" i="1"/>
  <c r="T37" i="1"/>
  <c r="K37" i="1"/>
  <c r="R37" i="1"/>
  <c r="U37" i="1"/>
  <c r="AC37" i="1"/>
  <c r="AF37" i="1"/>
  <c r="W37" i="1"/>
  <c r="J37" i="1"/>
  <c r="AA37" i="1"/>
  <c r="AD37" i="1"/>
  <c r="AJ37" i="1"/>
  <c r="AN37" i="1"/>
  <c r="I37" i="1"/>
  <c r="O37" i="1"/>
  <c r="AB37" i="1"/>
  <c r="AU37" i="1"/>
  <c r="Y37" i="1"/>
  <c r="P37" i="1"/>
  <c r="M37" i="1"/>
  <c r="S37" i="1"/>
  <c r="V37" i="1"/>
  <c r="AP37" i="1"/>
  <c r="AR37" i="1"/>
  <c r="AG37" i="1"/>
  <c r="AK37" i="1"/>
  <c r="AH37" i="1"/>
  <c r="Z37" i="1"/>
  <c r="AL37" i="1"/>
  <c r="L37" i="1"/>
  <c r="AO37" i="1"/>
  <c r="AS37" i="1"/>
  <c r="X37" i="1"/>
  <c r="Q37" i="1"/>
  <c r="AM37" i="1"/>
  <c r="G40" i="4" l="1"/>
  <c r="F38" i="1"/>
  <c r="G38" i="1" s="1"/>
  <c r="R38" i="1"/>
  <c r="AP38" i="1"/>
  <c r="AE38" i="1"/>
  <c r="AC38" i="1"/>
  <c r="Y38" i="1"/>
  <c r="Z38" i="1"/>
  <c r="AG38" i="1"/>
  <c r="T38" i="1"/>
  <c r="L38" i="1"/>
  <c r="Q38" i="1"/>
  <c r="J38" i="1"/>
  <c r="P38" i="1"/>
  <c r="AI38" i="1"/>
  <c r="AS38" i="1"/>
  <c r="AA38" i="1"/>
  <c r="X38" i="1"/>
  <c r="I38" i="1"/>
  <c r="AN38" i="1"/>
  <c r="AQ38" i="1"/>
  <c r="N38" i="1"/>
  <c r="AR38" i="1"/>
  <c r="V38" i="1"/>
  <c r="AM38" i="1"/>
  <c r="AL38" i="1"/>
  <c r="W38" i="1"/>
  <c r="U38" i="1"/>
  <c r="AV38" i="1"/>
  <c r="AU38" i="1"/>
  <c r="AF38" i="1"/>
  <c r="M38" i="1"/>
  <c r="AB38" i="1"/>
  <c r="AD38" i="1"/>
  <c r="AH38" i="1"/>
  <c r="O38" i="1"/>
  <c r="S38" i="1"/>
  <c r="AT38" i="1"/>
  <c r="K38" i="1"/>
  <c r="AK38" i="1"/>
  <c r="AO38" i="1"/>
  <c r="AJ38" i="1"/>
  <c r="G41" i="4" l="1"/>
  <c r="F39" i="1"/>
  <c r="G39" i="1" s="1"/>
  <c r="Y39" i="1"/>
  <c r="AE39" i="1"/>
  <c r="AJ39" i="1"/>
  <c r="AS39" i="1"/>
  <c r="T39" i="1"/>
  <c r="AU39" i="1"/>
  <c r="AA39" i="1"/>
  <c r="AN39" i="1"/>
  <c r="S39" i="1"/>
  <c r="AD39" i="1"/>
  <c r="I39" i="1"/>
  <c r="AB39" i="1"/>
  <c r="N39" i="1"/>
  <c r="J39" i="1"/>
  <c r="AK39" i="1"/>
  <c r="AQ39" i="1"/>
  <c r="O39" i="1"/>
  <c r="AV39" i="1"/>
  <c r="U39" i="1"/>
  <c r="AF39" i="1"/>
  <c r="AP39" i="1"/>
  <c r="X39" i="1"/>
  <c r="Q39" i="1"/>
  <c r="AC39" i="1"/>
  <c r="AI39" i="1"/>
  <c r="Z39" i="1"/>
  <c r="AH39" i="1"/>
  <c r="M39" i="1"/>
  <c r="P39" i="1"/>
  <c r="V39" i="1"/>
  <c r="R39" i="1"/>
  <c r="AM39" i="1"/>
  <c r="AR39" i="1"/>
  <c r="AO39" i="1"/>
  <c r="AL39" i="1"/>
  <c r="K39" i="1"/>
  <c r="AG39" i="1"/>
  <c r="W39" i="1"/>
  <c r="L39" i="1"/>
  <c r="AT39" i="1"/>
  <c r="G42" i="4" l="1"/>
  <c r="F40" i="1"/>
  <c r="G40" i="1" s="1"/>
  <c r="AO40" i="1"/>
  <c r="Q40" i="1"/>
  <c r="O40" i="1"/>
  <c r="AJ40" i="1"/>
  <c r="AU40" i="1"/>
  <c r="U40" i="1"/>
  <c r="AA40" i="1"/>
  <c r="AH40" i="1"/>
  <c r="AP40" i="1"/>
  <c r="J40" i="1"/>
  <c r="AN40" i="1"/>
  <c r="AM40" i="1"/>
  <c r="N40" i="1"/>
  <c r="S40" i="1"/>
  <c r="AI40" i="1"/>
  <c r="T40" i="1"/>
  <c r="W40" i="1"/>
  <c r="AR40" i="1"/>
  <c r="X40" i="1"/>
  <c r="AK40" i="1"/>
  <c r="M40" i="1"/>
  <c r="Y40" i="1"/>
  <c r="AV40" i="1"/>
  <c r="K40" i="1"/>
  <c r="AL40" i="1"/>
  <c r="AG40" i="1"/>
  <c r="AC40" i="1"/>
  <c r="AT40" i="1"/>
  <c r="I40" i="1"/>
  <c r="AF40" i="1"/>
  <c r="Z40" i="1"/>
  <c r="L40" i="1"/>
  <c r="AB40" i="1"/>
  <c r="P40" i="1"/>
  <c r="AD40" i="1"/>
  <c r="V40" i="1"/>
  <c r="R40" i="1"/>
  <c r="AS40" i="1"/>
  <c r="AQ40" i="1"/>
  <c r="AE40" i="1"/>
  <c r="G43" i="4" l="1"/>
  <c r="F41" i="1"/>
  <c r="G41" i="1" s="1"/>
  <c r="Q41" i="1"/>
  <c r="P41" i="1"/>
  <c r="AO41" i="1"/>
  <c r="AF41" i="1"/>
  <c r="L41" i="1"/>
  <c r="K41" i="1"/>
  <c r="T41" i="1"/>
  <c r="AK41" i="1"/>
  <c r="AV41" i="1"/>
  <c r="AS41" i="1"/>
  <c r="AH41" i="1"/>
  <c r="X41" i="1"/>
  <c r="M41" i="1"/>
  <c r="AM41" i="1"/>
  <c r="AJ41" i="1"/>
  <c r="I41" i="1"/>
  <c r="N41" i="1"/>
  <c r="AE41" i="1"/>
  <c r="Y41" i="1"/>
  <c r="AP41" i="1"/>
  <c r="AA41" i="1"/>
  <c r="W41" i="1"/>
  <c r="J41" i="1"/>
  <c r="AU41" i="1"/>
  <c r="AR41" i="1"/>
  <c r="AD41" i="1"/>
  <c r="R41" i="1"/>
  <c r="S41" i="1"/>
  <c r="AT41" i="1"/>
  <c r="V41" i="1"/>
  <c r="AQ41" i="1"/>
  <c r="U41" i="1"/>
  <c r="AB41" i="1"/>
  <c r="AI41" i="1"/>
  <c r="AL41" i="1"/>
  <c r="AN41" i="1"/>
  <c r="O41" i="1"/>
  <c r="AC41" i="1"/>
  <c r="Z41" i="1"/>
  <c r="AG41" i="1"/>
  <c r="G44" i="4" l="1"/>
  <c r="F42" i="1"/>
  <c r="G42" i="1" s="1"/>
  <c r="AA42" i="1"/>
  <c r="AU42" i="1"/>
  <c r="L42" i="1"/>
  <c r="AI42" i="1"/>
  <c r="T42" i="1"/>
  <c r="S42" i="1"/>
  <c r="AG42" i="1"/>
  <c r="AP42" i="1"/>
  <c r="AT42" i="1"/>
  <c r="AC42" i="1"/>
  <c r="AK42" i="1"/>
  <c r="AL42" i="1"/>
  <c r="N42" i="1"/>
  <c r="AD42" i="1"/>
  <c r="AE42" i="1"/>
  <c r="Z42" i="1"/>
  <c r="V42" i="1"/>
  <c r="O42" i="1"/>
  <c r="U42" i="1"/>
  <c r="AO42" i="1"/>
  <c r="AB42" i="1"/>
  <c r="K42" i="1"/>
  <c r="AM42" i="1"/>
  <c r="AN42" i="1"/>
  <c r="AS42" i="1"/>
  <c r="AQ42" i="1"/>
  <c r="J42" i="1"/>
  <c r="P42" i="1"/>
  <c r="X42" i="1"/>
  <c r="M42" i="1"/>
  <c r="AF42" i="1"/>
  <c r="R42" i="1"/>
  <c r="AV42" i="1"/>
  <c r="AJ42" i="1"/>
  <c r="I42" i="1"/>
  <c r="AH42" i="1"/>
  <c r="W42" i="1"/>
  <c r="Y42" i="1"/>
  <c r="Q42" i="1"/>
  <c r="AR42" i="1"/>
  <c r="G45" i="4" l="1"/>
  <c r="F43" i="1"/>
  <c r="G43" i="1" s="1"/>
  <c r="AJ43" i="1"/>
  <c r="Q43" i="1"/>
  <c r="AE43" i="1"/>
  <c r="L43" i="1"/>
  <c r="X43" i="1"/>
  <c r="AI43" i="1"/>
  <c r="T43" i="1"/>
  <c r="AK43" i="1"/>
  <c r="AF43" i="1"/>
  <c r="N43" i="1"/>
  <c r="AV43" i="1"/>
  <c r="AU43" i="1"/>
  <c r="P43" i="1"/>
  <c r="AC43" i="1"/>
  <c r="J43" i="1"/>
  <c r="AR43" i="1"/>
  <c r="AT43" i="1"/>
  <c r="AB43" i="1"/>
  <c r="V43" i="1"/>
  <c r="AO43" i="1"/>
  <c r="AA43" i="1"/>
  <c r="S43" i="1"/>
  <c r="O43" i="1"/>
  <c r="U43" i="1"/>
  <c r="AP43" i="1"/>
  <c r="Y43" i="1"/>
  <c r="Z43" i="1"/>
  <c r="K43" i="1"/>
  <c r="I43" i="1"/>
  <c r="AS43" i="1"/>
  <c r="W43" i="1"/>
  <c r="AN43" i="1"/>
  <c r="AH43" i="1"/>
  <c r="AL43" i="1"/>
  <c r="AG43" i="1"/>
  <c r="R43" i="1"/>
  <c r="AM43" i="1"/>
  <c r="AQ43" i="1"/>
  <c r="M43" i="1"/>
  <c r="AD43" i="1"/>
  <c r="G46" i="4" l="1"/>
  <c r="F44" i="1"/>
  <c r="G44" i="1" s="1"/>
  <c r="Z44" i="1"/>
  <c r="Y44" i="1"/>
  <c r="O44" i="1"/>
  <c r="AG44" i="1"/>
  <c r="AQ44" i="1"/>
  <c r="AN44" i="1"/>
  <c r="AK44" i="1"/>
  <c r="AA44" i="1"/>
  <c r="T44" i="1"/>
  <c r="I44" i="1"/>
  <c r="AH44" i="1"/>
  <c r="L44" i="1"/>
  <c r="P44" i="1"/>
  <c r="AU44" i="1"/>
  <c r="AL44" i="1"/>
  <c r="V44" i="1"/>
  <c r="AB44" i="1"/>
  <c r="J44" i="1"/>
  <c r="AR44" i="1"/>
  <c r="AO44" i="1"/>
  <c r="R44" i="1"/>
  <c r="AF44" i="1"/>
  <c r="AI44" i="1"/>
  <c r="Q44" i="1"/>
  <c r="AT44" i="1"/>
  <c r="W44" i="1"/>
  <c r="AE44" i="1"/>
  <c r="AP44" i="1"/>
  <c r="K44" i="1"/>
  <c r="AS44" i="1"/>
  <c r="S44" i="1"/>
  <c r="AJ44" i="1"/>
  <c r="M44" i="1"/>
  <c r="AV44" i="1"/>
  <c r="AD44" i="1"/>
  <c r="N44" i="1"/>
  <c r="AM44" i="1"/>
  <c r="AC44" i="1"/>
  <c r="U44" i="1"/>
  <c r="X44" i="1"/>
  <c r="G47" i="4" l="1"/>
  <c r="F45" i="1"/>
  <c r="G45" i="1" s="1"/>
  <c r="T45" i="1"/>
  <c r="AO45" i="1"/>
  <c r="AN45" i="1"/>
  <c r="AI45" i="1"/>
  <c r="R45" i="1"/>
  <c r="M45" i="1"/>
  <c r="O45" i="1"/>
  <c r="J45" i="1"/>
  <c r="U45" i="1"/>
  <c r="V45" i="1"/>
  <c r="AJ45" i="1"/>
  <c r="L45" i="1"/>
  <c r="AG45" i="1"/>
  <c r="AK45" i="1"/>
  <c r="AA45" i="1"/>
  <c r="S45" i="1"/>
  <c r="AV45" i="1"/>
  <c r="AC45" i="1"/>
  <c r="AB45" i="1"/>
  <c r="AL45" i="1"/>
  <c r="AU45" i="1"/>
  <c r="Z45" i="1"/>
  <c r="X45" i="1"/>
  <c r="AR45" i="1"/>
  <c r="AF45" i="1"/>
  <c r="W45" i="1"/>
  <c r="AQ45" i="1"/>
  <c r="I45" i="1"/>
  <c r="AH45" i="1"/>
  <c r="Q45" i="1"/>
  <c r="K45" i="1"/>
  <c r="AM45" i="1"/>
  <c r="P45" i="1"/>
  <c r="AE45" i="1"/>
  <c r="AS45" i="1"/>
  <c r="N45" i="1"/>
  <c r="AD45" i="1"/>
  <c r="AT45" i="1"/>
  <c r="AP45" i="1"/>
  <c r="Y45" i="1"/>
  <c r="G48" i="4" l="1"/>
  <c r="F46" i="1"/>
  <c r="G46" i="1" s="1"/>
  <c r="X46" i="1"/>
  <c r="AD46" i="1"/>
  <c r="J46" i="1"/>
  <c r="AK46" i="1"/>
  <c r="Q46" i="1"/>
  <c r="AC46" i="1"/>
  <c r="K46" i="1"/>
  <c r="AL46" i="1"/>
  <c r="AU46" i="1"/>
  <c r="U46" i="1"/>
  <c r="Y46" i="1"/>
  <c r="AT46" i="1"/>
  <c r="AA46" i="1"/>
  <c r="AQ46" i="1"/>
  <c r="L46" i="1"/>
  <c r="N46" i="1"/>
  <c r="O46" i="1"/>
  <c r="R46" i="1"/>
  <c r="AF46" i="1"/>
  <c r="T46" i="1"/>
  <c r="M46" i="1"/>
  <c r="AV46" i="1"/>
  <c r="AM46" i="1"/>
  <c r="Z46" i="1"/>
  <c r="AP46" i="1"/>
  <c r="AN46" i="1"/>
  <c r="P46" i="1"/>
  <c r="W46" i="1"/>
  <c r="AO46" i="1"/>
  <c r="V46" i="1"/>
  <c r="AI46" i="1"/>
  <c r="AE46" i="1"/>
  <c r="AR46" i="1"/>
  <c r="AH46" i="1"/>
  <c r="S46" i="1"/>
  <c r="AG46" i="1"/>
  <c r="AJ46" i="1"/>
  <c r="AS46" i="1"/>
  <c r="I46" i="1"/>
  <c r="AB46" i="1"/>
  <c r="G49" i="4" l="1"/>
  <c r="F47" i="1"/>
  <c r="G47" i="1" s="1"/>
  <c r="T47" i="1"/>
  <c r="X47" i="1"/>
  <c r="AS47" i="1"/>
  <c r="N47" i="1"/>
  <c r="Q47" i="1"/>
  <c r="AC47" i="1"/>
  <c r="AQ47" i="1"/>
  <c r="AD47" i="1"/>
  <c r="AU47" i="1"/>
  <c r="AG47" i="1"/>
  <c r="J47" i="1"/>
  <c r="AA47" i="1"/>
  <c r="AF47" i="1"/>
  <c r="AO47" i="1"/>
  <c r="L47" i="1"/>
  <c r="W47" i="1"/>
  <c r="S47" i="1"/>
  <c r="Z47" i="1"/>
  <c r="AJ47" i="1"/>
  <c r="AL47" i="1"/>
  <c r="AH47" i="1"/>
  <c r="AK47" i="1"/>
  <c r="AB47" i="1"/>
  <c r="Y47" i="1"/>
  <c r="AI47" i="1"/>
  <c r="V47" i="1"/>
  <c r="I47" i="1"/>
  <c r="AR47" i="1"/>
  <c r="U47" i="1"/>
  <c r="O47" i="1"/>
  <c r="P47" i="1"/>
  <c r="M47" i="1"/>
  <c r="R47" i="1"/>
  <c r="AN47" i="1"/>
  <c r="AT47" i="1"/>
  <c r="AP47" i="1"/>
  <c r="AM47" i="1"/>
  <c r="AE47" i="1"/>
  <c r="AV47" i="1"/>
  <c r="K47" i="1"/>
  <c r="G50" i="4" l="1"/>
  <c r="F48" i="1"/>
  <c r="G48" i="1" s="1"/>
  <c r="AQ48" i="1"/>
  <c r="Q48" i="1"/>
  <c r="P48" i="1"/>
  <c r="Z48" i="1"/>
  <c r="AT48" i="1"/>
  <c r="J48" i="1"/>
  <c r="T48" i="1"/>
  <c r="AS48" i="1"/>
  <c r="AG48" i="1"/>
  <c r="S48" i="1"/>
  <c r="V48" i="1"/>
  <c r="AI48" i="1"/>
  <c r="R48" i="1"/>
  <c r="AU48" i="1"/>
  <c r="AD48" i="1"/>
  <c r="AF48" i="1"/>
  <c r="AO48" i="1"/>
  <c r="AK48" i="1"/>
  <c r="AN48" i="1"/>
  <c r="I48" i="1"/>
  <c r="AR48" i="1"/>
  <c r="Y48" i="1"/>
  <c r="AB48" i="1"/>
  <c r="U48" i="1"/>
  <c r="AP48" i="1"/>
  <c r="M48" i="1"/>
  <c r="AM48" i="1"/>
  <c r="X48" i="1"/>
  <c r="AL48" i="1"/>
  <c r="W48" i="1"/>
  <c r="L48" i="1"/>
  <c r="AC48" i="1"/>
  <c r="AA48" i="1"/>
  <c r="AH48" i="1"/>
  <c r="N48" i="1"/>
  <c r="K48" i="1"/>
  <c r="AJ48" i="1"/>
  <c r="AE48" i="1"/>
  <c r="AV48" i="1"/>
  <c r="O48" i="1"/>
  <c r="G51" i="4" l="1"/>
  <c r="F49" i="1"/>
  <c r="G49" i="1" s="1"/>
  <c r="AK49" i="1"/>
  <c r="X49" i="1"/>
  <c r="AV49" i="1"/>
  <c r="AG49" i="1"/>
  <c r="AT49" i="1"/>
  <c r="AR49" i="1"/>
  <c r="AP49" i="1"/>
  <c r="N49" i="1"/>
  <c r="AO49" i="1"/>
  <c r="R49" i="1"/>
  <c r="AS49" i="1"/>
  <c r="AU49" i="1"/>
  <c r="K49" i="1"/>
  <c r="AJ49" i="1"/>
  <c r="AL49" i="1"/>
  <c r="AA49" i="1"/>
  <c r="AF49" i="1"/>
  <c r="W49" i="1"/>
  <c r="AE49" i="1"/>
  <c r="T49" i="1"/>
  <c r="AN49" i="1"/>
  <c r="I49" i="1"/>
  <c r="AM49" i="1"/>
  <c r="AD49" i="1"/>
  <c r="M49" i="1"/>
  <c r="P49" i="1"/>
  <c r="AC49" i="1"/>
  <c r="AQ49" i="1"/>
  <c r="S49" i="1"/>
  <c r="U49" i="1"/>
  <c r="Q49" i="1"/>
  <c r="V49" i="1"/>
  <c r="J49" i="1"/>
  <c r="Z49" i="1"/>
  <c r="Y49" i="1"/>
  <c r="L49" i="1"/>
  <c r="AB49" i="1"/>
  <c r="AH49" i="1"/>
  <c r="O49" i="1"/>
  <c r="AI49" i="1"/>
  <c r="G52" i="4" l="1"/>
  <c r="F50" i="1"/>
  <c r="G50" i="1" s="1"/>
  <c r="J50" i="1"/>
  <c r="AF50" i="1"/>
  <c r="AC50" i="1"/>
  <c r="Z50" i="1"/>
  <c r="Q50" i="1"/>
  <c r="R50" i="1"/>
  <c r="T50" i="1"/>
  <c r="AG50" i="1"/>
  <c r="AS50" i="1"/>
  <c r="AD50" i="1"/>
  <c r="N50" i="1"/>
  <c r="W50" i="1"/>
  <c r="AU50" i="1"/>
  <c r="AE50" i="1"/>
  <c r="AR50" i="1"/>
  <c r="I50" i="1"/>
  <c r="P50" i="1"/>
  <c r="M50" i="1"/>
  <c r="U50" i="1"/>
  <c r="AH50" i="1"/>
  <c r="X50" i="1"/>
  <c r="Y50" i="1"/>
  <c r="AV50" i="1"/>
  <c r="AM50" i="1"/>
  <c r="AO50" i="1"/>
  <c r="AP50" i="1"/>
  <c r="AA50" i="1"/>
  <c r="AK50" i="1"/>
  <c r="AN50" i="1"/>
  <c r="AT50" i="1"/>
  <c r="O50" i="1"/>
  <c r="AJ50" i="1"/>
  <c r="AI50" i="1"/>
  <c r="V50" i="1"/>
  <c r="AB50" i="1"/>
  <c r="AL50" i="1"/>
  <c r="AQ50" i="1"/>
  <c r="S50" i="1"/>
  <c r="L50" i="1"/>
  <c r="K50" i="1"/>
  <c r="G53" i="4" l="1"/>
  <c r="F51" i="1"/>
  <c r="G51" i="1" s="1"/>
  <c r="AT51" i="1"/>
  <c r="AG51" i="1"/>
  <c r="AO51" i="1"/>
  <c r="K51" i="1"/>
  <c r="U51" i="1"/>
  <c r="Y51" i="1"/>
  <c r="AI51" i="1"/>
  <c r="J51" i="1"/>
  <c r="AA51" i="1"/>
  <c r="Z51" i="1"/>
  <c r="N51" i="1"/>
  <c r="M51" i="1"/>
  <c r="AR51" i="1"/>
  <c r="O51" i="1"/>
  <c r="T51" i="1"/>
  <c r="S51" i="1"/>
  <c r="AF51" i="1"/>
  <c r="AK51" i="1"/>
  <c r="AC51" i="1"/>
  <c r="AH51" i="1"/>
  <c r="AM51" i="1"/>
  <c r="AQ51" i="1"/>
  <c r="AN51" i="1"/>
  <c r="Q51" i="1"/>
  <c r="L51" i="1"/>
  <c r="V51" i="1"/>
  <c r="AP51" i="1"/>
  <c r="I51" i="1"/>
  <c r="AE51" i="1"/>
  <c r="AB51" i="1"/>
  <c r="W51" i="1"/>
  <c r="R51" i="1"/>
  <c r="X51" i="1"/>
  <c r="AS51" i="1"/>
  <c r="AJ51" i="1"/>
  <c r="AD51" i="1"/>
  <c r="AV51" i="1"/>
  <c r="P51" i="1"/>
  <c r="AL51" i="1"/>
  <c r="AU51" i="1"/>
  <c r="G54" i="4" l="1"/>
  <c r="F52" i="1"/>
  <c r="G52" i="1" s="1"/>
  <c r="R52" i="1"/>
  <c r="AL52" i="1"/>
  <c r="X52" i="1"/>
  <c r="AC52" i="1"/>
  <c r="Q52" i="1"/>
  <c r="W52" i="1"/>
  <c r="AQ52" i="1"/>
  <c r="K52" i="1"/>
  <c r="AV52" i="1"/>
  <c r="AN52" i="1"/>
  <c r="AD52" i="1"/>
  <c r="T52" i="1"/>
  <c r="AT52" i="1"/>
  <c r="AE52" i="1"/>
  <c r="Z52" i="1"/>
  <c r="AF52" i="1"/>
  <c r="AI52" i="1"/>
  <c r="AK52" i="1"/>
  <c r="U52" i="1"/>
  <c r="M52" i="1"/>
  <c r="AO52" i="1"/>
  <c r="S52" i="1"/>
  <c r="N52" i="1"/>
  <c r="O52" i="1"/>
  <c r="AB52" i="1"/>
  <c r="L52" i="1"/>
  <c r="AS52" i="1"/>
  <c r="V52" i="1"/>
  <c r="I52" i="1"/>
  <c r="P52" i="1"/>
  <c r="J52" i="1"/>
  <c r="AH52" i="1"/>
  <c r="Y52" i="1"/>
  <c r="AP52" i="1"/>
  <c r="AM52" i="1"/>
  <c r="AJ52" i="1"/>
  <c r="AR52" i="1"/>
  <c r="AU52" i="1"/>
  <c r="AA52" i="1"/>
  <c r="AG52" i="1"/>
  <c r="G55" i="4" l="1"/>
  <c r="F53" i="1"/>
  <c r="G53" i="1" s="1"/>
  <c r="AT53" i="1"/>
  <c r="AK53" i="1"/>
  <c r="AM53" i="1"/>
  <c r="T53" i="1"/>
  <c r="X53" i="1"/>
  <c r="R53" i="1"/>
  <c r="W53" i="1"/>
  <c r="AP53" i="1"/>
  <c r="AE53" i="1"/>
  <c r="AR53" i="1"/>
  <c r="AA53" i="1"/>
  <c r="AB53" i="1"/>
  <c r="AI53" i="1"/>
  <c r="O53" i="1"/>
  <c r="AN53" i="1"/>
  <c r="AC53" i="1"/>
  <c r="S53" i="1"/>
  <c r="AO53" i="1"/>
  <c r="AQ53" i="1"/>
  <c r="AJ53" i="1"/>
  <c r="AH53" i="1"/>
  <c r="I53" i="1"/>
  <c r="J53" i="1"/>
  <c r="U53" i="1"/>
  <c r="AL53" i="1"/>
  <c r="AU53" i="1"/>
  <c r="N53" i="1"/>
  <c r="AD53" i="1"/>
  <c r="AS53" i="1"/>
  <c r="V53" i="1"/>
  <c r="Q53" i="1"/>
  <c r="AG53" i="1"/>
  <c r="P53" i="1"/>
  <c r="AV53" i="1"/>
  <c r="K53" i="1"/>
  <c r="AF53" i="1"/>
  <c r="M53" i="1"/>
  <c r="Y53" i="1"/>
  <c r="Z53" i="1"/>
  <c r="L53" i="1"/>
  <c r="G56" i="4" l="1"/>
  <c r="F54" i="1"/>
  <c r="G54" i="1" s="1"/>
  <c r="J54" i="1"/>
  <c r="Z54" i="1"/>
  <c r="AO54" i="1"/>
  <c r="AI54" i="1"/>
  <c r="AA54" i="1"/>
  <c r="AG54" i="1"/>
  <c r="T54" i="1"/>
  <c r="AS54" i="1"/>
  <c r="Q54" i="1"/>
  <c r="AN54" i="1"/>
  <c r="AV54" i="1"/>
  <c r="AF54" i="1"/>
  <c r="AC54" i="1"/>
  <c r="AE54" i="1"/>
  <c r="AQ54" i="1"/>
  <c r="AK54" i="1"/>
  <c r="S54" i="1"/>
  <c r="W54" i="1"/>
  <c r="V54" i="1"/>
  <c r="O54" i="1"/>
  <c r="R54" i="1"/>
  <c r="M54" i="1"/>
  <c r="L54" i="1"/>
  <c r="X54" i="1"/>
  <c r="AT54" i="1"/>
  <c r="AU54" i="1"/>
  <c r="U54" i="1"/>
  <c r="AB54" i="1"/>
  <c r="Y54" i="1"/>
  <c r="AP54" i="1"/>
  <c r="AM54" i="1"/>
  <c r="AR54" i="1"/>
  <c r="I54" i="1"/>
  <c r="AH54" i="1"/>
  <c r="AD54" i="1"/>
  <c r="K54" i="1"/>
  <c r="N54" i="1"/>
  <c r="AL54" i="1"/>
  <c r="AJ54" i="1"/>
  <c r="P54" i="1"/>
  <c r="G57" i="4" l="1"/>
  <c r="F55" i="1"/>
  <c r="G55" i="1" s="1"/>
  <c r="AG55" i="1"/>
  <c r="L55" i="1"/>
  <c r="Z55" i="1"/>
  <c r="R55" i="1"/>
  <c r="AK55" i="1"/>
  <c r="Y55" i="1"/>
  <c r="T55" i="1"/>
  <c r="AS55" i="1"/>
  <c r="O55" i="1"/>
  <c r="N55" i="1"/>
  <c r="AJ55" i="1"/>
  <c r="W55" i="1"/>
  <c r="AP55" i="1"/>
  <c r="AF55" i="1"/>
  <c r="AH55" i="1"/>
  <c r="AD55" i="1"/>
  <c r="I55" i="1"/>
  <c r="AB55" i="1"/>
  <c r="S55" i="1"/>
  <c r="AQ55" i="1"/>
  <c r="AR55" i="1"/>
  <c r="AN55" i="1"/>
  <c r="AV55" i="1"/>
  <c r="AM55" i="1"/>
  <c r="K55" i="1"/>
  <c r="AL55" i="1"/>
  <c r="AT55" i="1"/>
  <c r="AA55" i="1"/>
  <c r="X55" i="1"/>
  <c r="M55" i="1"/>
  <c r="AO55" i="1"/>
  <c r="AU55" i="1"/>
  <c r="P55" i="1"/>
  <c r="V55" i="1"/>
  <c r="AC55" i="1"/>
  <c r="AE55" i="1"/>
  <c r="J55" i="1"/>
  <c r="U55" i="1"/>
  <c r="Q55" i="1"/>
  <c r="AI55" i="1"/>
  <c r="F56" i="1" l="1"/>
  <c r="G56" i="1" s="1"/>
  <c r="I56" i="1"/>
  <c r="AR56" i="1"/>
  <c r="AO56" i="1"/>
  <c r="J56" i="1"/>
  <c r="U56" i="1"/>
  <c r="AS56" i="1"/>
  <c r="M56" i="1"/>
  <c r="T56" i="1"/>
  <c r="AU56" i="1"/>
  <c r="AN56" i="1"/>
  <c r="Z56" i="1"/>
  <c r="X56" i="1"/>
  <c r="O56" i="1"/>
  <c r="AH56" i="1"/>
  <c r="AC56" i="1"/>
  <c r="AL56" i="1"/>
  <c r="S56" i="1"/>
  <c r="AB56" i="1"/>
  <c r="AK56" i="1"/>
  <c r="AM56" i="1"/>
  <c r="N56" i="1"/>
  <c r="AD56" i="1"/>
  <c r="R56" i="1"/>
  <c r="AV56" i="1"/>
  <c r="K56" i="1"/>
  <c r="P56" i="1"/>
  <c r="AQ56" i="1"/>
  <c r="AJ56" i="1"/>
  <c r="L56" i="1"/>
  <c r="AT56" i="1"/>
  <c r="V56" i="1"/>
  <c r="AG56" i="1"/>
  <c r="Q56" i="1"/>
  <c r="AP56" i="1"/>
  <c r="AA56" i="1"/>
  <c r="AE56" i="1"/>
  <c r="W56" i="1"/>
  <c r="AI56" i="1"/>
  <c r="Y56" i="1"/>
  <c r="AF56" i="1"/>
  <c r="F57" i="1" l="1"/>
  <c r="G57" i="1" s="1"/>
  <c r="AQ57" i="1"/>
  <c r="T57" i="1"/>
  <c r="AN57" i="1"/>
  <c r="AV57" i="1"/>
  <c r="Q57" i="1"/>
  <c r="R57" i="1"/>
  <c r="O57" i="1"/>
  <c r="V57" i="1"/>
  <c r="S57" i="1"/>
  <c r="N57" i="1"/>
  <c r="AM57" i="1"/>
  <c r="P57" i="1"/>
  <c r="AD57" i="1"/>
  <c r="AO57" i="1"/>
  <c r="U57" i="1"/>
  <c r="AH57" i="1"/>
  <c r="AP57" i="1"/>
  <c r="AJ57" i="1"/>
  <c r="AC57" i="1"/>
  <c r="AT57" i="1"/>
  <c r="AI57" i="1"/>
  <c r="M57" i="1"/>
  <c r="AU57" i="1"/>
  <c r="AB57" i="1"/>
  <c r="AL57" i="1"/>
  <c r="I57" i="1"/>
  <c r="J57" i="1"/>
  <c r="AS57" i="1"/>
  <c r="AR57" i="1"/>
  <c r="AE57" i="1"/>
  <c r="Z57" i="1"/>
  <c r="AG57" i="1"/>
  <c r="L57" i="1"/>
  <c r="AK57" i="1"/>
  <c r="K57" i="1"/>
  <c r="W57" i="1"/>
  <c r="AA57" i="1"/>
  <c r="AF57" i="1"/>
  <c r="X57" i="1"/>
  <c r="Y57" i="1"/>
</calcChain>
</file>

<file path=xl/sharedStrings.xml><?xml version="1.0" encoding="utf-8"?>
<sst xmlns="http://schemas.openxmlformats.org/spreadsheetml/2006/main" count="52" uniqueCount="25">
  <si>
    <t>Vasicek: dr=a(b-r)dt + sigma dBt</t>
    <phoneticPr fontId="4"/>
  </si>
  <si>
    <t>a</t>
  </si>
  <si>
    <t>b</t>
  </si>
  <si>
    <t>sigma</t>
  </si>
  <si>
    <t>lambda</t>
  </si>
  <si>
    <t>リスクの市場価値</t>
    <rPh sb="4" eb="6">
      <t>シジョウ</t>
    </rPh>
    <rPh sb="6" eb="8">
      <t>カチ</t>
    </rPh>
    <phoneticPr fontId="4"/>
  </si>
  <si>
    <t>リスク中立確率下のb</t>
    <rPh sb="3" eb="5">
      <t>チュウリツ</t>
    </rPh>
    <rPh sb="5" eb="7">
      <t>カクリツ</t>
    </rPh>
    <rPh sb="7" eb="8">
      <t>カ</t>
    </rPh>
    <phoneticPr fontId="4"/>
  </si>
  <si>
    <t>Δt</t>
    <phoneticPr fontId="4"/>
  </si>
  <si>
    <t>←ｄｔ</t>
    <phoneticPr fontId="4"/>
  </si>
  <si>
    <t>リスク中立・離散化</t>
    <rPh sb="3" eb="5">
      <t>チュウリツ</t>
    </rPh>
    <rPh sb="6" eb="8">
      <t>リサン</t>
    </rPh>
    <rPh sb="8" eb="9">
      <t>カ</t>
    </rPh>
    <phoneticPr fontId="4"/>
  </si>
  <si>
    <t>t</t>
  </si>
  <si>
    <t>ΔBt</t>
    <phoneticPr fontId="4"/>
  </si>
  <si>
    <t>Δr</t>
    <phoneticPr fontId="4"/>
  </si>
  <si>
    <t>r</t>
  </si>
  <si>
    <t>ｖ(t,T)</t>
    <phoneticPr fontId="4"/>
  </si>
  <si>
    <t>y(t,T)</t>
    <phoneticPr fontId="4"/>
  </si>
  <si>
    <t>T=</t>
    <phoneticPr fontId="4"/>
  </si>
  <si>
    <t>rbar</t>
    <phoneticPr fontId="3"/>
  </si>
  <si>
    <t>Δｒ = a (rbar -r ) Δｔ　+ sigma ΔBt</t>
    <phoneticPr fontId="4"/>
  </si>
  <si>
    <t>←a</t>
    <phoneticPr fontId="3"/>
  </si>
  <si>
    <t>←b</t>
    <phoneticPr fontId="3"/>
  </si>
  <si>
    <t>←sigma</t>
    <phoneticPr fontId="3"/>
  </si>
  <si>
    <t>←lambda</t>
    <phoneticPr fontId="3"/>
  </si>
  <si>
    <t>←rbar</t>
    <phoneticPr fontId="4"/>
  </si>
  <si>
    <t>=rand（）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</si>
</sst>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5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6"/>
      <name val="ＭＳ 明朝"/>
      <family val="1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2" fillId="0" borderId="0" xfId="2">
      <alignment vertical="center"/>
    </xf>
    <xf numFmtId="0" fontId="2" fillId="0" borderId="0" xfId="2" applyFont="1">
      <alignment vertical="center"/>
    </xf>
    <xf numFmtId="0" fontId="2" fillId="2" borderId="0" xfId="2" applyFill="1">
      <alignment vertical="center"/>
    </xf>
    <xf numFmtId="40" fontId="2" fillId="0" borderId="0" xfId="1" applyNumberFormat="1" applyFont="1" applyAlignment="1">
      <alignment vertical="center"/>
    </xf>
    <xf numFmtId="0" fontId="2" fillId="3" borderId="0" xfId="2" applyFill="1">
      <alignment vertical="center"/>
    </xf>
    <xf numFmtId="0" fontId="2" fillId="0" borderId="0" xfId="2" applyFill="1" applyBorder="1">
      <alignment vertical="center"/>
    </xf>
    <xf numFmtId="0" fontId="2" fillId="0" borderId="0" xfId="2" applyFont="1" applyFill="1" applyBorder="1">
      <alignment vertical="center"/>
    </xf>
    <xf numFmtId="0" fontId="2" fillId="0" borderId="0" xfId="2" quotePrefix="1" applyFont="1" applyBorder="1">
      <alignment vertical="center"/>
    </xf>
    <xf numFmtId="0" fontId="2" fillId="0" borderId="0" xfId="2" applyBorder="1">
      <alignment vertical="center"/>
    </xf>
    <xf numFmtId="0" fontId="2" fillId="0" borderId="0" xfId="2" quotePrefix="1" applyFill="1" applyBorder="1">
      <alignment vertical="center"/>
    </xf>
    <xf numFmtId="0" fontId="2" fillId="0" borderId="1" xfId="2" applyFill="1" applyBorder="1">
      <alignment vertical="center"/>
    </xf>
    <xf numFmtId="0" fontId="2" fillId="0" borderId="2" xfId="2" applyFill="1" applyBorder="1">
      <alignment vertical="center"/>
    </xf>
    <xf numFmtId="0" fontId="2" fillId="0" borderId="0" xfId="2" applyFill="1">
      <alignment vertical="center"/>
    </xf>
    <xf numFmtId="0" fontId="2" fillId="0" borderId="0" xfId="2" quotePrefix="1">
      <alignment vertical="center"/>
    </xf>
    <xf numFmtId="0" fontId="2" fillId="0" borderId="0" xfId="2" quotePrefix="1" applyFill="1">
      <alignment vertical="center"/>
    </xf>
    <xf numFmtId="0" fontId="2" fillId="4" borderId="0" xfId="2" applyFont="1" applyFill="1">
      <alignment vertical="center"/>
    </xf>
    <xf numFmtId="0" fontId="2" fillId="4" borderId="0" xfId="2" applyFill="1">
      <alignment vertical="center"/>
    </xf>
    <xf numFmtId="0" fontId="2" fillId="5" borderId="0" xfId="2" applyFont="1" applyFill="1">
      <alignment vertical="center"/>
    </xf>
    <xf numFmtId="0" fontId="2" fillId="5" borderId="0" xfId="2" applyFill="1">
      <alignment vertical="center"/>
    </xf>
    <xf numFmtId="0" fontId="2" fillId="3" borderId="0" xfId="2" applyFill="1" applyBorder="1">
      <alignment vertical="center"/>
    </xf>
    <xf numFmtId="0" fontId="2" fillId="6" borderId="0" xfId="2" applyFill="1">
      <alignment vertical="center"/>
    </xf>
    <xf numFmtId="0" fontId="2" fillId="2" borderId="0" xfId="2" applyNumberFormat="1" applyFill="1">
      <alignment vertical="center"/>
    </xf>
    <xf numFmtId="176" fontId="2" fillId="6" borderId="0" xfId="2" applyNumberFormat="1" applyFill="1">
      <alignment vertical="center"/>
    </xf>
    <xf numFmtId="176" fontId="2" fillId="3" borderId="0" xfId="2" applyNumberFormat="1" applyFill="1">
      <alignment vertical="center"/>
    </xf>
  </cellXfs>
  <cellStyles count="3">
    <cellStyle name="桁区切り" xfId="1" builtinId="6"/>
    <cellStyle name="標準" xfId="0" builtinId="0"/>
    <cellStyle name="標準_Book1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'問題5.6-5.7'!$G$21:$G$57</c:f>
              <c:numCache>
                <c:formatCode>0.0000</c:formatCode>
                <c:ptCount val="37"/>
                <c:pt idx="0">
                  <c:v>3.0000000000000001E-3</c:v>
                </c:pt>
                <c:pt idx="1">
                  <c:v>3.0000000000000001E-3</c:v>
                </c:pt>
                <c:pt idx="2">
                  <c:v>3.0000000000000001E-3</c:v>
                </c:pt>
                <c:pt idx="3">
                  <c:v>3.0000000000000001E-3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3.0000000000000001E-3</c:v>
                </c:pt>
                <c:pt idx="7">
                  <c:v>3.0000000000000001E-3</c:v>
                </c:pt>
                <c:pt idx="8">
                  <c:v>3.0000000000000001E-3</c:v>
                </c:pt>
                <c:pt idx="9">
                  <c:v>3.0000000000000001E-3</c:v>
                </c:pt>
                <c:pt idx="10">
                  <c:v>3.0000000000000001E-3</c:v>
                </c:pt>
                <c:pt idx="11">
                  <c:v>3.0000000000000001E-3</c:v>
                </c:pt>
                <c:pt idx="12">
                  <c:v>3.0000000000000001E-3</c:v>
                </c:pt>
                <c:pt idx="13">
                  <c:v>3.0000000000000001E-3</c:v>
                </c:pt>
                <c:pt idx="14">
                  <c:v>3.0000000000000001E-3</c:v>
                </c:pt>
                <c:pt idx="15">
                  <c:v>3.0000000000000001E-3</c:v>
                </c:pt>
                <c:pt idx="16">
                  <c:v>3.0000000000000001E-3</c:v>
                </c:pt>
                <c:pt idx="17">
                  <c:v>3.0000000000000001E-3</c:v>
                </c:pt>
                <c:pt idx="18">
                  <c:v>3.0000000000000001E-3</c:v>
                </c:pt>
                <c:pt idx="19">
                  <c:v>3.0000000000000001E-3</c:v>
                </c:pt>
                <c:pt idx="20">
                  <c:v>3.0000000000000001E-3</c:v>
                </c:pt>
                <c:pt idx="21">
                  <c:v>3.0000000000000001E-3</c:v>
                </c:pt>
                <c:pt idx="22">
                  <c:v>3.0000000000000001E-3</c:v>
                </c:pt>
                <c:pt idx="23">
                  <c:v>3.0000000000000001E-3</c:v>
                </c:pt>
                <c:pt idx="24">
                  <c:v>3.0000000000000001E-3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3.0000000000000001E-3</c:v>
                </c:pt>
                <c:pt idx="28">
                  <c:v>3.0000000000000001E-3</c:v>
                </c:pt>
                <c:pt idx="29">
                  <c:v>3.0000000000000001E-3</c:v>
                </c:pt>
                <c:pt idx="30">
                  <c:v>3.0000000000000001E-3</c:v>
                </c:pt>
                <c:pt idx="31">
                  <c:v>3.0000000000000001E-3</c:v>
                </c:pt>
                <c:pt idx="32">
                  <c:v>3.0000000000000001E-3</c:v>
                </c:pt>
                <c:pt idx="33">
                  <c:v>3.0000000000000001E-3</c:v>
                </c:pt>
                <c:pt idx="34">
                  <c:v>3.0000000000000001E-3</c:v>
                </c:pt>
                <c:pt idx="35">
                  <c:v>3.0000000000000001E-3</c:v>
                </c:pt>
                <c:pt idx="36">
                  <c:v>3.0000000000000001E-3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0613888"/>
        <c:axId val="290681216"/>
      </c:lineChart>
      <c:catAx>
        <c:axId val="290613888"/>
        <c:scaling>
          <c:orientation val="minMax"/>
        </c:scaling>
        <c:delete val="0"/>
        <c:axPos val="b"/>
        <c:majorTickMark val="out"/>
        <c:minorTickMark val="none"/>
        <c:tickLblPos val="nextTo"/>
        <c:crossAx val="290681216"/>
        <c:crosses val="autoZero"/>
        <c:auto val="1"/>
        <c:lblAlgn val="ctr"/>
        <c:lblOffset val="100"/>
        <c:noMultiLvlLbl val="0"/>
      </c:catAx>
      <c:valAx>
        <c:axId val="290681216"/>
        <c:scaling>
          <c:orientation val="minMax"/>
          <c:max val="6.0000000000000019E-2"/>
          <c:min val="0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290613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'問題5.6-5.7'!$AC$21:$AV$21</c:f>
              <c:numCache>
                <c:formatCode>General</c:formatCode>
                <c:ptCount val="20"/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'問題5.6-5.7'!$AC$22:$AV$22</c:f>
              <c:numCache>
                <c:formatCode>General</c:formatCode>
                <c:ptCount val="20"/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'問題5.6-5.7'!$AC$23:$AV$23</c:f>
              <c:numCache>
                <c:formatCode>General</c:formatCode>
                <c:ptCount val="20"/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'問題5.6-5.7'!$AC$24:$AV$24</c:f>
              <c:numCache>
                <c:formatCode>General</c:formatCode>
                <c:ptCount val="20"/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val>
            <c:numRef>
              <c:f>'問題5.6-5.7'!$AC$25:$AV$25</c:f>
              <c:numCache>
                <c:formatCode>General</c:formatCode>
                <c:ptCount val="20"/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val>
            <c:numRef>
              <c:f>'問題5.6-5.7'!$AC$26:$AV$26</c:f>
              <c:numCache>
                <c:formatCode>General</c:formatCode>
                <c:ptCount val="20"/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val>
            <c:numRef>
              <c:f>'問題5.6-5.7'!$AC$27:$AV$27</c:f>
              <c:numCache>
                <c:formatCode>General</c:formatCode>
                <c:ptCount val="20"/>
              </c:numCache>
            </c:numRef>
          </c:val>
          <c:smooth val="0"/>
        </c:ser>
        <c:ser>
          <c:idx val="7"/>
          <c:order val="7"/>
          <c:marker>
            <c:symbol val="none"/>
          </c:marker>
          <c:val>
            <c:numRef>
              <c:f>'問題5.6-5.7'!$AC$28:$AV$28</c:f>
              <c:numCache>
                <c:formatCode>General</c:formatCode>
                <c:ptCount val="20"/>
              </c:numCache>
            </c:numRef>
          </c:val>
          <c:smooth val="0"/>
        </c:ser>
        <c:ser>
          <c:idx val="8"/>
          <c:order val="8"/>
          <c:marker>
            <c:symbol val="none"/>
          </c:marker>
          <c:val>
            <c:numRef>
              <c:f>'問題5.6-5.7'!$AC$29:$AV$29</c:f>
              <c:numCache>
                <c:formatCode>General</c:formatCode>
                <c:ptCount val="20"/>
              </c:numCache>
            </c:numRef>
          </c:val>
          <c:smooth val="0"/>
        </c:ser>
        <c:ser>
          <c:idx val="9"/>
          <c:order val="9"/>
          <c:marker>
            <c:symbol val="none"/>
          </c:marker>
          <c:val>
            <c:numRef>
              <c:f>'問題5.6-5.7'!$AC$30:$AV$30</c:f>
              <c:numCache>
                <c:formatCode>General</c:formatCode>
                <c:ptCount val="20"/>
              </c:numCache>
            </c:numRef>
          </c:val>
          <c:smooth val="0"/>
        </c:ser>
        <c:ser>
          <c:idx val="10"/>
          <c:order val="10"/>
          <c:marker>
            <c:symbol val="none"/>
          </c:marker>
          <c:val>
            <c:numRef>
              <c:f>'問題5.6-5.7'!$AC$31:$AV$31</c:f>
              <c:numCache>
                <c:formatCode>General</c:formatCode>
                <c:ptCount val="20"/>
              </c:numCache>
            </c:numRef>
          </c:val>
          <c:smooth val="0"/>
        </c:ser>
        <c:ser>
          <c:idx val="11"/>
          <c:order val="11"/>
          <c:marker>
            <c:symbol val="none"/>
          </c:marker>
          <c:val>
            <c:numRef>
              <c:f>'問題5.6-5.7'!$AC$32:$AV$32</c:f>
              <c:numCache>
                <c:formatCode>General</c:formatCode>
                <c:ptCount val="20"/>
              </c:numCache>
            </c:numRef>
          </c:val>
          <c:smooth val="0"/>
        </c:ser>
        <c:ser>
          <c:idx val="12"/>
          <c:order val="12"/>
          <c:marker>
            <c:symbol val="none"/>
          </c:marker>
          <c:val>
            <c:numRef>
              <c:f>'問題5.6-5.7'!$AC$33:$AV$33</c:f>
              <c:numCache>
                <c:formatCode>General</c:formatCode>
                <c:ptCount val="20"/>
              </c:numCache>
            </c:numRef>
          </c:val>
          <c:smooth val="0"/>
        </c:ser>
        <c:ser>
          <c:idx val="13"/>
          <c:order val="13"/>
          <c:marker>
            <c:symbol val="none"/>
          </c:marker>
          <c:val>
            <c:numRef>
              <c:f>'問題5.6-5.7'!$AC$34:$AV$34</c:f>
              <c:numCache>
                <c:formatCode>General</c:formatCode>
                <c:ptCount val="20"/>
              </c:numCache>
            </c:numRef>
          </c:val>
          <c:smooth val="0"/>
        </c:ser>
        <c:ser>
          <c:idx val="14"/>
          <c:order val="14"/>
          <c:marker>
            <c:symbol val="none"/>
          </c:marker>
          <c:val>
            <c:numRef>
              <c:f>'問題5.6-5.7'!$AC$35:$AV$35</c:f>
              <c:numCache>
                <c:formatCode>General</c:formatCode>
                <c:ptCount val="20"/>
              </c:numCache>
            </c:numRef>
          </c:val>
          <c:smooth val="0"/>
        </c:ser>
        <c:ser>
          <c:idx val="15"/>
          <c:order val="15"/>
          <c:marker>
            <c:symbol val="none"/>
          </c:marker>
          <c:val>
            <c:numRef>
              <c:f>'問題5.6-5.7'!$AC$36:$AV$36</c:f>
              <c:numCache>
                <c:formatCode>General</c:formatCode>
                <c:ptCount val="2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872128"/>
        <c:axId val="291873920"/>
      </c:lineChart>
      <c:catAx>
        <c:axId val="291872128"/>
        <c:scaling>
          <c:orientation val="minMax"/>
        </c:scaling>
        <c:delete val="0"/>
        <c:axPos val="b"/>
        <c:majorTickMark val="out"/>
        <c:minorTickMark val="none"/>
        <c:tickLblPos val="nextTo"/>
        <c:crossAx val="291873920"/>
        <c:crosses val="autoZero"/>
        <c:auto val="1"/>
        <c:lblAlgn val="ctr"/>
        <c:lblOffset val="100"/>
        <c:noMultiLvlLbl val="0"/>
      </c:catAx>
      <c:valAx>
        <c:axId val="291873920"/>
        <c:scaling>
          <c:orientation val="minMax"/>
          <c:max val="6.0000000000000005E-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18721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'問題5.6-5.7解答例'!$G$21:$G$57</c:f>
              <c:numCache>
                <c:formatCode>General</c:formatCode>
                <c:ptCount val="37"/>
                <c:pt idx="0">
                  <c:v>3.0000000000000001E-3</c:v>
                </c:pt>
                <c:pt idx="1">
                  <c:v>5.6055213772467621E-3</c:v>
                </c:pt>
                <c:pt idx="2">
                  <c:v>8.5085323332888766E-3</c:v>
                </c:pt>
                <c:pt idx="3">
                  <c:v>1.7435913243530617E-2</c:v>
                </c:pt>
                <c:pt idx="4">
                  <c:v>2.1344679149896545E-2</c:v>
                </c:pt>
                <c:pt idx="5">
                  <c:v>1.9875655731608623E-2</c:v>
                </c:pt>
                <c:pt idx="6">
                  <c:v>1.9378248709255759E-2</c:v>
                </c:pt>
                <c:pt idx="7">
                  <c:v>3.0585057666646209E-2</c:v>
                </c:pt>
                <c:pt idx="8">
                  <c:v>2.802641923616199E-2</c:v>
                </c:pt>
                <c:pt idx="9">
                  <c:v>3.458717628705376E-2</c:v>
                </c:pt>
                <c:pt idx="10">
                  <c:v>2.9287492686519624E-2</c:v>
                </c:pt>
                <c:pt idx="11">
                  <c:v>3.6214117965110246E-2</c:v>
                </c:pt>
                <c:pt idx="12">
                  <c:v>2.9193628361582159E-2</c:v>
                </c:pt>
                <c:pt idx="13">
                  <c:v>2.4610016727859341E-2</c:v>
                </c:pt>
                <c:pt idx="14">
                  <c:v>3.0131747342355443E-2</c:v>
                </c:pt>
                <c:pt idx="15">
                  <c:v>2.2113860038220329E-2</c:v>
                </c:pt>
                <c:pt idx="16">
                  <c:v>2.6866827722084805E-2</c:v>
                </c:pt>
                <c:pt idx="17">
                  <c:v>3.1341898518419536E-2</c:v>
                </c:pt>
                <c:pt idx="18">
                  <c:v>3.5535323716100145E-2</c:v>
                </c:pt>
                <c:pt idx="19">
                  <c:v>3.6212453399369286E-2</c:v>
                </c:pt>
                <c:pt idx="20">
                  <c:v>3.4068308059324315E-2</c:v>
                </c:pt>
                <c:pt idx="21">
                  <c:v>2.3798507004573241E-2</c:v>
                </c:pt>
                <c:pt idx="22">
                  <c:v>2.5591243910165373E-2</c:v>
                </c:pt>
                <c:pt idx="23">
                  <c:v>3.3156304454006663E-2</c:v>
                </c:pt>
                <c:pt idx="24">
                  <c:v>2.6394444332726925E-2</c:v>
                </c:pt>
                <c:pt idx="25">
                  <c:v>3.1832434805121143E-2</c:v>
                </c:pt>
                <c:pt idx="26">
                  <c:v>2.7654884668727418E-2</c:v>
                </c:pt>
                <c:pt idx="27">
                  <c:v>3.5370224718140414E-2</c:v>
                </c:pt>
                <c:pt idx="28">
                  <c:v>3.5321258095928162E-2</c:v>
                </c:pt>
                <c:pt idx="29">
                  <c:v>4.608098987590685E-2</c:v>
                </c:pt>
                <c:pt idx="30">
                  <c:v>4.2772914147832602E-2</c:v>
                </c:pt>
                <c:pt idx="31">
                  <c:v>3.5858079598775891E-2</c:v>
                </c:pt>
                <c:pt idx="32">
                  <c:v>3.4649480019276757E-2</c:v>
                </c:pt>
                <c:pt idx="33">
                  <c:v>4.6132131108558516E-2</c:v>
                </c:pt>
                <c:pt idx="34">
                  <c:v>5.0209146270847285E-2</c:v>
                </c:pt>
                <c:pt idx="35">
                  <c:v>5.0211799940004812E-2</c:v>
                </c:pt>
                <c:pt idx="36">
                  <c:v>4.4664666190009694E-2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028288"/>
        <c:axId val="150029824"/>
      </c:lineChart>
      <c:catAx>
        <c:axId val="150028288"/>
        <c:scaling>
          <c:orientation val="minMax"/>
        </c:scaling>
        <c:delete val="0"/>
        <c:axPos val="b"/>
        <c:majorTickMark val="out"/>
        <c:minorTickMark val="none"/>
        <c:tickLblPos val="nextTo"/>
        <c:crossAx val="150029824"/>
        <c:crosses val="autoZero"/>
        <c:auto val="1"/>
        <c:lblAlgn val="ctr"/>
        <c:lblOffset val="100"/>
        <c:noMultiLvlLbl val="0"/>
      </c:catAx>
      <c:valAx>
        <c:axId val="150029824"/>
        <c:scaling>
          <c:orientation val="minMax"/>
          <c:max val="6.0000000000000019E-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00282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'問題5.6-5.7解答例'!$AC$21:$AV$21</c:f>
              <c:numCache>
                <c:formatCode>General</c:formatCode>
                <c:ptCount val="20"/>
                <c:pt idx="0">
                  <c:v>5.6435660827781663E-3</c:v>
                </c:pt>
                <c:pt idx="1">
                  <c:v>7.9374822974066696E-3</c:v>
                </c:pt>
                <c:pt idx="2">
                  <c:v>9.9376067229619783E-3</c:v>
                </c:pt>
                <c:pt idx="3">
                  <c:v>1.1689785601957743E-2</c:v>
                </c:pt>
                <c:pt idx="4">
                  <c:v>1.3231782800843021E-2</c:v>
                </c:pt>
                <c:pt idx="5">
                  <c:v>1.4594819718823855E-2</c:v>
                </c:pt>
                <c:pt idx="6">
                  <c:v>1.5804806747716078E-2</c:v>
                </c:pt>
                <c:pt idx="7">
                  <c:v>1.6883330140219175E-2</c:v>
                </c:pt>
                <c:pt idx="8">
                  <c:v>1.7848444621701147E-2</c:v>
                </c:pt>
                <c:pt idx="9">
                  <c:v>1.8715311468339681E-2</c:v>
                </c:pt>
                <c:pt idx="10">
                  <c:v>1.9496713438422502E-2</c:v>
                </c:pt>
                <c:pt idx="11">
                  <c:v>2.0203471389280057E-2</c:v>
                </c:pt>
                <c:pt idx="12">
                  <c:v>2.084478225370652E-2</c:v>
                </c:pt>
                <c:pt idx="13">
                  <c:v>2.1428493985319225E-2</c:v>
                </c:pt>
                <c:pt idx="14">
                  <c:v>2.1961329876458147E-2</c:v>
                </c:pt>
                <c:pt idx="15">
                  <c:v>2.2449072120623019E-2</c:v>
                </c:pt>
                <c:pt idx="16">
                  <c:v>2.2896712489826884E-2</c:v>
                </c:pt>
                <c:pt idx="17">
                  <c:v>2.3308576412617465E-2</c:v>
                </c:pt>
                <c:pt idx="18">
                  <c:v>2.3688425482308859E-2</c:v>
                </c:pt>
                <c:pt idx="19">
                  <c:v>2.4039542427690047E-2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'問題5.6-5.7解答例'!$AC$22:$AV$22</c:f>
              <c:numCache>
                <c:formatCode>General</c:formatCode>
                <c:ptCount val="20"/>
                <c:pt idx="0">
                  <c:v>8.0781088638435285E-3</c:v>
                </c:pt>
                <c:pt idx="1">
                  <c:v>1.0215839785104382E-2</c:v>
                </c:pt>
                <c:pt idx="2">
                  <c:v>1.2073138767885787E-2</c:v>
                </c:pt>
                <c:pt idx="3">
                  <c:v>1.369456642591687E-2</c:v>
                </c:pt>
                <c:pt idx="4">
                  <c:v>1.5116732961720896E-2</c:v>
                </c:pt>
                <c:pt idx="5">
                  <c:v>1.636982396534719E-2</c:v>
                </c:pt>
                <c:pt idx="6">
                  <c:v>1.7478819315934098E-2</c:v>
                </c:pt>
                <c:pt idx="7">
                  <c:v>1.8464468869273516E-2</c:v>
                </c:pt>
                <c:pt idx="8">
                  <c:v>1.9344075112117408E-2</c:v>
                </c:pt>
                <c:pt idx="9">
                  <c:v>2.0132122369297678E-2</c:v>
                </c:pt>
                <c:pt idx="10">
                  <c:v>2.0840783829236733E-2</c:v>
                </c:pt>
                <c:pt idx="11">
                  <c:v>2.1480331112854276E-2</c:v>
                </c:pt>
                <c:pt idx="12">
                  <c:v>2.2059465964434224E-2</c:v>
                </c:pt>
                <c:pt idx="13">
                  <c:v>2.2585589589386824E-2</c:v>
                </c:pt>
                <c:pt idx="14">
                  <c:v>2.3065021967533888E-2</c:v>
                </c:pt>
                <c:pt idx="15">
                  <c:v>2.3503180947389391E-2</c:v>
                </c:pt>
                <c:pt idx="16">
                  <c:v>2.3904728932771478E-2</c:v>
                </c:pt>
                <c:pt idx="17">
                  <c:v>2.4273693395082618E-2</c:v>
                </c:pt>
                <c:pt idx="18">
                  <c:v>2.461356619425828E-2</c:v>
                </c:pt>
                <c:pt idx="19">
                  <c:v>2.4927385699312774E-2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'問題5.6-5.7解答例'!$AC$23:$AV$23</c:f>
              <c:numCache>
                <c:formatCode>General</c:formatCode>
                <c:ptCount val="20"/>
                <c:pt idx="0">
                  <c:v>1.0790619468478894E-2</c:v>
                </c:pt>
                <c:pt idx="1">
                  <c:v>1.2754332390202914E-2</c:v>
                </c:pt>
                <c:pt idx="2">
                  <c:v>1.4452498606392956E-2</c:v>
                </c:pt>
                <c:pt idx="3">
                  <c:v>1.5928246313266836E-2</c:v>
                </c:pt>
                <c:pt idx="4">
                  <c:v>1.7216900327994469E-2</c:v>
                </c:pt>
                <c:pt idx="5">
                  <c:v>1.8347492166298017E-2</c:v>
                </c:pt>
                <c:pt idx="6">
                  <c:v>1.9343964951862178E-2</c:v>
                </c:pt>
                <c:pt idx="7">
                  <c:v>2.0226136646613935E-2</c:v>
                </c:pt>
                <c:pt idx="8">
                  <c:v>2.1010471610639726E-2</c:v>
                </c:pt>
                <c:pt idx="9">
                  <c:v>2.1710699925420889E-2</c:v>
                </c:pt>
                <c:pt idx="10">
                  <c:v>2.2338315610898253E-2</c:v>
                </c:pt>
                <c:pt idx="11">
                  <c:v>2.29029783416334E-2</c:v>
                </c:pt>
                <c:pt idx="12">
                  <c:v>2.3412838134458238E-2</c:v>
                </c:pt>
                <c:pt idx="13">
                  <c:v>2.3874798438383454E-2</c:v>
                </c:pt>
                <c:pt idx="14">
                  <c:v>2.4294729871859582E-2</c:v>
                </c:pt>
                <c:pt idx="15">
                  <c:v>2.46776443387422E-2</c:v>
                </c:pt>
                <c:pt idx="16">
                  <c:v>2.5027837268513074E-2</c:v>
                </c:pt>
                <c:pt idx="17">
                  <c:v>2.5349004155694851E-2</c:v>
                </c:pt>
                <c:pt idx="18">
                  <c:v>2.5644336329603598E-2</c:v>
                </c:pt>
                <c:pt idx="19">
                  <c:v>2.5916599899310087E-2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'問題5.6-5.7解答例'!$AC$24:$AV$24</c:f>
              <c:numCache>
                <c:formatCode>General</c:formatCode>
                <c:ptCount val="20"/>
                <c:pt idx="0">
                  <c:v>1.9132170967018518E-2</c:v>
                </c:pt>
                <c:pt idx="1">
                  <c:v>2.05607412418055E-2</c:v>
                </c:pt>
                <c:pt idx="2">
                  <c:v>2.1769540092810492E-2</c:v>
                </c:pt>
                <c:pt idx="3">
                  <c:v>2.2797290725385042E-2</c:v>
                </c:pt>
                <c:pt idx="4">
                  <c:v>2.3675365121232871E-2</c:v>
                </c:pt>
                <c:pt idx="5">
                  <c:v>2.4429245770160195E-2</c:v>
                </c:pt>
                <c:pt idx="6">
                  <c:v>2.5079687550617485E-2</c:v>
                </c:pt>
                <c:pt idx="7">
                  <c:v>2.5643642651158517E-2</c:v>
                </c:pt>
                <c:pt idx="8">
                  <c:v>2.6134998012732294E-2</c:v>
                </c:pt>
                <c:pt idx="9">
                  <c:v>2.6565164256855518E-2</c:v>
                </c:pt>
                <c:pt idx="10">
                  <c:v>2.6943546814817761E-2</c:v>
                </c:pt>
                <c:pt idx="11">
                  <c:v>2.7277923494967084E-2</c:v>
                </c:pt>
                <c:pt idx="12">
                  <c:v>2.7574747633965325E-2</c:v>
                </c:pt>
                <c:pt idx="13">
                  <c:v>2.7839391973207256E-2</c:v>
                </c:pt>
                <c:pt idx="14">
                  <c:v>2.8076345248612338E-2</c:v>
                </c:pt>
                <c:pt idx="15">
                  <c:v>2.8289370997202922E-2</c:v>
                </c:pt>
                <c:pt idx="16">
                  <c:v>2.8481636123720507E-2</c:v>
                </c:pt>
                <c:pt idx="17">
                  <c:v>2.8655815222627622E-2</c:v>
                </c:pt>
                <c:pt idx="18">
                  <c:v>2.8814175427171101E-2</c:v>
                </c:pt>
                <c:pt idx="19">
                  <c:v>2.895864558874011E-2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val>
            <c:numRef>
              <c:f>'問題5.6-5.7解答例'!$AC$25:$AV$25</c:f>
              <c:numCache>
                <c:formatCode>General</c:formatCode>
                <c:ptCount val="20"/>
                <c:pt idx="0">
                  <c:v>2.2784437228703592E-2</c:v>
                </c:pt>
                <c:pt idx="1">
                  <c:v>2.3978700560119286E-2</c:v>
                </c:pt>
                <c:pt idx="2">
                  <c:v>2.4973234724543134E-2</c:v>
                </c:pt>
                <c:pt idx="3">
                  <c:v>2.5804834245411006E-2</c:v>
                </c:pt>
                <c:pt idx="4">
                  <c:v>2.6503140394304688E-2</c:v>
                </c:pt>
                <c:pt idx="5">
                  <c:v>2.7092081754947463E-2</c:v>
                </c:pt>
                <c:pt idx="6">
                  <c:v>2.7591017263979098E-2</c:v>
                </c:pt>
                <c:pt idx="7">
                  <c:v>2.8015644359274627E-2</c:v>
                </c:pt>
                <c:pt idx="8">
                  <c:v>2.8378721484169686E-2</c:v>
                </c:pt>
                <c:pt idx="9">
                  <c:v>2.8690643707453681E-2</c:v>
                </c:pt>
                <c:pt idx="10">
                  <c:v>2.8959901992422214E-2</c:v>
                </c:pt>
                <c:pt idx="11">
                  <c:v>2.9193450190815051E-2</c:v>
                </c:pt>
                <c:pt idx="12">
                  <c:v>2.9396998764573048E-2</c:v>
                </c:pt>
                <c:pt idx="13">
                  <c:v>2.9575250249820034E-2</c:v>
                </c:pt>
                <c:pt idx="14">
                  <c:v>2.9732088338803843E-2</c:v>
                </c:pt>
                <c:pt idx="15">
                  <c:v>2.9870729983409991E-2</c:v>
                </c:pt>
                <c:pt idx="16">
                  <c:v>2.9993847974924569E-2</c:v>
                </c:pt>
                <c:pt idx="17">
                  <c:v>3.0103669916762138E-2</c:v>
                </c:pt>
                <c:pt idx="18">
                  <c:v>3.0202058292012599E-2</c:v>
                </c:pt>
                <c:pt idx="19">
                  <c:v>3.0290575367025951E-2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val>
            <c:numRef>
              <c:f>'問題5.6-5.7解答例'!$AC$26:$AV$26</c:f>
              <c:numCache>
                <c:formatCode>General</c:formatCode>
                <c:ptCount val="20"/>
                <c:pt idx="0">
                  <c:v>2.1411813542158376E-2</c:v>
                </c:pt>
                <c:pt idx="1">
                  <c:v>2.2694135968215502E-2</c:v>
                </c:pt>
                <c:pt idx="2">
                  <c:v>2.3769196787302192E-2</c:v>
                </c:pt>
                <c:pt idx="3">
                  <c:v>2.4674515375395611E-2</c:v>
                </c:pt>
                <c:pt idx="4">
                  <c:v>2.5440383453288449E-2</c:v>
                </c:pt>
                <c:pt idx="5">
                  <c:v>2.6091313606018039E-2</c:v>
                </c:pt>
                <c:pt idx="6">
                  <c:v>2.6647189404151995E-2</c:v>
                </c:pt>
                <c:pt idx="7">
                  <c:v>2.7124179855921658E-2</c:v>
                </c:pt>
                <c:pt idx="8">
                  <c:v>2.7535467525590149E-2</c:v>
                </c:pt>
                <c:pt idx="9">
                  <c:v>2.7891829155031075E-2</c:v>
                </c:pt>
                <c:pt idx="10">
                  <c:v>2.8202099390157664E-2</c:v>
                </c:pt>
                <c:pt idx="11">
                  <c:v>2.8473541748620174E-2</c:v>
                </c:pt>
                <c:pt idx="12">
                  <c:v>2.8712145885431663E-2</c:v>
                </c:pt>
                <c:pt idx="13">
                  <c:v>2.8922866218578855E-2</c:v>
                </c:pt>
                <c:pt idx="14">
                  <c:v>2.9109813832623163E-2</c:v>
                </c:pt>
                <c:pt idx="15">
                  <c:v>2.9276411101413286E-2</c:v>
                </c:pt>
                <c:pt idx="16">
                  <c:v>2.9425516517874829E-2</c:v>
                </c:pt>
                <c:pt idx="17">
                  <c:v>2.9559525677144791E-2</c:v>
                </c:pt>
                <c:pt idx="18">
                  <c:v>2.9680453141145879E-2</c:v>
                </c:pt>
                <c:pt idx="19">
                  <c:v>2.97899989491263E-2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val>
            <c:numRef>
              <c:f>'問題5.6-5.7解答例'!$AC$27:$AV$27</c:f>
              <c:numCache>
                <c:formatCode>General</c:formatCode>
                <c:ptCount val="20"/>
                <c:pt idx="0">
                  <c:v>2.0947047186335957E-2</c:v>
                </c:pt>
                <c:pt idx="1">
                  <c:v>2.2259186163655239E-2</c:v>
                </c:pt>
                <c:pt idx="2">
                  <c:v>2.3361513071911946E-2</c:v>
                </c:pt>
                <c:pt idx="3">
                  <c:v>2.4291792720028512E-2</c:v>
                </c:pt>
                <c:pt idx="4">
                  <c:v>2.5080537068993356E-2</c:v>
                </c:pt>
                <c:pt idx="5">
                  <c:v>2.5752456444976504E-2</c:v>
                </c:pt>
                <c:pt idx="6">
                  <c:v>2.6327612058055349E-2</c:v>
                </c:pt>
                <c:pt idx="7">
                  <c:v>2.6822332588801259E-2</c:v>
                </c:pt>
                <c:pt idx="8">
                  <c:v>2.724994420757991E-2</c:v>
                </c:pt>
                <c:pt idx="9">
                  <c:v>2.7621352889652173E-2</c:v>
                </c:pt>
                <c:pt idx="10">
                  <c:v>2.7945509650857958E-2</c:v>
                </c:pt>
                <c:pt idx="11">
                  <c:v>2.8229782860816888E-2</c:v>
                </c:pt>
                <c:pt idx="12">
                  <c:v>2.84802567084977E-2</c:v>
                </c:pt>
                <c:pt idx="13">
                  <c:v>2.870197089834739E-2</c:v>
                </c:pt>
                <c:pt idx="14">
                  <c:v>2.8899113509298049E-2</c:v>
                </c:pt>
                <c:pt idx="15">
                  <c:v>2.9075176470472825E-2</c:v>
                </c:pt>
                <c:pt idx="16">
                  <c:v>2.9233081152828001E-2</c:v>
                </c:pt>
                <c:pt idx="17">
                  <c:v>2.9375280033005251E-2</c:v>
                </c:pt>
                <c:pt idx="18">
                  <c:v>2.9503839166374186E-2</c:v>
                </c:pt>
                <c:pt idx="19">
                  <c:v>2.9620505241682402E-2</c:v>
                </c:pt>
              </c:numCache>
            </c:numRef>
          </c:val>
          <c:smooth val="0"/>
        </c:ser>
        <c:ser>
          <c:idx val="7"/>
          <c:order val="7"/>
          <c:marker>
            <c:symbol val="none"/>
          </c:marker>
          <c:val>
            <c:numRef>
              <c:f>'問題5.6-5.7解答例'!$AC$28:$AV$28</c:f>
              <c:numCache>
                <c:formatCode>General</c:formatCode>
                <c:ptCount val="20"/>
                <c:pt idx="0">
                  <c:v>3.1418446916252514E-2</c:v>
                </c:pt>
                <c:pt idx="1">
                  <c:v>3.2058805281825364E-2</c:v>
                </c:pt>
                <c:pt idx="2">
                  <c:v>3.2546814662158655E-2</c:v>
                </c:pt>
                <c:pt idx="3">
                  <c:v>3.2914710149050209E-2</c:v>
                </c:pt>
                <c:pt idx="4">
                  <c:v>3.3188041590596108E-2</c:v>
                </c:pt>
                <c:pt idx="5">
                  <c:v>3.338706411431127E-2</c:v>
                </c:pt>
                <c:pt idx="6">
                  <c:v>3.3527836630426286E-2</c:v>
                </c:pt>
                <c:pt idx="7">
                  <c:v>3.3623090328262689E-2</c:v>
                </c:pt>
                <c:pt idx="8">
                  <c:v>3.3682915866655193E-2</c:v>
                </c:pt>
                <c:pt idx="9">
                  <c:v>3.3715307533218615E-2</c:v>
                </c:pt>
                <c:pt idx="10">
                  <c:v>3.3726594475829499E-2</c:v>
                </c:pt>
                <c:pt idx="11">
                  <c:v>3.3721782701019096E-2</c:v>
                </c:pt>
                <c:pt idx="12">
                  <c:v>3.3704826504261175E-2</c:v>
                </c:pt>
                <c:pt idx="13">
                  <c:v>3.3678844046831934E-2</c:v>
                </c:pt>
                <c:pt idx="14">
                  <c:v>3.3646288689084418E-2</c:v>
                </c:pt>
                <c:pt idx="15">
                  <c:v>3.3609085247821892E-2</c:v>
                </c:pt>
                <c:pt idx="16">
                  <c:v>3.3568738423053676E-2</c:v>
                </c:pt>
                <c:pt idx="17">
                  <c:v>3.3526419124962799E-2</c:v>
                </c:pt>
                <c:pt idx="18">
                  <c:v>3.3483033237879753E-2</c:v>
                </c:pt>
                <c:pt idx="19">
                  <c:v>3.3439276415878023E-2</c:v>
                </c:pt>
              </c:numCache>
            </c:numRef>
          </c:val>
          <c:smooth val="0"/>
        </c:ser>
        <c:ser>
          <c:idx val="8"/>
          <c:order val="8"/>
          <c:marker>
            <c:symbol val="none"/>
          </c:marker>
          <c:val>
            <c:numRef>
              <c:f>'問題5.6-5.7解答例'!$AC$29:$AV$29</c:f>
              <c:numCache>
                <c:formatCode>General</c:formatCode>
                <c:ptCount val="20"/>
                <c:pt idx="0">
                  <c:v>2.9027710545908844E-2</c:v>
                </c:pt>
                <c:pt idx="1">
                  <c:v>2.9821443854929363E-2</c:v>
                </c:pt>
                <c:pt idx="2">
                  <c:v>3.0449708721141028E-2</c:v>
                </c:pt>
                <c:pt idx="3">
                  <c:v>3.0946002731918998E-2</c:v>
                </c:pt>
                <c:pt idx="4">
                  <c:v>3.133700864061284E-2</c:v>
                </c:pt>
                <c:pt idx="5">
                  <c:v>3.1643998745864217E-2</c:v>
                </c:pt>
                <c:pt idx="6">
                  <c:v>3.1883945727223549E-2</c:v>
                </c:pt>
                <c:pt idx="7">
                  <c:v>3.2070402121052381E-2</c:v>
                </c:pt>
                <c:pt idx="8">
                  <c:v>3.2214197289252185E-2</c:v>
                </c:pt>
                <c:pt idx="9">
                  <c:v>3.232399028993016E-2</c:v>
                </c:pt>
                <c:pt idx="10">
                  <c:v>3.240670887241634E-2</c:v>
                </c:pt>
                <c:pt idx="11">
                  <c:v>3.2467898396862399E-2</c:v>
                </c:pt>
                <c:pt idx="12">
                  <c:v>3.2511999436983297E-2</c:v>
                </c:pt>
                <c:pt idx="13">
                  <c:v>3.2542568863613078E-2</c:v>
                </c:pt>
                <c:pt idx="14">
                  <c:v>3.2562456092542096E-2</c:v>
                </c:pt>
                <c:pt idx="15">
                  <c:v>3.2573943729648253E-2</c:v>
                </c:pt>
                <c:pt idx="16">
                  <c:v>3.2578859916586225E-2</c:v>
                </c:pt>
                <c:pt idx="17">
                  <c:v>3.257866815933546E-2</c:v>
                </c:pt>
                <c:pt idx="18">
                  <c:v>3.2574539222105986E-2</c:v>
                </c:pt>
                <c:pt idx="19">
                  <c:v>3.2567408721811665E-2</c:v>
                </c:pt>
              </c:numCache>
            </c:numRef>
          </c:val>
          <c:smooth val="0"/>
        </c:ser>
        <c:ser>
          <c:idx val="9"/>
          <c:order val="9"/>
          <c:marker>
            <c:symbol val="none"/>
          </c:marker>
          <c:val>
            <c:numRef>
              <c:f>'問題5.6-5.7解答例'!$AC$30:$AV$30</c:f>
              <c:numCache>
                <c:formatCode>General</c:formatCode>
                <c:ptCount val="20"/>
                <c:pt idx="0">
                  <c:v>3.515793993341447E-2</c:v>
                </c:pt>
                <c:pt idx="1">
                  <c:v>3.5558395423394333E-2</c:v>
                </c:pt>
                <c:pt idx="2">
                  <c:v>3.5827022852389576E-2</c:v>
                </c:pt>
                <c:pt idx="3">
                  <c:v>3.5994082567740962E-2</c:v>
                </c:pt>
                <c:pt idx="4">
                  <c:v>3.6083352373024243E-2</c:v>
                </c:pt>
                <c:pt idx="5">
                  <c:v>3.6113496377868447E-2</c:v>
                </c:pt>
                <c:pt idx="6">
                  <c:v>3.6099144211537378E-2</c:v>
                </c:pt>
                <c:pt idx="7">
                  <c:v>3.6051742345573165E-2</c:v>
                </c:pt>
                <c:pt idx="8">
                  <c:v>3.5980225989387424E-2</c:v>
                </c:pt>
                <c:pt idx="9">
                  <c:v>3.5891549623510773E-2</c:v>
                </c:pt>
                <c:pt idx="10">
                  <c:v>3.5791106087666738E-2</c:v>
                </c:pt>
                <c:pt idx="11">
                  <c:v>3.5683057753294695E-2</c:v>
                </c:pt>
                <c:pt idx="12">
                  <c:v>3.5570598299135489E-2</c:v>
                </c:pt>
                <c:pt idx="13">
                  <c:v>3.5456159674740556E-2</c:v>
                </c:pt>
                <c:pt idx="14">
                  <c:v>3.5341575746586244E-2</c:v>
                </c:pt>
                <c:pt idx="15">
                  <c:v>3.5228211692294009E-2</c:v>
                </c:pt>
                <c:pt idx="16">
                  <c:v>3.5117066297549362E-2</c:v>
                </c:pt>
                <c:pt idx="17">
                  <c:v>3.5008852806039263E-2</c:v>
                </c:pt>
                <c:pt idx="18">
                  <c:v>3.4904062787713006E-2</c:v>
                </c:pt>
                <c:pt idx="19">
                  <c:v>3.4803016556486495E-2</c:v>
                </c:pt>
              </c:numCache>
            </c:numRef>
          </c:val>
          <c:smooth val="0"/>
        </c:ser>
        <c:ser>
          <c:idx val="10"/>
          <c:order val="10"/>
          <c:marker>
            <c:symbol val="none"/>
          </c:marker>
          <c:val>
            <c:numRef>
              <c:f>'問題5.6-5.7解答例'!$AC$31:$AV$31</c:f>
              <c:numCache>
                <c:formatCode>General</c:formatCode>
                <c:ptCount val="20"/>
                <c:pt idx="0">
                  <c:v>3.0206030283283464E-2</c:v>
                </c:pt>
                <c:pt idx="1">
                  <c:v>3.0924169844149675E-2</c:v>
                </c:pt>
                <c:pt idx="2">
                  <c:v>3.1483307135554001E-2</c:v>
                </c:pt>
                <c:pt idx="3">
                  <c:v>3.1916317499995267E-2</c:v>
                </c:pt>
                <c:pt idx="4">
                  <c:v>3.2249325316994232E-2</c:v>
                </c:pt>
                <c:pt idx="5">
                  <c:v>3.2503101553121916E-2</c:v>
                </c:pt>
                <c:pt idx="6">
                  <c:v>3.2694168519398638E-2</c:v>
                </c:pt>
                <c:pt idx="7">
                  <c:v>3.2835673935728345E-2</c:v>
                </c:pt>
                <c:pt idx="8">
                  <c:v>3.2938083080203684E-2</c:v>
                </c:pt>
                <c:pt idx="9">
                  <c:v>3.3009727366193724E-2</c:v>
                </c:pt>
                <c:pt idx="10">
                  <c:v>3.3057239510955447E-2</c:v>
                </c:pt>
                <c:pt idx="11">
                  <c:v>3.3085899043985068E-2</c:v>
                </c:pt>
                <c:pt idx="12">
                  <c:v>3.3099906867548788E-2</c:v>
                </c:pt>
                <c:pt idx="13">
                  <c:v>3.3102603626159181E-2</c:v>
                </c:pt>
                <c:pt idx="14">
                  <c:v>3.3096643532176943E-2</c:v>
                </c:pt>
                <c:pt idx="15">
                  <c:v>3.3084132848352543E-2</c:v>
                </c:pt>
                <c:pt idx="16">
                  <c:v>3.3066740301994774E-2</c:v>
                </c:pt>
                <c:pt idx="17">
                  <c:v>3.3045785187698573E-2</c:v>
                </c:pt>
                <c:pt idx="18">
                  <c:v>3.3022307718604441E-2</c:v>
                </c:pt>
                <c:pt idx="19">
                  <c:v>3.2997125241391784E-2</c:v>
                </c:pt>
              </c:numCache>
            </c:numRef>
          </c:val>
          <c:smooth val="0"/>
        </c:ser>
        <c:ser>
          <c:idx val="11"/>
          <c:order val="11"/>
          <c:marker>
            <c:symbol val="none"/>
          </c:marker>
          <c:val>
            <c:numRef>
              <c:f>'問題5.6-5.7解答例'!$AC$32:$AV$32</c:f>
              <c:numCache>
                <c:formatCode>General</c:formatCode>
                <c:ptCount val="20"/>
                <c:pt idx="0">
                  <c:v>3.6678119023908905E-2</c:v>
                </c:pt>
                <c:pt idx="1">
                  <c:v>3.6981049171936738E-2</c:v>
                </c:pt>
                <c:pt idx="2">
                  <c:v>3.7160493427243618E-2</c:v>
                </c:pt>
                <c:pt idx="3">
                  <c:v>3.7245909363848119E-2</c:v>
                </c:pt>
                <c:pt idx="4">
                  <c:v>3.7260354413603189E-2</c:v>
                </c:pt>
                <c:pt idx="5">
                  <c:v>3.7221845905381294E-2</c:v>
                </c:pt>
                <c:pt idx="6">
                  <c:v>3.714443243699888E-2</c:v>
                </c:pt>
                <c:pt idx="7">
                  <c:v>3.7039038216392699E-2</c:v>
                </c:pt>
                <c:pt idx="8">
                  <c:v>3.6914128739554658E-2</c:v>
                </c:pt>
                <c:pt idx="9">
                  <c:v>3.6776235784531291E-2</c:v>
                </c:pt>
                <c:pt idx="10">
                  <c:v>3.66303715629583E-2</c:v>
                </c:pt>
                <c:pt idx="11">
                  <c:v>3.6480355491649741E-2</c:v>
                </c:pt>
                <c:pt idx="12">
                  <c:v>3.6329072043353033E-2</c:v>
                </c:pt>
                <c:pt idx="13">
                  <c:v>3.6178674208757845E-2</c:v>
                </c:pt>
                <c:pt idx="14">
                  <c:v>3.6030744017625294E-2</c:v>
                </c:pt>
                <c:pt idx="15">
                  <c:v>3.5886419142998421E-2</c:v>
                </c:pt>
                <c:pt idx="16">
                  <c:v>3.5746492706219157E-2</c:v>
                </c:pt>
                <c:pt idx="17">
                  <c:v>3.5611491900342872E-2</c:v>
                </c:pt>
                <c:pt idx="18">
                  <c:v>3.5481739868193474E-2</c:v>
                </c:pt>
                <c:pt idx="19">
                  <c:v>3.5357404340366973E-2</c:v>
                </c:pt>
              </c:numCache>
            </c:numRef>
          </c:val>
          <c:smooth val="0"/>
        </c:ser>
        <c:ser>
          <c:idx val="12"/>
          <c:order val="12"/>
          <c:marker>
            <c:symbol val="none"/>
          </c:marker>
          <c:val>
            <c:numRef>
              <c:f>'問題5.6-5.7解答例'!$AC$33:$AV$33</c:f>
              <c:numCache>
                <c:formatCode>General</c:formatCode>
                <c:ptCount val="20"/>
                <c:pt idx="0">
                  <c:v>3.0118325489658801E-2</c:v>
                </c:pt>
                <c:pt idx="1">
                  <c:v>3.0842091650734527E-2</c:v>
                </c:pt>
                <c:pt idx="2">
                  <c:v>3.1406374251590902E-2</c:v>
                </c:pt>
                <c:pt idx="3">
                  <c:v>3.1844094949709634E-2</c:v>
                </c:pt>
                <c:pt idx="4">
                  <c:v>3.2181419685539184E-2</c:v>
                </c:pt>
                <c:pt idx="5">
                  <c:v>3.243915674084135E-2</c:v>
                </c:pt>
                <c:pt idx="6">
                  <c:v>3.2633861948504692E-2</c:v>
                </c:pt>
                <c:pt idx="7">
                  <c:v>3.2778713159765729E-2</c:v>
                </c:pt>
                <c:pt idx="8">
                  <c:v>3.2884202752233714E-2</c:v>
                </c:pt>
                <c:pt idx="9">
                  <c:v>3.2958686526558395E-2</c:v>
                </c:pt>
                <c:pt idx="10">
                  <c:v>3.3008819159848782E-2</c:v>
                </c:pt>
                <c:pt idx="11">
                  <c:v>3.3039899967930747E-2</c:v>
                </c:pt>
                <c:pt idx="12">
                  <c:v>3.3056147692315893E-2</c:v>
                </c:pt>
                <c:pt idx="13">
                  <c:v>3.3060919071692507E-2</c:v>
                </c:pt>
                <c:pt idx="14">
                  <c:v>3.3056882847819366E-2</c:v>
                </c:pt>
                <c:pt idx="15">
                  <c:v>3.3046158409033376E-2</c:v>
                </c:pt>
                <c:pt idx="16">
                  <c:v>3.3030426348185329E-2</c:v>
                </c:pt>
                <c:pt idx="17">
                  <c:v>3.3011016693824037E-2</c:v>
                </c:pt>
                <c:pt idx="18">
                  <c:v>3.298897937627817E-2</c:v>
                </c:pt>
                <c:pt idx="19">
                  <c:v>3.2965140545327155E-2</c:v>
                </c:pt>
              </c:numCache>
            </c:numRef>
          </c:val>
          <c:smooth val="0"/>
        </c:ser>
        <c:ser>
          <c:idx val="13"/>
          <c:order val="13"/>
          <c:marker>
            <c:symbol val="none"/>
          </c:marker>
          <c:val>
            <c:numRef>
              <c:f>'問題5.6-5.7解答例'!$AC$34:$AV$34</c:f>
              <c:numCache>
                <c:formatCode>General</c:formatCode>
                <c:ptCount val="20"/>
                <c:pt idx="0">
                  <c:v>2.5835497986674064E-2</c:v>
                </c:pt>
                <c:pt idx="1">
                  <c:v>2.683402402266314E-2</c:v>
                </c:pt>
                <c:pt idx="2">
                  <c:v>2.7649563959884896E-2</c:v>
                </c:pt>
                <c:pt idx="3">
                  <c:v>2.8317301123334061E-2</c:v>
                </c:pt>
                <c:pt idx="4">
                  <c:v>2.8865430969485264E-2</c:v>
                </c:pt>
                <c:pt idx="5">
                  <c:v>2.9316583966992549E-2</c:v>
                </c:pt>
                <c:pt idx="6">
                  <c:v>2.9688952898942272E-2</c:v>
                </c:pt>
                <c:pt idx="7">
                  <c:v>2.9997186999085601E-2</c:v>
                </c:pt>
                <c:pt idx="8">
                  <c:v>3.0253101976976754E-2</c:v>
                </c:pt>
                <c:pt idx="9">
                  <c:v>3.0466244520467978E-2</c:v>
                </c:pt>
                <c:pt idx="10">
                  <c:v>3.064434165692825E-2</c:v>
                </c:pt>
                <c:pt idx="11">
                  <c:v>3.0793658914329669E-2</c:v>
                </c:pt>
                <c:pt idx="12">
                  <c:v>3.0919286165711039E-2</c:v>
                </c:pt>
                <c:pt idx="13">
                  <c:v>3.1025366065507567E-2</c:v>
                </c:pt>
                <c:pt idx="14">
                  <c:v>3.1115276859520646E-2</c:v>
                </c:pt>
                <c:pt idx="15">
                  <c:v>3.119177888876945E-2</c:v>
                </c:pt>
                <c:pt idx="16">
                  <c:v>3.1257132167906126E-2</c:v>
                </c:pt>
                <c:pt idx="17">
                  <c:v>3.1313190889222409E-2</c:v>
                </c:pt>
                <c:pt idx="18">
                  <c:v>3.1361479495773309E-2</c:v>
                </c:pt>
                <c:pt idx="19">
                  <c:v>3.140325401303061E-2</c:v>
                </c:pt>
              </c:numCache>
            </c:numRef>
          </c:val>
          <c:smooth val="0"/>
        </c:ser>
        <c:ser>
          <c:idx val="14"/>
          <c:order val="14"/>
          <c:marker>
            <c:symbol val="none"/>
          </c:marker>
          <c:val>
            <c:numRef>
              <c:f>'問題5.6-5.7解答例'!$AC$35:$AV$35</c:f>
              <c:numCache>
                <c:formatCode>General</c:formatCode>
                <c:ptCount val="20"/>
                <c:pt idx="0">
                  <c:v>3.0994883560671586E-2</c:v>
                </c:pt>
                <c:pt idx="1">
                  <c:v>3.1662415146393084E-2</c:v>
                </c:pt>
                <c:pt idx="2">
                  <c:v>3.2175273391274635E-2</c:v>
                </c:pt>
                <c:pt idx="3">
                  <c:v>3.256591706165627E-2</c:v>
                </c:pt>
                <c:pt idx="4">
                  <c:v>3.2860096720843245E-2</c:v>
                </c:pt>
                <c:pt idx="5">
                  <c:v>3.3078247707109411E-2</c:v>
                </c:pt>
                <c:pt idx="6">
                  <c:v>3.3236590821893487E-2</c:v>
                </c:pt>
                <c:pt idx="7">
                  <c:v>3.3348002771401541E-2</c:v>
                </c:pt>
                <c:pt idx="8">
                  <c:v>3.3422705089437864E-2</c:v>
                </c:pt>
                <c:pt idx="9">
                  <c:v>3.3468809840058011E-2</c:v>
                </c:pt>
                <c:pt idx="10">
                  <c:v>3.349275222450495E-2</c:v>
                </c:pt>
                <c:pt idx="11">
                  <c:v>3.3499633805822208E-2</c:v>
                </c:pt>
                <c:pt idx="12">
                  <c:v>3.3493495032706516E-2</c:v>
                </c:pt>
                <c:pt idx="13">
                  <c:v>3.3477531791981215E-2</c:v>
                </c:pt>
                <c:pt idx="14">
                  <c:v>3.3454267612576735E-2</c:v>
                </c:pt>
                <c:pt idx="15">
                  <c:v>3.3425690700276803E-2</c:v>
                </c:pt>
                <c:pt idx="16">
                  <c:v>3.3393363058786089E-2</c:v>
                </c:pt>
                <c:pt idx="17">
                  <c:v>3.3358507437067877E-2</c:v>
                </c:pt>
                <c:pt idx="18">
                  <c:v>3.3322076647843431E-2</c:v>
                </c:pt>
                <c:pt idx="19">
                  <c:v>3.3284808859060683E-2</c:v>
                </c:pt>
              </c:numCache>
            </c:numRef>
          </c:val>
          <c:smooth val="0"/>
        </c:ser>
        <c:ser>
          <c:idx val="15"/>
          <c:order val="15"/>
          <c:marker>
            <c:symbol val="none"/>
          </c:marker>
          <c:val>
            <c:numRef>
              <c:f>'問題5.6-5.7解答例'!$AC$36:$AV$36</c:f>
              <c:numCache>
                <c:formatCode>General</c:formatCode>
                <c:ptCount val="20"/>
                <c:pt idx="0">
                  <c:v>2.3503143202623054E-2</c:v>
                </c:pt>
                <c:pt idx="1">
                  <c:v>2.4651298778506692E-2</c:v>
                </c:pt>
                <c:pt idx="2">
                  <c:v>2.5603669174132697E-2</c:v>
                </c:pt>
                <c:pt idx="3">
                  <c:v>2.6396669380034554E-2</c:v>
                </c:pt>
                <c:pt idx="4">
                  <c:v>2.7059600092486924E-2</c:v>
                </c:pt>
                <c:pt idx="5">
                  <c:v>2.7616084112035012E-2</c:v>
                </c:pt>
                <c:pt idx="6">
                  <c:v>2.8085205676913069E-2</c:v>
                </c:pt>
                <c:pt idx="7">
                  <c:v>2.8482415310684853E-2</c:v>
                </c:pt>
                <c:pt idx="8">
                  <c:v>2.8820249386902974E-2</c:v>
                </c:pt>
                <c:pt idx="9">
                  <c:v>2.9108903130271108E-2</c:v>
                </c:pt>
                <c:pt idx="10">
                  <c:v>2.9356687551813258E-2</c:v>
                </c:pt>
                <c:pt idx="11">
                  <c:v>2.9570394362150729E-2</c:v>
                </c:pt>
                <c:pt idx="12">
                  <c:v>2.975558783768871E-2</c:v>
                </c:pt>
                <c:pt idx="13">
                  <c:v>2.9916838629168791E-2</c:v>
                </c:pt>
                <c:pt idx="14">
                  <c:v>3.0057911366188343E-2</c:v>
                </c:pt>
                <c:pt idx="15">
                  <c:v>3.0181915441661294E-2</c:v>
                </c:pt>
                <c:pt idx="16">
                  <c:v>3.029142641346665E-2</c:v>
                </c:pt>
                <c:pt idx="17">
                  <c:v>3.0388583924527198E-2</c:v>
                </c:pt>
                <c:pt idx="18">
                  <c:v>3.0475170829432536E-2</c:v>
                </c:pt>
                <c:pt idx="19">
                  <c:v>3.0552677256621918E-2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0696704"/>
        <c:axId val="281112576"/>
      </c:lineChart>
      <c:catAx>
        <c:axId val="280696704"/>
        <c:scaling>
          <c:orientation val="minMax"/>
        </c:scaling>
        <c:delete val="0"/>
        <c:axPos val="b"/>
        <c:majorTickMark val="out"/>
        <c:minorTickMark val="none"/>
        <c:tickLblPos val="nextTo"/>
        <c:crossAx val="281112576"/>
        <c:crosses val="autoZero"/>
        <c:auto val="1"/>
        <c:lblAlgn val="ctr"/>
        <c:lblOffset val="100"/>
        <c:noMultiLvlLbl val="0"/>
      </c:catAx>
      <c:valAx>
        <c:axId val="281112576"/>
        <c:scaling>
          <c:orientation val="minMax"/>
          <c:max val="6.0000000000000005E-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6967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123826</xdr:colOff>
      <xdr:row>1</xdr:row>
      <xdr:rowOff>57150</xdr:rowOff>
    </xdr:from>
    <xdr:to>
      <xdr:col>14</xdr:col>
      <xdr:colOff>180976</xdr:colOff>
      <xdr:row>14</xdr:row>
      <xdr:rowOff>85725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447675</xdr:colOff>
      <xdr:row>0</xdr:row>
      <xdr:rowOff>66675</xdr:rowOff>
    </xdr:from>
    <xdr:to>
      <xdr:col>21</xdr:col>
      <xdr:colOff>219075</xdr:colOff>
      <xdr:row>16</xdr:row>
      <xdr:rowOff>47625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552450</xdr:colOff>
      <xdr:row>41</xdr:row>
      <xdr:rowOff>19050</xdr:rowOff>
    </xdr:from>
    <xdr:to>
      <xdr:col>18</xdr:col>
      <xdr:colOff>304800</xdr:colOff>
      <xdr:row>44</xdr:row>
      <xdr:rowOff>161925</xdr:rowOff>
    </xdr:to>
    <xdr:sp macro="" textlink="">
      <xdr:nvSpPr>
        <xdr:cNvPr id="4" name="四角形吹き出し 3"/>
        <xdr:cNvSpPr/>
      </xdr:nvSpPr>
      <xdr:spPr>
        <a:xfrm>
          <a:off x="9467850" y="7067550"/>
          <a:ext cx="3181350" cy="657225"/>
        </a:xfrm>
        <a:prstGeom prst="wedgeRectCallout">
          <a:avLst>
            <a:gd name="adj1" fmla="val -30502"/>
            <a:gd name="adj2" fmla="val -9100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ここで利用している関数は，「開発」→「</a:t>
          </a:r>
          <a:r>
            <a:rPr kumimoji="1" lang="en-US" altLang="ja-JP" sz="1100"/>
            <a:t>Visual Basic</a:t>
          </a:r>
          <a:r>
            <a:rPr kumimoji="1" lang="ja-JP" altLang="en-US" sz="1100"/>
            <a:t>」とすると表れる</a:t>
          </a:r>
          <a:r>
            <a:rPr kumimoji="1" lang="en-US" altLang="ja-JP" sz="1100"/>
            <a:t>Visual Basic</a:t>
          </a:r>
          <a:r>
            <a:rPr kumimoji="1" lang="ja-JP" altLang="en-US" sz="1100" baseline="0"/>
            <a:t> のウィンドウで確認できる．</a:t>
          </a:r>
          <a:endParaRPr kumimoji="1" lang="ja-JP" altLang="en-US" sz="1100"/>
        </a:p>
      </xdr:txBody>
    </xdr:sp>
    <xdr:clientData/>
  </xdr:twoCellAnchor>
  <xdr:twoCellAnchor>
    <xdr:from>
      <xdr:col>5</xdr:col>
      <xdr:colOff>371475</xdr:colOff>
      <xdr:row>59</xdr:row>
      <xdr:rowOff>57150</xdr:rowOff>
    </xdr:from>
    <xdr:to>
      <xdr:col>7</xdr:col>
      <xdr:colOff>638175</xdr:colOff>
      <xdr:row>63</xdr:row>
      <xdr:rowOff>38100</xdr:rowOff>
    </xdr:to>
    <xdr:sp macro="" textlink="">
      <xdr:nvSpPr>
        <xdr:cNvPr id="5" name="四角形吹き出し 4"/>
        <xdr:cNvSpPr/>
      </xdr:nvSpPr>
      <xdr:spPr>
        <a:xfrm>
          <a:off x="3800475" y="10191750"/>
          <a:ext cx="1638300" cy="666750"/>
        </a:xfrm>
        <a:prstGeom prst="wedgeRectCallout">
          <a:avLst>
            <a:gd name="adj1" fmla="val -16548"/>
            <a:gd name="adj2" fmla="val -9529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問題</a:t>
          </a:r>
          <a:r>
            <a:rPr kumimoji="1" lang="en-US" altLang="ja-JP" sz="1100"/>
            <a:t>5.6</a:t>
          </a:r>
          <a:r>
            <a:rPr kumimoji="1" lang="ja-JP" altLang="en-US" sz="1100"/>
            <a:t>　</a:t>
          </a:r>
          <a:r>
            <a:rPr kumimoji="1" lang="en-US" altLang="ja-JP" sz="1100"/>
            <a:t>Δ</a:t>
          </a:r>
          <a:r>
            <a:rPr kumimoji="1" lang="ja-JP" altLang="en-US" sz="1100"/>
            <a:t>ｒを累積すればスポットレートのシナリオが得られる</a:t>
          </a:r>
        </a:p>
      </xdr:txBody>
    </xdr:sp>
    <xdr:clientData/>
  </xdr:twoCellAnchor>
  <xdr:twoCellAnchor>
    <xdr:from>
      <xdr:col>28</xdr:col>
      <xdr:colOff>323850</xdr:colOff>
      <xdr:row>60</xdr:row>
      <xdr:rowOff>28575</xdr:rowOff>
    </xdr:from>
    <xdr:to>
      <xdr:col>31</xdr:col>
      <xdr:colOff>571500</xdr:colOff>
      <xdr:row>64</xdr:row>
      <xdr:rowOff>0</xdr:rowOff>
    </xdr:to>
    <xdr:sp macro="" textlink="">
      <xdr:nvSpPr>
        <xdr:cNvPr id="6" name="四角形吹き出し 5"/>
        <xdr:cNvSpPr/>
      </xdr:nvSpPr>
      <xdr:spPr>
        <a:xfrm>
          <a:off x="19526250" y="10334625"/>
          <a:ext cx="2305050" cy="657225"/>
        </a:xfrm>
        <a:prstGeom prst="wedgeRectCallout">
          <a:avLst>
            <a:gd name="adj1" fmla="val -27609"/>
            <a:gd name="adj2" fmla="val -10260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問題</a:t>
          </a:r>
          <a:r>
            <a:rPr kumimoji="1" lang="en-US" altLang="ja-JP" sz="1100"/>
            <a:t>5.7</a:t>
          </a:r>
          <a:r>
            <a:rPr kumimoji="1" lang="ja-JP" altLang="en-US" sz="1100"/>
            <a:t>　ゼロイールドのシナリオ</a:t>
          </a:r>
        </a:p>
      </xdr:txBody>
    </xdr:sp>
    <xdr:clientData/>
  </xdr:twoCellAnchor>
  <xdr:twoCellAnchor>
    <xdr:from>
      <xdr:col>14</xdr:col>
      <xdr:colOff>238124</xdr:colOff>
      <xdr:row>60</xdr:row>
      <xdr:rowOff>123825</xdr:rowOff>
    </xdr:from>
    <xdr:to>
      <xdr:col>19</xdr:col>
      <xdr:colOff>438149</xdr:colOff>
      <xdr:row>64</xdr:row>
      <xdr:rowOff>95250</xdr:rowOff>
    </xdr:to>
    <xdr:sp macro="" textlink="">
      <xdr:nvSpPr>
        <xdr:cNvPr id="7" name="四角形吹き出し 6"/>
        <xdr:cNvSpPr/>
      </xdr:nvSpPr>
      <xdr:spPr>
        <a:xfrm>
          <a:off x="9839324" y="10429875"/>
          <a:ext cx="3629025" cy="657225"/>
        </a:xfrm>
        <a:prstGeom prst="wedgeRectCallout">
          <a:avLst>
            <a:gd name="adj1" fmla="val -27609"/>
            <a:gd name="adj2" fmla="val -10260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ディスカウントファクターの生成</a:t>
          </a:r>
          <a:endParaRPr kumimoji="1" lang="en-US" altLang="ja-JP" sz="1100"/>
        </a:p>
        <a:p>
          <a:pPr algn="l"/>
          <a:r>
            <a:rPr kumimoji="1" lang="ja-JP" altLang="en-US" sz="1100"/>
            <a:t>問題</a:t>
          </a:r>
          <a:r>
            <a:rPr kumimoji="1" lang="en-US" altLang="ja-JP" sz="1100"/>
            <a:t>5.7</a:t>
          </a:r>
          <a:r>
            <a:rPr kumimoji="1" lang="ja-JP" altLang="en-US" sz="1100"/>
            <a:t>のゼロイールドのシナリオは，もっと右！</a:t>
          </a:r>
        </a:p>
      </xdr:txBody>
    </xdr:sp>
    <xdr:clientData/>
  </xdr:twoCellAnchor>
  <xdr:twoCellAnchor>
    <xdr:from>
      <xdr:col>9</xdr:col>
      <xdr:colOff>380999</xdr:colOff>
      <xdr:row>14</xdr:row>
      <xdr:rowOff>171449</xdr:rowOff>
    </xdr:from>
    <xdr:to>
      <xdr:col>13</xdr:col>
      <xdr:colOff>495300</xdr:colOff>
      <xdr:row>16</xdr:row>
      <xdr:rowOff>66674</xdr:rowOff>
    </xdr:to>
    <xdr:sp macro="" textlink="">
      <xdr:nvSpPr>
        <xdr:cNvPr id="8" name="四角形吹き出し 7"/>
        <xdr:cNvSpPr/>
      </xdr:nvSpPr>
      <xdr:spPr>
        <a:xfrm>
          <a:off x="6553199" y="2571749"/>
          <a:ext cx="2857501" cy="257175"/>
        </a:xfrm>
        <a:prstGeom prst="wedgeRectCallout">
          <a:avLst>
            <a:gd name="adj1" fmla="val -16548"/>
            <a:gd name="adj2" fmla="val -9529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問題</a:t>
          </a:r>
          <a:r>
            <a:rPr kumimoji="1" lang="en-US" altLang="ja-JP" sz="1100"/>
            <a:t>5.6</a:t>
          </a:r>
          <a:r>
            <a:rPr kumimoji="1" lang="ja-JP" altLang="en-US" sz="1100"/>
            <a:t>　スポットレートのシナリオ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（グラフ）</a:t>
          </a:r>
          <a:endParaRPr kumimoji="1" lang="ja-JP" altLang="en-US" sz="1100"/>
        </a:p>
      </xdr:txBody>
    </xdr:sp>
    <xdr:clientData/>
  </xdr:twoCellAnchor>
  <xdr:twoCellAnchor>
    <xdr:from>
      <xdr:col>15</xdr:col>
      <xdr:colOff>600074</xdr:colOff>
      <xdr:row>16</xdr:row>
      <xdr:rowOff>47625</xdr:rowOff>
    </xdr:from>
    <xdr:to>
      <xdr:col>20</xdr:col>
      <xdr:colOff>400049</xdr:colOff>
      <xdr:row>18</xdr:row>
      <xdr:rowOff>19050</xdr:rowOff>
    </xdr:to>
    <xdr:sp macro="" textlink="">
      <xdr:nvSpPr>
        <xdr:cNvPr id="9" name="四角形吹き出し 8"/>
        <xdr:cNvSpPr/>
      </xdr:nvSpPr>
      <xdr:spPr>
        <a:xfrm>
          <a:off x="10887074" y="2809875"/>
          <a:ext cx="3228975" cy="314325"/>
        </a:xfrm>
        <a:prstGeom prst="wedgeRectCallout">
          <a:avLst>
            <a:gd name="adj1" fmla="val -27609"/>
            <a:gd name="adj2" fmla="val -10260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問題</a:t>
          </a:r>
          <a:r>
            <a:rPr kumimoji="1" lang="en-US" altLang="ja-JP" sz="1100"/>
            <a:t>5.7</a:t>
          </a:r>
          <a:r>
            <a:rPr kumimoji="1" lang="ja-JP" altLang="en-US" sz="1100"/>
            <a:t>　ゼロイールドのシナリオ（グラフ）</a:t>
          </a:r>
        </a:p>
      </xdr:txBody>
    </xdr:sp>
    <xdr:clientData/>
  </xdr:twoCellAnchor>
  <xdr:twoCellAnchor>
    <xdr:from>
      <xdr:col>2</xdr:col>
      <xdr:colOff>504825</xdr:colOff>
      <xdr:row>59</xdr:row>
      <xdr:rowOff>95250</xdr:rowOff>
    </xdr:from>
    <xdr:to>
      <xdr:col>5</xdr:col>
      <xdr:colOff>85725</xdr:colOff>
      <xdr:row>63</xdr:row>
      <xdr:rowOff>76200</xdr:rowOff>
    </xdr:to>
    <xdr:sp macro="" textlink="">
      <xdr:nvSpPr>
        <xdr:cNvPr id="10" name="四角形吹き出し 9"/>
        <xdr:cNvSpPr/>
      </xdr:nvSpPr>
      <xdr:spPr>
        <a:xfrm>
          <a:off x="1876425" y="10229850"/>
          <a:ext cx="1638300" cy="666750"/>
        </a:xfrm>
        <a:prstGeom prst="wedgeRectCallout">
          <a:avLst>
            <a:gd name="adj1" fmla="val 18336"/>
            <a:gd name="adj2" fmla="val -10672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問題</a:t>
          </a:r>
          <a:r>
            <a:rPr kumimoji="1" lang="en-US" altLang="ja-JP" sz="1100"/>
            <a:t>5.6</a:t>
          </a:r>
          <a:r>
            <a:rPr kumimoji="1" lang="ja-JP" altLang="en-US" sz="1100"/>
            <a:t>　</a:t>
          </a:r>
          <a:r>
            <a:rPr kumimoji="1" lang="en-US" altLang="ja-JP" sz="1100"/>
            <a:t>=NORMINV()</a:t>
          </a:r>
          <a:r>
            <a:rPr kumimoji="1" lang="ja-JP" altLang="en-US" sz="1100"/>
            <a:t>で正規乱数を生成する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123826</xdr:colOff>
      <xdr:row>1</xdr:row>
      <xdr:rowOff>57150</xdr:rowOff>
    </xdr:from>
    <xdr:to>
      <xdr:col>14</xdr:col>
      <xdr:colOff>180976</xdr:colOff>
      <xdr:row>14</xdr:row>
      <xdr:rowOff>85725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447675</xdr:colOff>
      <xdr:row>0</xdr:row>
      <xdr:rowOff>66675</xdr:rowOff>
    </xdr:from>
    <xdr:to>
      <xdr:col>21</xdr:col>
      <xdr:colOff>219075</xdr:colOff>
      <xdr:row>16</xdr:row>
      <xdr:rowOff>47625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552450</xdr:colOff>
      <xdr:row>41</xdr:row>
      <xdr:rowOff>19050</xdr:rowOff>
    </xdr:from>
    <xdr:to>
      <xdr:col>18</xdr:col>
      <xdr:colOff>304800</xdr:colOff>
      <xdr:row>44</xdr:row>
      <xdr:rowOff>161925</xdr:rowOff>
    </xdr:to>
    <xdr:sp macro="" textlink="">
      <xdr:nvSpPr>
        <xdr:cNvPr id="4" name="四角形吹き出し 3"/>
        <xdr:cNvSpPr/>
      </xdr:nvSpPr>
      <xdr:spPr>
        <a:xfrm>
          <a:off x="9467850" y="7067550"/>
          <a:ext cx="3181350" cy="657225"/>
        </a:xfrm>
        <a:prstGeom prst="wedgeRectCallout">
          <a:avLst>
            <a:gd name="adj1" fmla="val -30502"/>
            <a:gd name="adj2" fmla="val -9100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ここで利用している関数は，「開発」→「</a:t>
          </a:r>
          <a:r>
            <a:rPr kumimoji="1" lang="en-US" altLang="ja-JP" sz="1100"/>
            <a:t>Visual Basic</a:t>
          </a:r>
          <a:r>
            <a:rPr kumimoji="1" lang="ja-JP" altLang="en-US" sz="1100"/>
            <a:t>」とすると表れる</a:t>
          </a:r>
          <a:r>
            <a:rPr kumimoji="1" lang="en-US" altLang="ja-JP" sz="1100"/>
            <a:t>Visual Basic</a:t>
          </a:r>
          <a:r>
            <a:rPr kumimoji="1" lang="ja-JP" altLang="en-US" sz="1100" baseline="0"/>
            <a:t> のウィンドウで確認できる．</a:t>
          </a:r>
          <a:endParaRPr kumimoji="1" lang="ja-JP" altLang="en-US" sz="1100"/>
        </a:p>
      </xdr:txBody>
    </xdr:sp>
    <xdr:clientData/>
  </xdr:twoCellAnchor>
  <xdr:twoCellAnchor>
    <xdr:from>
      <xdr:col>5</xdr:col>
      <xdr:colOff>323850</xdr:colOff>
      <xdr:row>59</xdr:row>
      <xdr:rowOff>104775</xdr:rowOff>
    </xdr:from>
    <xdr:to>
      <xdr:col>7</xdr:col>
      <xdr:colOff>590550</xdr:colOff>
      <xdr:row>63</xdr:row>
      <xdr:rowOff>85725</xdr:rowOff>
    </xdr:to>
    <xdr:sp macro="" textlink="">
      <xdr:nvSpPr>
        <xdr:cNvPr id="6" name="四角形吹き出し 5"/>
        <xdr:cNvSpPr/>
      </xdr:nvSpPr>
      <xdr:spPr>
        <a:xfrm>
          <a:off x="3752850" y="10239375"/>
          <a:ext cx="1638300" cy="666750"/>
        </a:xfrm>
        <a:prstGeom prst="wedgeRectCallout">
          <a:avLst>
            <a:gd name="adj1" fmla="val -16548"/>
            <a:gd name="adj2" fmla="val -9529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問題</a:t>
          </a:r>
          <a:r>
            <a:rPr kumimoji="1" lang="en-US" altLang="ja-JP" sz="1100"/>
            <a:t>5.6</a:t>
          </a:r>
          <a:r>
            <a:rPr kumimoji="1" lang="ja-JP" altLang="en-US" sz="1100"/>
            <a:t>　スポットレートのシナリオ</a:t>
          </a:r>
        </a:p>
      </xdr:txBody>
    </xdr:sp>
    <xdr:clientData/>
  </xdr:twoCellAnchor>
  <xdr:twoCellAnchor>
    <xdr:from>
      <xdr:col>28</xdr:col>
      <xdr:colOff>323850</xdr:colOff>
      <xdr:row>60</xdr:row>
      <xdr:rowOff>28575</xdr:rowOff>
    </xdr:from>
    <xdr:to>
      <xdr:col>31</xdr:col>
      <xdr:colOff>571500</xdr:colOff>
      <xdr:row>64</xdr:row>
      <xdr:rowOff>0</xdr:rowOff>
    </xdr:to>
    <xdr:sp macro="" textlink="">
      <xdr:nvSpPr>
        <xdr:cNvPr id="7" name="四角形吹き出し 6"/>
        <xdr:cNvSpPr/>
      </xdr:nvSpPr>
      <xdr:spPr>
        <a:xfrm>
          <a:off x="19526250" y="10334625"/>
          <a:ext cx="2305050" cy="657225"/>
        </a:xfrm>
        <a:prstGeom prst="wedgeRectCallout">
          <a:avLst>
            <a:gd name="adj1" fmla="val -27609"/>
            <a:gd name="adj2" fmla="val -10260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問題</a:t>
          </a:r>
          <a:r>
            <a:rPr kumimoji="1" lang="en-US" altLang="ja-JP" sz="1100"/>
            <a:t>5.7</a:t>
          </a:r>
          <a:r>
            <a:rPr kumimoji="1" lang="ja-JP" altLang="en-US" sz="1100"/>
            <a:t>　ゼロイールドのシナリオ</a:t>
          </a:r>
        </a:p>
      </xdr:txBody>
    </xdr:sp>
    <xdr:clientData/>
  </xdr:twoCellAnchor>
  <xdr:twoCellAnchor>
    <xdr:from>
      <xdr:col>14</xdr:col>
      <xdr:colOff>238124</xdr:colOff>
      <xdr:row>60</xdr:row>
      <xdr:rowOff>123825</xdr:rowOff>
    </xdr:from>
    <xdr:to>
      <xdr:col>19</xdr:col>
      <xdr:colOff>438149</xdr:colOff>
      <xdr:row>64</xdr:row>
      <xdr:rowOff>95250</xdr:rowOff>
    </xdr:to>
    <xdr:sp macro="" textlink="">
      <xdr:nvSpPr>
        <xdr:cNvPr id="8" name="四角形吹き出し 7"/>
        <xdr:cNvSpPr/>
      </xdr:nvSpPr>
      <xdr:spPr>
        <a:xfrm>
          <a:off x="9839324" y="10429875"/>
          <a:ext cx="3629025" cy="657225"/>
        </a:xfrm>
        <a:prstGeom prst="wedgeRectCallout">
          <a:avLst>
            <a:gd name="adj1" fmla="val -27609"/>
            <a:gd name="adj2" fmla="val -10260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ディスカウントファクターの生成</a:t>
          </a:r>
          <a:endParaRPr kumimoji="1" lang="en-US" altLang="ja-JP" sz="1100"/>
        </a:p>
        <a:p>
          <a:pPr algn="l"/>
          <a:r>
            <a:rPr kumimoji="1" lang="ja-JP" altLang="en-US" sz="1100"/>
            <a:t>問題</a:t>
          </a:r>
          <a:r>
            <a:rPr kumimoji="1" lang="en-US" altLang="ja-JP" sz="1100"/>
            <a:t>5.7</a:t>
          </a:r>
          <a:r>
            <a:rPr kumimoji="1" lang="ja-JP" altLang="en-US" sz="1100"/>
            <a:t>のゼロイールドのシナリオは，もっと右！</a:t>
          </a:r>
        </a:p>
      </xdr:txBody>
    </xdr:sp>
    <xdr:clientData/>
  </xdr:twoCellAnchor>
  <xdr:twoCellAnchor>
    <xdr:from>
      <xdr:col>9</xdr:col>
      <xdr:colOff>380999</xdr:colOff>
      <xdr:row>14</xdr:row>
      <xdr:rowOff>171449</xdr:rowOff>
    </xdr:from>
    <xdr:to>
      <xdr:col>13</xdr:col>
      <xdr:colOff>495300</xdr:colOff>
      <xdr:row>16</xdr:row>
      <xdr:rowOff>66674</xdr:rowOff>
    </xdr:to>
    <xdr:sp macro="" textlink="">
      <xdr:nvSpPr>
        <xdr:cNvPr id="9" name="四角形吹き出し 8"/>
        <xdr:cNvSpPr/>
      </xdr:nvSpPr>
      <xdr:spPr>
        <a:xfrm>
          <a:off x="6553199" y="2571749"/>
          <a:ext cx="2857501" cy="257175"/>
        </a:xfrm>
        <a:prstGeom prst="wedgeRectCallout">
          <a:avLst>
            <a:gd name="adj1" fmla="val -16548"/>
            <a:gd name="adj2" fmla="val -9529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問題</a:t>
          </a:r>
          <a:r>
            <a:rPr kumimoji="1" lang="en-US" altLang="ja-JP" sz="1100"/>
            <a:t>5.6</a:t>
          </a:r>
          <a:r>
            <a:rPr kumimoji="1" lang="ja-JP" altLang="en-US" sz="1100"/>
            <a:t>　スポットレートのシナリオ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（グラフ）</a:t>
          </a:r>
          <a:endParaRPr kumimoji="1" lang="ja-JP" altLang="en-US" sz="1100"/>
        </a:p>
      </xdr:txBody>
    </xdr:sp>
    <xdr:clientData/>
  </xdr:twoCellAnchor>
  <xdr:twoCellAnchor>
    <xdr:from>
      <xdr:col>15</xdr:col>
      <xdr:colOff>600074</xdr:colOff>
      <xdr:row>16</xdr:row>
      <xdr:rowOff>47625</xdr:rowOff>
    </xdr:from>
    <xdr:to>
      <xdr:col>20</xdr:col>
      <xdr:colOff>400049</xdr:colOff>
      <xdr:row>18</xdr:row>
      <xdr:rowOff>19050</xdr:rowOff>
    </xdr:to>
    <xdr:sp macro="" textlink="">
      <xdr:nvSpPr>
        <xdr:cNvPr id="10" name="四角形吹き出し 9"/>
        <xdr:cNvSpPr/>
      </xdr:nvSpPr>
      <xdr:spPr>
        <a:xfrm>
          <a:off x="10887074" y="2809875"/>
          <a:ext cx="3228975" cy="314325"/>
        </a:xfrm>
        <a:prstGeom prst="wedgeRectCallout">
          <a:avLst>
            <a:gd name="adj1" fmla="val -27609"/>
            <a:gd name="adj2" fmla="val -10260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問題</a:t>
          </a:r>
          <a:r>
            <a:rPr kumimoji="1" lang="en-US" altLang="ja-JP" sz="1100"/>
            <a:t>5.7</a:t>
          </a:r>
          <a:r>
            <a:rPr kumimoji="1" lang="ja-JP" altLang="en-US" sz="1100"/>
            <a:t>　ゼロイールドのシナリオ（グラフ）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57"/>
  <sheetViews>
    <sheetView tabSelected="1" topLeftCell="A19" workbookViewId="0">
      <selection activeCell="F12" sqref="F12"/>
    </sheetView>
  </sheetViews>
  <sheetFormatPr defaultRowHeight="13.5"/>
  <sheetData>
    <row r="1" spans="1:48">
      <c r="A1" s="1"/>
      <c r="B1" s="1"/>
      <c r="C1" s="1"/>
      <c r="D1" s="1"/>
      <c r="E1" s="1"/>
      <c r="F1" s="1"/>
      <c r="G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</row>
    <row r="2" spans="1:48">
      <c r="A2" s="1"/>
      <c r="B2" s="1"/>
      <c r="C2" s="1"/>
      <c r="D2" s="1"/>
      <c r="E2" s="1"/>
      <c r="F2" s="1"/>
      <c r="G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>
      <c r="A3" s="1"/>
      <c r="B3" s="1"/>
      <c r="C3" s="1"/>
      <c r="D3" s="1"/>
      <c r="E3" s="2" t="s">
        <v>0</v>
      </c>
      <c r="F3" s="1"/>
      <c r="G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</row>
    <row r="4" spans="1:48">
      <c r="A4" s="1"/>
      <c r="B4" s="1"/>
      <c r="C4" s="1"/>
      <c r="D4" s="1"/>
      <c r="E4" s="1"/>
      <c r="F4" s="1"/>
      <c r="G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</row>
    <row r="5" spans="1:48">
      <c r="A5" s="1"/>
      <c r="B5" s="1"/>
      <c r="C5" s="1"/>
      <c r="D5" s="1"/>
      <c r="E5" s="1"/>
      <c r="F5" s="1"/>
      <c r="G5" s="1"/>
      <c r="I5" s="6"/>
      <c r="J5" s="6"/>
      <c r="K5" s="6"/>
      <c r="L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</row>
    <row r="6" spans="1:48">
      <c r="A6" s="1"/>
      <c r="B6" s="1"/>
      <c r="C6" s="1"/>
      <c r="D6" s="1"/>
      <c r="E6" s="1" t="s">
        <v>1</v>
      </c>
      <c r="F6">
        <v>0.1373187852344426</v>
      </c>
      <c r="G6" s="1" t="s">
        <v>19</v>
      </c>
      <c r="I6" s="6"/>
      <c r="J6" s="6"/>
      <c r="K6" s="6">
        <v>100</v>
      </c>
      <c r="L6" s="6"/>
      <c r="M6" s="6">
        <f>uho*uho</f>
        <v>10000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</row>
    <row r="7" spans="1:48">
      <c r="A7" s="1"/>
      <c r="B7" s="1"/>
      <c r="C7" s="1"/>
      <c r="D7" s="1"/>
      <c r="E7" s="1" t="s">
        <v>2</v>
      </c>
      <c r="F7" s="3">
        <v>2.8575299576692446E-2</v>
      </c>
      <c r="G7" s="1" t="s">
        <v>20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</row>
    <row r="8" spans="1:48">
      <c r="A8" s="1"/>
      <c r="B8" s="1"/>
      <c r="C8" s="1"/>
      <c r="D8" s="1"/>
      <c r="E8" s="1" t="s">
        <v>3</v>
      </c>
      <c r="F8">
        <v>2.1679877506284143E-2</v>
      </c>
      <c r="G8" s="1" t="s">
        <v>21</v>
      </c>
      <c r="I8" s="6"/>
      <c r="J8" s="6"/>
      <c r="K8" s="6"/>
      <c r="L8" s="6"/>
      <c r="M8" s="6"/>
      <c r="N8" s="6"/>
      <c r="O8" s="6"/>
      <c r="P8" s="7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</row>
    <row r="9" spans="1:48">
      <c r="A9" s="1"/>
      <c r="B9" s="1"/>
      <c r="C9" s="1"/>
      <c r="D9" s="1"/>
      <c r="E9" s="1" t="s">
        <v>4</v>
      </c>
      <c r="F9">
        <v>-0.1</v>
      </c>
      <c r="G9" s="13" t="s">
        <v>22</v>
      </c>
      <c r="H9" s="2" t="s">
        <v>5</v>
      </c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</row>
    <row r="10" spans="1:48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</row>
    <row r="11" spans="1:48">
      <c r="A11" s="1"/>
      <c r="B11" s="1"/>
      <c r="C11" s="1"/>
      <c r="D11" s="1"/>
      <c r="E11" s="1" t="s">
        <v>17</v>
      </c>
      <c r="F11" s="3">
        <f>b-sigma/a*lambda</f>
        <v>4.4363290614677794E-2</v>
      </c>
      <c r="G11" s="13" t="s">
        <v>23</v>
      </c>
      <c r="H11" s="2" t="s">
        <v>6</v>
      </c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</row>
    <row r="12" spans="1:48">
      <c r="A12" s="1"/>
      <c r="B12" s="1"/>
      <c r="C12" s="1"/>
      <c r="D12" s="1"/>
      <c r="E12" s="2" t="s">
        <v>7</v>
      </c>
      <c r="F12" s="22">
        <f>1/4</f>
        <v>0.25</v>
      </c>
      <c r="G12" s="2" t="s">
        <v>8</v>
      </c>
      <c r="I12" s="6"/>
      <c r="J12" s="6"/>
      <c r="K12" s="6"/>
      <c r="L12" s="6"/>
      <c r="M12" s="6"/>
      <c r="N12" s="6"/>
      <c r="O12" s="6"/>
      <c r="P12" s="6"/>
      <c r="Q12" s="7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</row>
    <row r="13" spans="1:48">
      <c r="A13" s="1"/>
      <c r="B13" s="1"/>
      <c r="C13" s="1"/>
      <c r="D13" s="1"/>
      <c r="E13" s="1"/>
      <c r="F13" s="1"/>
      <c r="G13" s="1"/>
      <c r="I13" s="6"/>
      <c r="J13" s="6"/>
      <c r="K13" s="6"/>
      <c r="L13" s="6"/>
      <c r="M13" s="6"/>
      <c r="N13" s="6"/>
      <c r="O13" s="6"/>
      <c r="P13" s="7"/>
      <c r="Q13" s="7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</row>
    <row r="14" spans="1:48">
      <c r="A14" s="1"/>
      <c r="B14" s="1"/>
      <c r="C14" s="1"/>
      <c r="D14" s="1"/>
      <c r="E14" s="1"/>
      <c r="F14" s="1"/>
      <c r="G14" s="1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</row>
    <row r="15" spans="1:48" ht="14.25" thickBot="1">
      <c r="A15" s="1"/>
      <c r="B15" s="1"/>
      <c r="C15" s="1"/>
      <c r="D15" s="1"/>
      <c r="E15" s="2" t="s">
        <v>9</v>
      </c>
      <c r="F15" s="1"/>
      <c r="G15" s="1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</row>
    <row r="16" spans="1:48" ht="14.25" thickBot="1">
      <c r="A16" s="1"/>
      <c r="B16" s="1"/>
      <c r="C16" s="1"/>
      <c r="D16" s="1"/>
      <c r="E16" s="2" t="s">
        <v>18</v>
      </c>
      <c r="F16" s="1"/>
      <c r="G16" s="1"/>
      <c r="I16" s="8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10"/>
      <c r="AD16" s="11"/>
      <c r="AE16" s="11"/>
      <c r="AF16" s="12"/>
      <c r="AG16" s="13"/>
      <c r="AH16" s="13"/>
      <c r="AI16" s="13"/>
      <c r="AJ16" s="13"/>
      <c r="AK16" s="13"/>
      <c r="AL16" s="13"/>
      <c r="AM16" s="13"/>
      <c r="AN16" s="13"/>
      <c r="AO16" s="1"/>
      <c r="AP16" s="1"/>
      <c r="AQ16" s="1"/>
      <c r="AR16" s="1"/>
      <c r="AS16" s="1"/>
      <c r="AT16" s="1"/>
      <c r="AU16" s="1"/>
      <c r="AV16" s="1"/>
    </row>
    <row r="17" spans="1:48">
      <c r="A17" s="1"/>
      <c r="B17" s="1"/>
      <c r="C17" s="1"/>
      <c r="D17" s="1"/>
      <c r="E17" s="1"/>
      <c r="F17" s="1"/>
      <c r="G17" s="1"/>
      <c r="I17" s="14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5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2"/>
      <c r="AP17" s="1"/>
      <c r="AQ17" s="1"/>
      <c r="AR17" s="1"/>
      <c r="AS17" s="1"/>
      <c r="AT17" s="1"/>
      <c r="AU17" s="1"/>
      <c r="AV17" s="1"/>
    </row>
    <row r="18" spans="1:48">
      <c r="A18" s="1"/>
      <c r="B18" s="1"/>
      <c r="C18" s="1"/>
      <c r="D18" s="1"/>
      <c r="E18" s="1"/>
      <c r="F18" s="1"/>
      <c r="G18" s="1"/>
      <c r="I18" s="16" t="s">
        <v>14</v>
      </c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8" t="s">
        <v>15</v>
      </c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</row>
    <row r="19" spans="1:48">
      <c r="A19" s="1"/>
      <c r="B19" s="1"/>
      <c r="C19" s="1"/>
      <c r="D19" s="1"/>
      <c r="E19" s="1"/>
      <c r="F19" s="1"/>
      <c r="G19" s="1"/>
      <c r="I19" s="16" t="s">
        <v>16</v>
      </c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8" t="s">
        <v>16</v>
      </c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</row>
    <row r="20" spans="1:48">
      <c r="A20" s="1"/>
      <c r="B20" s="1"/>
      <c r="C20" s="14" t="s">
        <v>24</v>
      </c>
      <c r="D20" s="1" t="s">
        <v>10</v>
      </c>
      <c r="E20" s="2" t="s">
        <v>11</v>
      </c>
      <c r="F20" s="2" t="s">
        <v>12</v>
      </c>
      <c r="G20" s="1" t="s">
        <v>13</v>
      </c>
      <c r="I20" s="17">
        <v>1</v>
      </c>
      <c r="J20" s="17">
        <v>2</v>
      </c>
      <c r="K20" s="17">
        <v>3</v>
      </c>
      <c r="L20" s="17">
        <v>4</v>
      </c>
      <c r="M20" s="17">
        <v>5</v>
      </c>
      <c r="N20" s="17">
        <v>6</v>
      </c>
      <c r="O20" s="17">
        <v>7</v>
      </c>
      <c r="P20" s="17">
        <v>8</v>
      </c>
      <c r="Q20" s="17">
        <v>9</v>
      </c>
      <c r="R20" s="17">
        <v>10</v>
      </c>
      <c r="S20" s="17">
        <v>11</v>
      </c>
      <c r="T20" s="17">
        <v>12</v>
      </c>
      <c r="U20" s="17">
        <v>13</v>
      </c>
      <c r="V20" s="17">
        <v>14</v>
      </c>
      <c r="W20" s="17">
        <v>15</v>
      </c>
      <c r="X20" s="17">
        <v>16</v>
      </c>
      <c r="Y20" s="17">
        <v>17</v>
      </c>
      <c r="Z20" s="17">
        <v>18</v>
      </c>
      <c r="AA20" s="17">
        <v>19</v>
      </c>
      <c r="AB20" s="17">
        <v>20</v>
      </c>
      <c r="AC20" s="19">
        <v>1</v>
      </c>
      <c r="AD20" s="19">
        <v>2</v>
      </c>
      <c r="AE20" s="19">
        <v>3</v>
      </c>
      <c r="AF20" s="19">
        <v>4</v>
      </c>
      <c r="AG20" s="19">
        <v>5</v>
      </c>
      <c r="AH20" s="19">
        <v>6</v>
      </c>
      <c r="AI20" s="19">
        <v>7</v>
      </c>
      <c r="AJ20" s="19">
        <v>8</v>
      </c>
      <c r="AK20" s="19">
        <v>9</v>
      </c>
      <c r="AL20" s="19">
        <v>10</v>
      </c>
      <c r="AM20" s="19">
        <v>11</v>
      </c>
      <c r="AN20" s="19">
        <v>12</v>
      </c>
      <c r="AO20" s="19">
        <v>13</v>
      </c>
      <c r="AP20" s="19">
        <v>14</v>
      </c>
      <c r="AQ20" s="19">
        <v>15</v>
      </c>
      <c r="AR20" s="19">
        <v>16</v>
      </c>
      <c r="AS20" s="19">
        <v>17</v>
      </c>
      <c r="AT20" s="19">
        <v>18</v>
      </c>
      <c r="AU20" s="19">
        <v>19</v>
      </c>
      <c r="AV20" s="19">
        <v>20</v>
      </c>
    </row>
    <row r="21" spans="1:48">
      <c r="A21" s="1"/>
      <c r="B21" s="1"/>
      <c r="C21" s="1">
        <f ca="1">RAND()</f>
        <v>0.58295099964416863</v>
      </c>
      <c r="D21" s="4">
        <v>0</v>
      </c>
      <c r="E21" s="1"/>
      <c r="F21" s="1"/>
      <c r="G21" s="23">
        <v>3.0000000000000001E-3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</row>
    <row r="22" spans="1:48">
      <c r="A22" s="1"/>
      <c r="B22" s="1"/>
      <c r="C22" s="1">
        <f ca="1">RAND()</f>
        <v>0.91407950000511784</v>
      </c>
      <c r="D22" s="4">
        <f t="shared" ref="D22:D57" si="0">+D21+dt</f>
        <v>0.25</v>
      </c>
      <c r="E22" s="5"/>
      <c r="F22" s="5"/>
      <c r="G22" s="24">
        <f>+G21+F22</f>
        <v>3.0000000000000001E-3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</row>
    <row r="23" spans="1:48">
      <c r="A23" s="1"/>
      <c r="B23" s="1"/>
      <c r="C23" s="1">
        <f t="shared" ref="C23:C57" ca="1" si="1">RAND()</f>
        <v>0.42465140678468816</v>
      </c>
      <c r="D23" s="4">
        <f t="shared" si="0"/>
        <v>0.5</v>
      </c>
      <c r="E23" s="5"/>
      <c r="F23" s="5"/>
      <c r="G23" s="24">
        <f t="shared" ref="G23:G57" si="2">+G22+F23</f>
        <v>3.0000000000000001E-3</v>
      </c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</row>
    <row r="24" spans="1:48">
      <c r="C24" s="1">
        <f t="shared" ca="1" si="1"/>
        <v>0.85752427802458375</v>
      </c>
      <c r="D24" s="4">
        <f t="shared" si="0"/>
        <v>0.75</v>
      </c>
      <c r="E24" s="5"/>
      <c r="F24" s="5"/>
      <c r="G24" s="24">
        <f t="shared" si="2"/>
        <v>3.0000000000000001E-3</v>
      </c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</row>
    <row r="25" spans="1:48">
      <c r="C25" s="1">
        <f t="shared" ca="1" si="1"/>
        <v>6.672168099899578E-2</v>
      </c>
      <c r="D25" s="4">
        <f t="shared" si="0"/>
        <v>1</v>
      </c>
      <c r="E25" s="5"/>
      <c r="F25" s="5"/>
      <c r="G25" s="24">
        <f t="shared" si="2"/>
        <v>3.0000000000000001E-3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</row>
    <row r="26" spans="1:48">
      <c r="C26" s="1">
        <f t="shared" ca="1" si="1"/>
        <v>0.71027019241734712</v>
      </c>
      <c r="D26" s="4">
        <f t="shared" si="0"/>
        <v>1.25</v>
      </c>
      <c r="E26" s="5"/>
      <c r="F26" s="5"/>
      <c r="G26" s="24">
        <f t="shared" si="2"/>
        <v>3.0000000000000001E-3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</row>
    <row r="27" spans="1:48">
      <c r="C27" s="1">
        <f t="shared" ca="1" si="1"/>
        <v>0.89092185874803642</v>
      </c>
      <c r="D27" s="4">
        <f t="shared" si="0"/>
        <v>1.5</v>
      </c>
      <c r="E27" s="5"/>
      <c r="F27" s="5"/>
      <c r="G27" s="24">
        <f t="shared" si="2"/>
        <v>3.0000000000000001E-3</v>
      </c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</row>
    <row r="28" spans="1:48">
      <c r="C28" s="1">
        <f t="shared" ca="1" si="1"/>
        <v>0.16993129113807903</v>
      </c>
      <c r="D28" s="4">
        <f t="shared" si="0"/>
        <v>1.75</v>
      </c>
      <c r="E28" s="5"/>
      <c r="F28" s="5"/>
      <c r="G28" s="24">
        <f t="shared" si="2"/>
        <v>3.0000000000000001E-3</v>
      </c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</row>
    <row r="29" spans="1:48">
      <c r="C29" s="1">
        <f t="shared" ca="1" si="1"/>
        <v>0.95439280663471304</v>
      </c>
      <c r="D29" s="4">
        <f t="shared" si="0"/>
        <v>2</v>
      </c>
      <c r="E29" s="5"/>
      <c r="F29" s="5"/>
      <c r="G29" s="24">
        <f t="shared" si="2"/>
        <v>3.0000000000000001E-3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</row>
    <row r="30" spans="1:48">
      <c r="C30" s="1">
        <f t="shared" ca="1" si="1"/>
        <v>0.98258785039322916</v>
      </c>
      <c r="D30" s="4">
        <f t="shared" si="0"/>
        <v>2.25</v>
      </c>
      <c r="E30" s="5"/>
      <c r="F30" s="5"/>
      <c r="G30" s="24">
        <f t="shared" si="2"/>
        <v>3.0000000000000001E-3</v>
      </c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</row>
    <row r="31" spans="1:48">
      <c r="C31" s="1">
        <f t="shared" ca="1" si="1"/>
        <v>0.38137556197061662</v>
      </c>
      <c r="D31" s="4">
        <f t="shared" si="0"/>
        <v>2.5</v>
      </c>
      <c r="E31" s="5"/>
      <c r="F31" s="5"/>
      <c r="G31" s="24">
        <f t="shared" si="2"/>
        <v>3.0000000000000001E-3</v>
      </c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</row>
    <row r="32" spans="1:48">
      <c r="C32" s="1">
        <f t="shared" ca="1" si="1"/>
        <v>0.14231930021798378</v>
      </c>
      <c r="D32" s="4">
        <f t="shared" si="0"/>
        <v>2.75</v>
      </c>
      <c r="E32" s="5"/>
      <c r="F32" s="5"/>
      <c r="G32" s="24">
        <f t="shared" si="2"/>
        <v>3.0000000000000001E-3</v>
      </c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</row>
    <row r="33" spans="3:48">
      <c r="C33" s="1">
        <f t="shared" ca="1" si="1"/>
        <v>0.77227780938792867</v>
      </c>
      <c r="D33" s="4">
        <f t="shared" si="0"/>
        <v>3</v>
      </c>
      <c r="E33" s="5"/>
      <c r="F33" s="5"/>
      <c r="G33" s="24">
        <f t="shared" si="2"/>
        <v>3.0000000000000001E-3</v>
      </c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</row>
    <row r="34" spans="3:48">
      <c r="C34" s="1">
        <f t="shared" ca="1" si="1"/>
        <v>0.67883333334511431</v>
      </c>
      <c r="D34" s="4">
        <f t="shared" si="0"/>
        <v>3.25</v>
      </c>
      <c r="E34" s="5"/>
      <c r="F34" s="5"/>
      <c r="G34" s="24">
        <f t="shared" si="2"/>
        <v>3.0000000000000001E-3</v>
      </c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</row>
    <row r="35" spans="3:48">
      <c r="C35" s="1">
        <f t="shared" ca="1" si="1"/>
        <v>0.69597195733908512</v>
      </c>
      <c r="D35" s="4">
        <f t="shared" si="0"/>
        <v>3.5</v>
      </c>
      <c r="E35" s="5"/>
      <c r="F35" s="5"/>
      <c r="G35" s="24">
        <f t="shared" si="2"/>
        <v>3.0000000000000001E-3</v>
      </c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</row>
    <row r="36" spans="3:48">
      <c r="C36" s="1">
        <f t="shared" ca="1" si="1"/>
        <v>0.23152084944702422</v>
      </c>
      <c r="D36" s="4">
        <f t="shared" si="0"/>
        <v>3.75</v>
      </c>
      <c r="E36" s="5"/>
      <c r="F36" s="5"/>
      <c r="G36" s="24">
        <f t="shared" si="2"/>
        <v>3.0000000000000001E-3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</row>
    <row r="37" spans="3:48">
      <c r="C37" s="1">
        <f t="shared" ca="1" si="1"/>
        <v>0.97491326752070218</v>
      </c>
      <c r="D37" s="4">
        <f t="shared" si="0"/>
        <v>4</v>
      </c>
      <c r="E37" s="5"/>
      <c r="F37" s="5"/>
      <c r="G37" s="24">
        <f t="shared" si="2"/>
        <v>3.0000000000000001E-3</v>
      </c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</row>
    <row r="38" spans="3:48">
      <c r="C38" s="1">
        <f t="shared" ca="1" si="1"/>
        <v>0.30221761355605647</v>
      </c>
      <c r="D38" s="4">
        <f t="shared" si="0"/>
        <v>4.25</v>
      </c>
      <c r="E38" s="5"/>
      <c r="F38" s="5"/>
      <c r="G38" s="24">
        <f t="shared" si="2"/>
        <v>3.0000000000000001E-3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</row>
    <row r="39" spans="3:48">
      <c r="C39" s="1">
        <f t="shared" ca="1" si="1"/>
        <v>0.72610037624775381</v>
      </c>
      <c r="D39" s="4">
        <f t="shared" si="0"/>
        <v>4.5</v>
      </c>
      <c r="E39" s="5"/>
      <c r="F39" s="5"/>
      <c r="G39" s="24">
        <f t="shared" si="2"/>
        <v>3.0000000000000001E-3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</row>
    <row r="40" spans="3:48">
      <c r="C40" s="1">
        <f t="shared" ca="1" si="1"/>
        <v>0.28870279183164316</v>
      </c>
      <c r="D40" s="4">
        <f t="shared" si="0"/>
        <v>4.75</v>
      </c>
      <c r="E40" s="5"/>
      <c r="F40" s="5"/>
      <c r="G40" s="24">
        <f t="shared" si="2"/>
        <v>3.0000000000000001E-3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</row>
    <row r="41" spans="3:48">
      <c r="C41" s="1">
        <f t="shared" ca="1" si="1"/>
        <v>0.29850729843621737</v>
      </c>
      <c r="D41" s="4">
        <f t="shared" si="0"/>
        <v>5</v>
      </c>
      <c r="E41" s="5"/>
      <c r="F41" s="5"/>
      <c r="G41" s="24">
        <f t="shared" si="2"/>
        <v>3.0000000000000001E-3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</row>
    <row r="42" spans="3:48">
      <c r="C42" s="1">
        <f t="shared" ca="1" si="1"/>
        <v>0.91652914947192543</v>
      </c>
      <c r="D42" s="4">
        <f t="shared" si="0"/>
        <v>5.25</v>
      </c>
      <c r="E42" s="5"/>
      <c r="F42" s="5"/>
      <c r="G42" s="24">
        <f t="shared" si="2"/>
        <v>3.0000000000000001E-3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</row>
    <row r="43" spans="3:48">
      <c r="C43" s="1">
        <f t="shared" ca="1" si="1"/>
        <v>0.20919228340490958</v>
      </c>
      <c r="D43" s="4">
        <f t="shared" si="0"/>
        <v>5.5</v>
      </c>
      <c r="E43" s="5"/>
      <c r="F43" s="5"/>
      <c r="G43" s="24">
        <f t="shared" si="2"/>
        <v>3.0000000000000001E-3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</row>
    <row r="44" spans="3:48">
      <c r="C44" s="1">
        <f t="shared" ca="1" si="1"/>
        <v>0.98986525209311327</v>
      </c>
      <c r="D44" s="4">
        <f t="shared" si="0"/>
        <v>5.75</v>
      </c>
      <c r="E44" s="5"/>
      <c r="F44" s="5"/>
      <c r="G44" s="24">
        <f t="shared" si="2"/>
        <v>3.0000000000000001E-3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</row>
    <row r="45" spans="3:48">
      <c r="C45" s="1">
        <f t="shared" ca="1" si="1"/>
        <v>0.23195047726556961</v>
      </c>
      <c r="D45" s="4">
        <f t="shared" si="0"/>
        <v>6</v>
      </c>
      <c r="E45" s="5"/>
      <c r="F45" s="5"/>
      <c r="G45" s="24">
        <f t="shared" si="2"/>
        <v>3.0000000000000001E-3</v>
      </c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</row>
    <row r="46" spans="3:48">
      <c r="C46" s="1">
        <f t="shared" ca="1" si="1"/>
        <v>0.58672346606299397</v>
      </c>
      <c r="D46" s="4">
        <f t="shared" si="0"/>
        <v>6.25</v>
      </c>
      <c r="E46" s="5"/>
      <c r="F46" s="5"/>
      <c r="G46" s="24">
        <f t="shared" si="2"/>
        <v>3.0000000000000001E-3</v>
      </c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</row>
    <row r="47" spans="3:48">
      <c r="C47" s="1">
        <f t="shared" ca="1" si="1"/>
        <v>0.60022357370602553</v>
      </c>
      <c r="D47" s="4">
        <f t="shared" si="0"/>
        <v>6.5</v>
      </c>
      <c r="E47" s="5"/>
      <c r="F47" s="5"/>
      <c r="G47" s="24">
        <f t="shared" si="2"/>
        <v>3.0000000000000001E-3</v>
      </c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</row>
    <row r="48" spans="3:48">
      <c r="C48" s="1">
        <f t="shared" ca="1" si="1"/>
        <v>0.62435124572978595</v>
      </c>
      <c r="D48" s="4">
        <f t="shared" si="0"/>
        <v>6.75</v>
      </c>
      <c r="E48" s="5"/>
      <c r="F48" s="5"/>
      <c r="G48" s="24">
        <f t="shared" si="2"/>
        <v>3.0000000000000001E-3</v>
      </c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</row>
    <row r="49" spans="3:48">
      <c r="C49" s="1">
        <f t="shared" ca="1" si="1"/>
        <v>0.64352027950848067</v>
      </c>
      <c r="D49" s="4">
        <f t="shared" si="0"/>
        <v>7</v>
      </c>
      <c r="E49" s="5"/>
      <c r="F49" s="5"/>
      <c r="G49" s="24">
        <f t="shared" si="2"/>
        <v>3.0000000000000001E-3</v>
      </c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</row>
    <row r="50" spans="3:48">
      <c r="C50" s="1">
        <f t="shared" ca="1" si="1"/>
        <v>0.598031464853512</v>
      </c>
      <c r="D50" s="4">
        <f t="shared" si="0"/>
        <v>7.25</v>
      </c>
      <c r="E50" s="5"/>
      <c r="F50" s="5"/>
      <c r="G50" s="24">
        <f t="shared" si="2"/>
        <v>3.0000000000000001E-3</v>
      </c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</row>
    <row r="51" spans="3:48">
      <c r="C51" s="1">
        <f t="shared" ca="1" si="1"/>
        <v>0.98808386078482291</v>
      </c>
      <c r="D51" s="4">
        <f t="shared" si="0"/>
        <v>7.5</v>
      </c>
      <c r="E51" s="5"/>
      <c r="F51" s="5"/>
      <c r="G51" s="24">
        <f t="shared" si="2"/>
        <v>3.0000000000000001E-3</v>
      </c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</row>
    <row r="52" spans="3:48">
      <c r="C52" s="1">
        <f t="shared" ca="1" si="1"/>
        <v>0.94019851168245672</v>
      </c>
      <c r="D52" s="4">
        <f t="shared" si="0"/>
        <v>7.75</v>
      </c>
      <c r="E52" s="5"/>
      <c r="F52" s="5"/>
      <c r="G52" s="24">
        <f t="shared" si="2"/>
        <v>3.0000000000000001E-3</v>
      </c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</row>
    <row r="53" spans="3:48">
      <c r="C53" s="1">
        <f t="shared" ca="1" si="1"/>
        <v>0.67581168363991395</v>
      </c>
      <c r="D53" s="4">
        <f t="shared" si="0"/>
        <v>8</v>
      </c>
      <c r="E53" s="5"/>
      <c r="F53" s="5"/>
      <c r="G53" s="24">
        <f t="shared" si="2"/>
        <v>3.0000000000000001E-3</v>
      </c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</row>
    <row r="54" spans="3:48">
      <c r="C54" s="1">
        <f t="shared" ca="1" si="1"/>
        <v>0.71501215184954059</v>
      </c>
      <c r="D54" s="4">
        <f t="shared" si="0"/>
        <v>8.25</v>
      </c>
      <c r="E54" s="5"/>
      <c r="F54" s="5"/>
      <c r="G54" s="24">
        <f t="shared" si="2"/>
        <v>3.0000000000000001E-3</v>
      </c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</row>
    <row r="55" spans="3:48">
      <c r="C55" s="1">
        <f t="shared" ca="1" si="1"/>
        <v>0.89989875624876259</v>
      </c>
      <c r="D55" s="4">
        <f t="shared" si="0"/>
        <v>8.5</v>
      </c>
      <c r="E55" s="5"/>
      <c r="F55" s="5"/>
      <c r="G55" s="24">
        <f t="shared" si="2"/>
        <v>3.0000000000000001E-3</v>
      </c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</row>
    <row r="56" spans="3:48">
      <c r="C56" s="1">
        <f t="shared" ca="1" si="1"/>
        <v>0.57837999765390813</v>
      </c>
      <c r="D56" s="4">
        <f t="shared" si="0"/>
        <v>8.75</v>
      </c>
      <c r="E56" s="5"/>
      <c r="F56" s="5"/>
      <c r="G56" s="24">
        <f t="shared" si="2"/>
        <v>3.0000000000000001E-3</v>
      </c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</row>
    <row r="57" spans="3:48">
      <c r="C57" s="1">
        <f t="shared" ca="1" si="1"/>
        <v>0.71061515090684368</v>
      </c>
      <c r="D57" s="4">
        <f t="shared" si="0"/>
        <v>9</v>
      </c>
      <c r="E57" s="5"/>
      <c r="F57" s="5"/>
      <c r="G57" s="24">
        <f t="shared" si="2"/>
        <v>3.0000000000000001E-3</v>
      </c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</row>
  </sheetData>
  <dataConsolidate/>
  <phoneticPr fontId="3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V57"/>
  <sheetViews>
    <sheetView workbookViewId="0">
      <selection activeCell="N29" sqref="N29"/>
    </sheetView>
  </sheetViews>
  <sheetFormatPr defaultRowHeight="13.5"/>
  <sheetData>
    <row r="1" spans="1:48">
      <c r="A1" s="1"/>
      <c r="B1" s="1"/>
      <c r="C1" s="1"/>
      <c r="D1" s="1"/>
      <c r="E1" s="1"/>
      <c r="F1" s="1"/>
      <c r="G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</row>
    <row r="2" spans="1:48">
      <c r="A2" s="1"/>
      <c r="B2" s="1"/>
      <c r="C2" s="1"/>
      <c r="D2" s="1"/>
      <c r="E2" s="1"/>
      <c r="F2" s="1"/>
      <c r="G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>
      <c r="A3" s="1"/>
      <c r="B3" s="1"/>
      <c r="C3" s="1"/>
      <c r="D3" s="1"/>
      <c r="E3" s="2" t="s">
        <v>0</v>
      </c>
      <c r="F3" s="1"/>
      <c r="G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</row>
    <row r="4" spans="1:48">
      <c r="A4" s="1"/>
      <c r="B4" s="1"/>
      <c r="C4" s="1"/>
      <c r="D4" s="1"/>
      <c r="E4" s="1"/>
      <c r="F4" s="1"/>
      <c r="G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</row>
    <row r="5" spans="1:48">
      <c r="A5" s="1"/>
      <c r="B5" s="1"/>
      <c r="C5" s="1"/>
      <c r="D5" s="1"/>
      <c r="E5" s="1"/>
      <c r="F5" s="1"/>
      <c r="G5" s="1"/>
      <c r="I5" s="6"/>
      <c r="J5" s="6"/>
      <c r="K5" s="6"/>
      <c r="L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</row>
    <row r="6" spans="1:48">
      <c r="A6" s="1"/>
      <c r="B6" s="1"/>
      <c r="C6" s="1"/>
      <c r="D6" s="1"/>
      <c r="E6" s="1" t="s">
        <v>1</v>
      </c>
      <c r="F6">
        <v>0.1373187852344426</v>
      </c>
      <c r="G6" s="1" t="s">
        <v>19</v>
      </c>
      <c r="I6" s="6"/>
      <c r="J6" s="6"/>
      <c r="K6" s="6">
        <v>100</v>
      </c>
      <c r="L6" s="6"/>
      <c r="M6" s="6">
        <f>uho*uho</f>
        <v>10000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</row>
    <row r="7" spans="1:48">
      <c r="A7" s="1"/>
      <c r="B7" s="1"/>
      <c r="C7" s="1"/>
      <c r="D7" s="1"/>
      <c r="E7" s="1" t="s">
        <v>2</v>
      </c>
      <c r="F7" s="3">
        <v>2.8575299576692446E-2</v>
      </c>
      <c r="G7" s="1" t="s">
        <v>20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</row>
    <row r="8" spans="1:48">
      <c r="A8" s="1"/>
      <c r="B8" s="1"/>
      <c r="C8" s="1"/>
      <c r="D8" s="1"/>
      <c r="E8" s="1" t="s">
        <v>3</v>
      </c>
      <c r="F8">
        <v>2.1679877506284143E-2</v>
      </c>
      <c r="G8" s="1" t="s">
        <v>21</v>
      </c>
      <c r="I8" s="6"/>
      <c r="J8" s="6"/>
      <c r="K8" s="6"/>
      <c r="L8" s="6"/>
      <c r="M8" s="6"/>
      <c r="N8" s="6"/>
      <c r="O8" s="6"/>
      <c r="P8" s="7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</row>
    <row r="9" spans="1:48">
      <c r="A9" s="1"/>
      <c r="B9" s="1"/>
      <c r="C9" s="1"/>
      <c r="D9" s="1"/>
      <c r="E9" s="1" t="s">
        <v>4</v>
      </c>
      <c r="F9">
        <v>-0.1</v>
      </c>
      <c r="G9" s="13" t="s">
        <v>22</v>
      </c>
      <c r="H9" s="2" t="s">
        <v>5</v>
      </c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</row>
    <row r="10" spans="1:48">
      <c r="A10" s="1"/>
      <c r="B10" s="1"/>
      <c r="C10" s="1"/>
      <c r="D10" s="1"/>
      <c r="E10" s="1"/>
      <c r="F10" s="1"/>
      <c r="G10" s="1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</row>
    <row r="11" spans="1:48">
      <c r="A11" s="1"/>
      <c r="B11" s="1"/>
      <c r="C11" s="1"/>
      <c r="D11" s="1"/>
      <c r="E11" s="1" t="s">
        <v>17</v>
      </c>
      <c r="F11" s="3">
        <f>b-sigma/a*lambda</f>
        <v>4.4363290614677794E-2</v>
      </c>
      <c r="G11" s="13" t="s">
        <v>23</v>
      </c>
      <c r="H11" s="2" t="s">
        <v>6</v>
      </c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</row>
    <row r="12" spans="1:48">
      <c r="A12" s="1"/>
      <c r="B12" s="1"/>
      <c r="C12" s="1"/>
      <c r="D12" s="1"/>
      <c r="E12" s="2" t="s">
        <v>7</v>
      </c>
      <c r="F12" s="22">
        <f>1/4</f>
        <v>0.25</v>
      </c>
      <c r="G12" s="2" t="s">
        <v>8</v>
      </c>
      <c r="I12" s="6"/>
      <c r="J12" s="6"/>
      <c r="K12" s="6"/>
      <c r="L12" s="6"/>
      <c r="M12" s="6"/>
      <c r="N12" s="6"/>
      <c r="O12" s="6"/>
      <c r="P12" s="6"/>
      <c r="Q12" s="7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</row>
    <row r="13" spans="1:48">
      <c r="A13" s="1"/>
      <c r="B13" s="1"/>
      <c r="C13" s="1"/>
      <c r="D13" s="1"/>
      <c r="E13" s="1"/>
      <c r="F13" s="1"/>
      <c r="G13" s="1"/>
      <c r="I13" s="6"/>
      <c r="J13" s="6"/>
      <c r="K13" s="6"/>
      <c r="L13" s="6"/>
      <c r="M13" s="6"/>
      <c r="N13" s="6"/>
      <c r="O13" s="6"/>
      <c r="P13" s="7"/>
      <c r="Q13" s="7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</row>
    <row r="14" spans="1:48">
      <c r="A14" s="1"/>
      <c r="B14" s="1"/>
      <c r="C14" s="1"/>
      <c r="D14" s="1"/>
      <c r="E14" s="1"/>
      <c r="F14" s="1"/>
      <c r="G14" s="1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</row>
    <row r="15" spans="1:48" ht="14.25" thickBot="1">
      <c r="A15" s="1"/>
      <c r="B15" s="1"/>
      <c r="C15" s="1"/>
      <c r="D15" s="1"/>
      <c r="E15" s="2" t="s">
        <v>9</v>
      </c>
      <c r="F15" s="1"/>
      <c r="G15" s="1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</row>
    <row r="16" spans="1:48" ht="14.25" thickBot="1">
      <c r="A16" s="1"/>
      <c r="B16" s="1"/>
      <c r="C16" s="1"/>
      <c r="D16" s="1"/>
      <c r="E16" s="2" t="s">
        <v>18</v>
      </c>
      <c r="F16" s="1"/>
      <c r="G16" s="1"/>
      <c r="I16" s="8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10"/>
      <c r="AD16" s="11"/>
      <c r="AE16" s="11"/>
      <c r="AF16" s="12"/>
      <c r="AG16" s="13"/>
      <c r="AH16" s="13"/>
      <c r="AI16" s="13"/>
      <c r="AJ16" s="13"/>
      <c r="AK16" s="13"/>
      <c r="AL16" s="13"/>
      <c r="AM16" s="13"/>
      <c r="AN16" s="13"/>
      <c r="AO16" s="1"/>
      <c r="AP16" s="1"/>
      <c r="AQ16" s="1"/>
      <c r="AR16" s="1"/>
      <c r="AS16" s="1"/>
      <c r="AT16" s="1"/>
      <c r="AU16" s="1"/>
      <c r="AV16" s="1"/>
    </row>
    <row r="17" spans="1:48">
      <c r="A17" s="1"/>
      <c r="B17" s="1"/>
      <c r="C17" s="1"/>
      <c r="D17" s="1"/>
      <c r="E17" s="1"/>
      <c r="F17" s="1"/>
      <c r="G17" s="1"/>
      <c r="I17" s="14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5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2"/>
      <c r="AP17" s="1"/>
      <c r="AQ17" s="1"/>
      <c r="AR17" s="1"/>
      <c r="AS17" s="1"/>
      <c r="AT17" s="1"/>
      <c r="AU17" s="1"/>
      <c r="AV17" s="1"/>
    </row>
    <row r="18" spans="1:48">
      <c r="A18" s="1"/>
      <c r="B18" s="1"/>
      <c r="C18" s="1"/>
      <c r="D18" s="1"/>
      <c r="E18" s="1"/>
      <c r="F18" s="1"/>
      <c r="G18" s="1"/>
      <c r="I18" s="16" t="s">
        <v>14</v>
      </c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8" t="s">
        <v>15</v>
      </c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</row>
    <row r="19" spans="1:48">
      <c r="A19" s="1"/>
      <c r="B19" s="1"/>
      <c r="C19" s="1"/>
      <c r="D19" s="1"/>
      <c r="E19" s="1"/>
      <c r="F19" s="1"/>
      <c r="G19" s="1"/>
      <c r="I19" s="16" t="s">
        <v>16</v>
      </c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8" t="s">
        <v>16</v>
      </c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</row>
    <row r="20" spans="1:48">
      <c r="A20" s="1"/>
      <c r="B20" s="1"/>
      <c r="C20" s="14" t="s">
        <v>24</v>
      </c>
      <c r="D20" s="1" t="s">
        <v>10</v>
      </c>
      <c r="E20" s="2" t="s">
        <v>11</v>
      </c>
      <c r="F20" s="2" t="s">
        <v>12</v>
      </c>
      <c r="G20" s="1" t="s">
        <v>13</v>
      </c>
      <c r="I20" s="17">
        <v>1</v>
      </c>
      <c r="J20" s="17">
        <v>2</v>
      </c>
      <c r="K20" s="17">
        <v>3</v>
      </c>
      <c r="L20" s="17">
        <v>4</v>
      </c>
      <c r="M20" s="17">
        <v>5</v>
      </c>
      <c r="N20" s="17">
        <v>6</v>
      </c>
      <c r="O20" s="17">
        <v>7</v>
      </c>
      <c r="P20" s="17">
        <v>8</v>
      </c>
      <c r="Q20" s="17">
        <v>9</v>
      </c>
      <c r="R20" s="17">
        <v>10</v>
      </c>
      <c r="S20" s="17">
        <v>11</v>
      </c>
      <c r="T20" s="17">
        <v>12</v>
      </c>
      <c r="U20" s="17">
        <v>13</v>
      </c>
      <c r="V20" s="17">
        <v>14</v>
      </c>
      <c r="W20" s="17">
        <v>15</v>
      </c>
      <c r="X20" s="17">
        <v>16</v>
      </c>
      <c r="Y20" s="17">
        <v>17</v>
      </c>
      <c r="Z20" s="17">
        <v>18</v>
      </c>
      <c r="AA20" s="17">
        <v>19</v>
      </c>
      <c r="AB20" s="17">
        <v>20</v>
      </c>
      <c r="AC20" s="19">
        <v>1</v>
      </c>
      <c r="AD20" s="19">
        <v>2</v>
      </c>
      <c r="AE20" s="19">
        <v>3</v>
      </c>
      <c r="AF20" s="19">
        <v>4</v>
      </c>
      <c r="AG20" s="19">
        <v>5</v>
      </c>
      <c r="AH20" s="19">
        <v>6</v>
      </c>
      <c r="AI20" s="19">
        <v>7</v>
      </c>
      <c r="AJ20" s="19">
        <v>8</v>
      </c>
      <c r="AK20" s="19">
        <v>9</v>
      </c>
      <c r="AL20" s="19">
        <v>10</v>
      </c>
      <c r="AM20" s="19">
        <v>11</v>
      </c>
      <c r="AN20" s="19">
        <v>12</v>
      </c>
      <c r="AO20" s="19">
        <v>13</v>
      </c>
      <c r="AP20" s="19">
        <v>14</v>
      </c>
      <c r="AQ20" s="19">
        <v>15</v>
      </c>
      <c r="AR20" s="19">
        <v>16</v>
      </c>
      <c r="AS20" s="19">
        <v>17</v>
      </c>
      <c r="AT20" s="19">
        <v>18</v>
      </c>
      <c r="AU20" s="19">
        <v>19</v>
      </c>
      <c r="AV20" s="19">
        <v>20</v>
      </c>
    </row>
    <row r="21" spans="1:48">
      <c r="A21" s="1"/>
      <c r="B21" s="1"/>
      <c r="C21" s="1">
        <f ca="1">RAND()</f>
        <v>0.9297932711533633</v>
      </c>
      <c r="D21" s="4">
        <v>0</v>
      </c>
      <c r="E21" s="1"/>
      <c r="F21" s="1"/>
      <c r="G21" s="21">
        <v>3.0000000000000001E-3</v>
      </c>
      <c r="I21" s="20">
        <f t="shared" ref="I21:R30" si="0">vas_bond($G21,rbar,a,sigma,I$20)</f>
        <v>0.99437232892072891</v>
      </c>
      <c r="J21" s="20">
        <f t="shared" si="0"/>
        <v>0.98425037850667485</v>
      </c>
      <c r="K21" s="20">
        <f t="shared" si="0"/>
        <v>0.97062719838104905</v>
      </c>
      <c r="L21" s="20">
        <f t="shared" si="0"/>
        <v>0.95431722446033573</v>
      </c>
      <c r="M21" s="20">
        <f t="shared" si="0"/>
        <v>0.93598211180724444</v>
      </c>
      <c r="N21" s="20">
        <f t="shared" si="0"/>
        <v>0.91615572956780467</v>
      </c>
      <c r="O21" s="20">
        <f t="shared" si="0"/>
        <v>0.89526667227923595</v>
      </c>
      <c r="P21" s="20">
        <f t="shared" si="0"/>
        <v>0.87365768821964584</v>
      </c>
      <c r="Q21" s="20">
        <f t="shared" si="0"/>
        <v>0.85160199646570522</v>
      </c>
      <c r="R21" s="20">
        <f t="shared" si="0"/>
        <v>0.8293167460925992</v>
      </c>
      <c r="S21" s="20">
        <f t="shared" ref="S21:AB30" si="1">vas_bond($G21,rbar,a,sigma,S$20)</f>
        <v>0.80697398507118467</v>
      </c>
      <c r="T21" s="20">
        <f t="shared" si="1"/>
        <v>0.78470952880912048</v>
      </c>
      <c r="U21" s="20">
        <f t="shared" si="1"/>
        <v>0.76263009451364372</v>
      </c>
      <c r="V21" s="20">
        <f t="shared" si="1"/>
        <v>0.74081902388136545</v>
      </c>
      <c r="W21" s="20">
        <f t="shared" si="1"/>
        <v>0.71934086744374348</v>
      </c>
      <c r="X21" s="20">
        <f t="shared" si="1"/>
        <v>0.69824505656592006</v>
      </c>
      <c r="Y21" s="20">
        <f t="shared" si="1"/>
        <v>0.6775688469159219</v>
      </c>
      <c r="Z21" s="20">
        <f t="shared" si="1"/>
        <v>0.6573396812717871</v>
      </c>
      <c r="AA21" s="20">
        <f t="shared" si="1"/>
        <v>0.6375770897490427</v>
      </c>
      <c r="AB21" s="20">
        <f t="shared" si="1"/>
        <v>0.61829422131099987</v>
      </c>
      <c r="AC21" s="20">
        <f>vas_yield($G21,rbar,a,sigma,AC$20)</f>
        <v>5.6435660827781663E-3</v>
      </c>
      <c r="AD21" s="20">
        <f t="shared" ref="AC21:AL30" si="2">vas_yield($G21,rbar,a,sigma,AD$20)</f>
        <v>7.9374822974066696E-3</v>
      </c>
      <c r="AE21" s="20">
        <f t="shared" si="2"/>
        <v>9.9376067229619783E-3</v>
      </c>
      <c r="AF21" s="20">
        <f t="shared" si="2"/>
        <v>1.1689785601957743E-2</v>
      </c>
      <c r="AG21" s="20">
        <f t="shared" si="2"/>
        <v>1.3231782800843021E-2</v>
      </c>
      <c r="AH21" s="20">
        <f t="shared" si="2"/>
        <v>1.4594819718823855E-2</v>
      </c>
      <c r="AI21" s="20">
        <f t="shared" si="2"/>
        <v>1.5804806747716078E-2</v>
      </c>
      <c r="AJ21" s="20">
        <f t="shared" si="2"/>
        <v>1.6883330140219175E-2</v>
      </c>
      <c r="AK21" s="20">
        <f t="shared" si="2"/>
        <v>1.7848444621701147E-2</v>
      </c>
      <c r="AL21" s="20">
        <f t="shared" si="2"/>
        <v>1.8715311468339681E-2</v>
      </c>
      <c r="AM21" s="20">
        <f t="shared" ref="AM21:AV30" si="3">vas_yield($G21,rbar,a,sigma,AM$20)</f>
        <v>1.9496713438422502E-2</v>
      </c>
      <c r="AN21" s="20">
        <f t="shared" si="3"/>
        <v>2.0203471389280057E-2</v>
      </c>
      <c r="AO21" s="20">
        <f t="shared" si="3"/>
        <v>2.084478225370652E-2</v>
      </c>
      <c r="AP21" s="20">
        <f t="shared" si="3"/>
        <v>2.1428493985319225E-2</v>
      </c>
      <c r="AQ21" s="20">
        <f t="shared" si="3"/>
        <v>2.1961329876458147E-2</v>
      </c>
      <c r="AR21" s="20">
        <f t="shared" si="3"/>
        <v>2.2449072120623019E-2</v>
      </c>
      <c r="AS21" s="20">
        <f t="shared" si="3"/>
        <v>2.2896712489826884E-2</v>
      </c>
      <c r="AT21" s="20">
        <f t="shared" si="3"/>
        <v>2.3308576412617465E-2</v>
      </c>
      <c r="AU21" s="20">
        <f t="shared" si="3"/>
        <v>2.3688425482308859E-2</v>
      </c>
      <c r="AV21" s="20">
        <f t="shared" si="3"/>
        <v>2.4039542427690047E-2</v>
      </c>
    </row>
    <row r="22" spans="1:48">
      <c r="A22" s="1"/>
      <c r="B22" s="1"/>
      <c r="C22" s="1">
        <f ca="1">RAND()</f>
        <v>0.62503592630539273</v>
      </c>
      <c r="D22" s="4">
        <f t="shared" ref="D22:D57" si="4">+D21+dt</f>
        <v>0.25</v>
      </c>
      <c r="E22" s="5">
        <f ca="1">NORMINV(C22,0,dt)</f>
        <v>7.9683527237477653E-2</v>
      </c>
      <c r="F22" s="5">
        <f t="shared" ref="F22:F57" ca="1" si="5">a*(b-G21)*dt+sigma*E22</f>
        <v>2.6055213772467616E-3</v>
      </c>
      <c r="G22" s="5">
        <f ca="1">+G21+F22</f>
        <v>5.6055213772467621E-3</v>
      </c>
      <c r="I22" s="20">
        <f t="shared" ca="1" si="0"/>
        <v>0.99195443137740813</v>
      </c>
      <c r="J22" s="20">
        <f t="shared" ca="1" si="0"/>
        <v>0.97977563288026714</v>
      </c>
      <c r="K22" s="20">
        <f t="shared" ca="1" si="0"/>
        <v>0.96442865889445661</v>
      </c>
      <c r="L22" s="20">
        <f t="shared" ca="1" si="0"/>
        <v>0.94669503944096522</v>
      </c>
      <c r="M22" s="20">
        <f t="shared" ca="1" si="0"/>
        <v>0.92720215309811682</v>
      </c>
      <c r="N22" s="20">
        <f t="shared" ca="1" si="0"/>
        <v>0.90645042033399414</v>
      </c>
      <c r="O22" s="20">
        <f t="shared" ca="1" si="0"/>
        <v>0.88483708540181161</v>
      </c>
      <c r="P22" s="20">
        <f t="shared" ca="1" si="0"/>
        <v>0.86267629500799525</v>
      </c>
      <c r="Q22" s="20">
        <f t="shared" ca="1" si="0"/>
        <v>0.8402156650346293</v>
      </c>
      <c r="R22" s="20">
        <f t="shared" ca="1" si="0"/>
        <v>0.81764974089555464</v>
      </c>
      <c r="S22" s="20">
        <f t="shared" ca="1" si="1"/>
        <v>0.79513082181648975</v>
      </c>
      <c r="T22" s="20">
        <f t="shared" ca="1" si="1"/>
        <v>0.77277760668986761</v>
      </c>
      <c r="U22" s="20">
        <f t="shared" ca="1" si="1"/>
        <v>0.75068207114505692</v>
      </c>
      <c r="V22" s="20">
        <f t="shared" ca="1" si="1"/>
        <v>0.72891492535889557</v>
      </c>
      <c r="W22" s="20">
        <f t="shared" ca="1" si="1"/>
        <v>0.70752994199942076</v>
      </c>
      <c r="X22" s="20">
        <f t="shared" ca="1" si="1"/>
        <v>0.68656738919716342</v>
      </c>
      <c r="Y22" s="20">
        <f t="shared" ca="1" si="1"/>
        <v>0.66605675666363562</v>
      </c>
      <c r="Z22" s="20">
        <f t="shared" ca="1" si="1"/>
        <v>0.64601892425806218</v>
      </c>
      <c r="AA22" s="20">
        <f t="shared" ca="1" si="1"/>
        <v>0.6264678907902288</v>
      </c>
      <c r="AB22" s="20">
        <f t="shared" ca="1" si="1"/>
        <v>0.60741215564381457</v>
      </c>
      <c r="AC22" s="20">
        <f t="shared" ca="1" si="2"/>
        <v>8.0781088638435285E-3</v>
      </c>
      <c r="AD22" s="20">
        <f t="shared" ca="1" si="2"/>
        <v>1.0215839785104382E-2</v>
      </c>
      <c r="AE22" s="20">
        <f t="shared" ca="1" si="2"/>
        <v>1.2073138767885787E-2</v>
      </c>
      <c r="AF22" s="20">
        <f t="shared" ca="1" si="2"/>
        <v>1.369456642591687E-2</v>
      </c>
      <c r="AG22" s="20">
        <f t="shared" ca="1" si="2"/>
        <v>1.5116732961720896E-2</v>
      </c>
      <c r="AH22" s="20">
        <f t="shared" ca="1" si="2"/>
        <v>1.636982396534719E-2</v>
      </c>
      <c r="AI22" s="20">
        <f t="shared" ca="1" si="2"/>
        <v>1.7478819315934098E-2</v>
      </c>
      <c r="AJ22" s="20">
        <f t="shared" ca="1" si="2"/>
        <v>1.8464468869273516E-2</v>
      </c>
      <c r="AK22" s="20">
        <f t="shared" ca="1" si="2"/>
        <v>1.9344075112117408E-2</v>
      </c>
      <c r="AL22" s="20">
        <f t="shared" ca="1" si="2"/>
        <v>2.0132122369297678E-2</v>
      </c>
      <c r="AM22" s="20">
        <f t="shared" ca="1" si="3"/>
        <v>2.0840783829236733E-2</v>
      </c>
      <c r="AN22" s="20">
        <f t="shared" ca="1" si="3"/>
        <v>2.1480331112854276E-2</v>
      </c>
      <c r="AO22" s="20">
        <f t="shared" ca="1" si="3"/>
        <v>2.2059465964434224E-2</v>
      </c>
      <c r="AP22" s="20">
        <f t="shared" ca="1" si="3"/>
        <v>2.2585589589386824E-2</v>
      </c>
      <c r="AQ22" s="20">
        <f t="shared" ca="1" si="3"/>
        <v>2.3065021967533888E-2</v>
      </c>
      <c r="AR22" s="20">
        <f t="shared" ca="1" si="3"/>
        <v>2.3503180947389391E-2</v>
      </c>
      <c r="AS22" s="20">
        <f t="shared" ca="1" si="3"/>
        <v>2.3904728932771478E-2</v>
      </c>
      <c r="AT22" s="20">
        <f t="shared" ca="1" si="3"/>
        <v>2.4273693395082618E-2</v>
      </c>
      <c r="AU22" s="20">
        <f t="shared" ca="1" si="3"/>
        <v>2.461356619425828E-2</v>
      </c>
      <c r="AV22" s="20">
        <f t="shared" ca="1" si="3"/>
        <v>2.4927385699312774E-2</v>
      </c>
    </row>
    <row r="23" spans="1:48">
      <c r="A23" s="1"/>
      <c r="B23" s="1"/>
      <c r="C23" s="1">
        <f t="shared" ref="C23:C57" ca="1" si="6">RAND()</f>
        <v>0.6517779340809805</v>
      </c>
      <c r="D23" s="4">
        <f t="shared" si="4"/>
        <v>0.5</v>
      </c>
      <c r="E23" s="5">
        <f t="shared" ref="E23:E57" ca="1" si="7">NORMINV(C23,0,dt)</f>
        <v>9.7531245071200132E-2</v>
      </c>
      <c r="F23" s="5">
        <f t="shared" ca="1" si="5"/>
        <v>2.9030109560421141E-3</v>
      </c>
      <c r="G23" s="5">
        <f t="shared" ref="G23:G57" ca="1" si="8">+G22+F23</f>
        <v>8.5085323332888766E-3</v>
      </c>
      <c r="I23" s="20">
        <f t="shared" ca="1" si="0"/>
        <v>0.98926739042406198</v>
      </c>
      <c r="J23" s="20">
        <f t="shared" ca="1" si="0"/>
        <v>0.97481393238048664</v>
      </c>
      <c r="K23" s="20">
        <f t="shared" ca="1" si="0"/>
        <v>0.9575690019547437</v>
      </c>
      <c r="L23" s="20">
        <f t="shared" ca="1" si="0"/>
        <v>0.93827425943722487</v>
      </c>
      <c r="M23" s="20">
        <f t="shared" ca="1" si="0"/>
        <v>0.91751669627874477</v>
      </c>
      <c r="N23" s="20">
        <f t="shared" ca="1" si="0"/>
        <v>0.89575803473374505</v>
      </c>
      <c r="O23" s="20">
        <f t="shared" ca="1" si="0"/>
        <v>0.87335972257469652</v>
      </c>
      <c r="P23" s="20">
        <f t="shared" ca="1" si="0"/>
        <v>0.85060357507054529</v>
      </c>
      <c r="Q23" s="20">
        <f t="shared" ca="1" si="0"/>
        <v>0.82770849604891006</v>
      </c>
      <c r="R23" s="20">
        <f t="shared" ca="1" si="0"/>
        <v>0.8048438470061885</v>
      </c>
      <c r="S23" s="20">
        <f t="shared" ca="1" si="1"/>
        <v>0.7821400427107712</v>
      </c>
      <c r="T23" s="20">
        <f t="shared" ca="1" si="1"/>
        <v>0.7596969007139639</v>
      </c>
      <c r="U23" s="20">
        <f t="shared" ca="1" si="1"/>
        <v>0.73759019809267756</v>
      </c>
      <c r="V23" s="20">
        <f t="shared" ca="1" si="1"/>
        <v>0.71587681125963998</v>
      </c>
      <c r="W23" s="20">
        <f t="shared" ca="1" si="1"/>
        <v>0.6945987431879167</v>
      </c>
      <c r="X23" s="20">
        <f t="shared" ca="1" si="1"/>
        <v>0.67378628062148704</v>
      </c>
      <c r="Y23" s="20">
        <f t="shared" ca="1" si="1"/>
        <v>0.65346047251825001</v>
      </c>
      <c r="Z23" s="20">
        <f t="shared" ca="1" si="1"/>
        <v>0.63363507939832986</v>
      </c>
      <c r="AA23" s="20">
        <f t="shared" ca="1" si="1"/>
        <v>0.61431811016868154</v>
      </c>
      <c r="AB23" s="20">
        <f t="shared" ca="1" si="1"/>
        <v>0.59551303694814894</v>
      </c>
      <c r="AC23" s="20">
        <f t="shared" ca="1" si="2"/>
        <v>1.0790619468478894E-2</v>
      </c>
      <c r="AD23" s="20">
        <f t="shared" ca="1" si="2"/>
        <v>1.2754332390202914E-2</v>
      </c>
      <c r="AE23" s="20">
        <f t="shared" ca="1" si="2"/>
        <v>1.4452498606392956E-2</v>
      </c>
      <c r="AF23" s="20">
        <f t="shared" ca="1" si="2"/>
        <v>1.5928246313266836E-2</v>
      </c>
      <c r="AG23" s="20">
        <f t="shared" ca="1" si="2"/>
        <v>1.7216900327994469E-2</v>
      </c>
      <c r="AH23" s="20">
        <f t="shared" ca="1" si="2"/>
        <v>1.8347492166298017E-2</v>
      </c>
      <c r="AI23" s="20">
        <f t="shared" ca="1" si="2"/>
        <v>1.9343964951862178E-2</v>
      </c>
      <c r="AJ23" s="20">
        <f t="shared" ca="1" si="2"/>
        <v>2.0226136646613935E-2</v>
      </c>
      <c r="AK23" s="20">
        <f t="shared" ca="1" si="2"/>
        <v>2.1010471610639726E-2</v>
      </c>
      <c r="AL23" s="20">
        <f t="shared" ca="1" si="2"/>
        <v>2.1710699925420889E-2</v>
      </c>
      <c r="AM23" s="20">
        <f t="shared" ca="1" si="3"/>
        <v>2.2338315610898253E-2</v>
      </c>
      <c r="AN23" s="20">
        <f t="shared" ca="1" si="3"/>
        <v>2.29029783416334E-2</v>
      </c>
      <c r="AO23" s="20">
        <f t="shared" ca="1" si="3"/>
        <v>2.3412838134458238E-2</v>
      </c>
      <c r="AP23" s="20">
        <f t="shared" ca="1" si="3"/>
        <v>2.3874798438383454E-2</v>
      </c>
      <c r="AQ23" s="20">
        <f t="shared" ca="1" si="3"/>
        <v>2.4294729871859582E-2</v>
      </c>
      <c r="AR23" s="20">
        <f t="shared" ca="1" si="3"/>
        <v>2.46776443387422E-2</v>
      </c>
      <c r="AS23" s="20">
        <f t="shared" ca="1" si="3"/>
        <v>2.5027837268513074E-2</v>
      </c>
      <c r="AT23" s="20">
        <f t="shared" ca="1" si="3"/>
        <v>2.5349004155694851E-2</v>
      </c>
      <c r="AU23" s="20">
        <f t="shared" ca="1" si="3"/>
        <v>2.5644336329603598E-2</v>
      </c>
      <c r="AV23" s="20">
        <f t="shared" ca="1" si="3"/>
        <v>2.5916599899310087E-2</v>
      </c>
    </row>
    <row r="24" spans="1:48">
      <c r="C24" s="1">
        <f t="shared" ca="1" si="6"/>
        <v>0.93574779129742958</v>
      </c>
      <c r="D24" s="4">
        <f t="shared" si="4"/>
        <v>0.75</v>
      </c>
      <c r="E24" s="5">
        <f t="shared" ca="1" si="7"/>
        <v>0.38000652367579579</v>
      </c>
      <c r="F24" s="5">
        <f t="shared" ca="1" si="5"/>
        <v>8.9273809102417383E-3</v>
      </c>
      <c r="G24" s="5">
        <f t="shared" ca="1" si="8"/>
        <v>1.7435913243530617E-2</v>
      </c>
      <c r="I24" s="20">
        <f t="shared" ca="1" si="0"/>
        <v>0.98104968738749398</v>
      </c>
      <c r="J24" s="20">
        <f t="shared" ca="1" si="0"/>
        <v>0.95971253460354</v>
      </c>
      <c r="K24" s="20">
        <f t="shared" ca="1" si="0"/>
        <v>0.93677830997754319</v>
      </c>
      <c r="L24" s="20">
        <f t="shared" ca="1" si="0"/>
        <v>0.9128450181539598</v>
      </c>
      <c r="M24" s="20">
        <f t="shared" ca="1" si="0"/>
        <v>0.88836123227429586</v>
      </c>
      <c r="N24" s="20">
        <f t="shared" ca="1" si="0"/>
        <v>0.86366054542250958</v>
      </c>
      <c r="O24" s="20">
        <f t="shared" ca="1" si="0"/>
        <v>0.83898889142879129</v>
      </c>
      <c r="P24" s="20">
        <f t="shared" ca="1" si="0"/>
        <v>0.81452582798520845</v>
      </c>
      <c r="Q24" s="20">
        <f t="shared" ca="1" si="0"/>
        <v>0.79040090930346851</v>
      </c>
      <c r="R24" s="20">
        <f t="shared" ca="1" si="0"/>
        <v>0.76670616877704023</v>
      </c>
      <c r="S24" s="20">
        <f t="shared" ca="1" si="1"/>
        <v>0.74350557487232638</v>
      </c>
      <c r="T24" s="20">
        <f t="shared" ca="1" si="1"/>
        <v>0.72084216136446233</v>
      </c>
      <c r="U24" s="20">
        <f t="shared" ca="1" si="1"/>
        <v>0.69874338655210344</v>
      </c>
      <c r="V24" s="20">
        <f t="shared" ca="1" si="1"/>
        <v>0.67722515241882975</v>
      </c>
      <c r="W24" s="20">
        <f t="shared" ca="1" si="1"/>
        <v>0.6562948144453864</v>
      </c>
      <c r="X24" s="20">
        <f t="shared" ca="1" si="1"/>
        <v>0.63595343358560907</v>
      </c>
      <c r="Y24" s="20">
        <f t="shared" ca="1" si="1"/>
        <v>0.61619746047023005</v>
      </c>
      <c r="Z24" s="20">
        <f t="shared" ca="1" si="1"/>
        <v>0.59701999480942303</v>
      </c>
      <c r="AA24" s="20">
        <f t="shared" ca="1" si="1"/>
        <v>0.57841172719122202</v>
      </c>
      <c r="AB24" s="20">
        <f t="shared" ca="1" si="1"/>
        <v>0.5603616434707227</v>
      </c>
      <c r="AC24" s="20">
        <f t="shared" ca="1" si="2"/>
        <v>1.9132170967018518E-2</v>
      </c>
      <c r="AD24" s="20">
        <f t="shared" ca="1" si="2"/>
        <v>2.05607412418055E-2</v>
      </c>
      <c r="AE24" s="20">
        <f t="shared" ca="1" si="2"/>
        <v>2.1769540092810492E-2</v>
      </c>
      <c r="AF24" s="20">
        <f t="shared" ca="1" si="2"/>
        <v>2.2797290725385042E-2</v>
      </c>
      <c r="AG24" s="20">
        <f t="shared" ca="1" si="2"/>
        <v>2.3675365121232871E-2</v>
      </c>
      <c r="AH24" s="20">
        <f t="shared" ca="1" si="2"/>
        <v>2.4429245770160195E-2</v>
      </c>
      <c r="AI24" s="20">
        <f t="shared" ca="1" si="2"/>
        <v>2.5079687550617485E-2</v>
      </c>
      <c r="AJ24" s="20">
        <f t="shared" ca="1" si="2"/>
        <v>2.5643642651158517E-2</v>
      </c>
      <c r="AK24" s="20">
        <f t="shared" ca="1" si="2"/>
        <v>2.6134998012732294E-2</v>
      </c>
      <c r="AL24" s="20">
        <f t="shared" ca="1" si="2"/>
        <v>2.6565164256855518E-2</v>
      </c>
      <c r="AM24" s="20">
        <f t="shared" ca="1" si="3"/>
        <v>2.6943546814817761E-2</v>
      </c>
      <c r="AN24" s="20">
        <f t="shared" ca="1" si="3"/>
        <v>2.7277923494967084E-2</v>
      </c>
      <c r="AO24" s="20">
        <f t="shared" ca="1" si="3"/>
        <v>2.7574747633965325E-2</v>
      </c>
      <c r="AP24" s="20">
        <f t="shared" ca="1" si="3"/>
        <v>2.7839391973207256E-2</v>
      </c>
      <c r="AQ24" s="20">
        <f t="shared" ca="1" si="3"/>
        <v>2.8076345248612338E-2</v>
      </c>
      <c r="AR24" s="20">
        <f t="shared" ca="1" si="3"/>
        <v>2.8289370997202922E-2</v>
      </c>
      <c r="AS24" s="20">
        <f t="shared" ca="1" si="3"/>
        <v>2.8481636123720507E-2</v>
      </c>
      <c r="AT24" s="20">
        <f t="shared" ca="1" si="3"/>
        <v>2.8655815222627622E-2</v>
      </c>
      <c r="AU24" s="20">
        <f t="shared" ca="1" si="3"/>
        <v>2.8814175427171101E-2</v>
      </c>
      <c r="AV24" s="20">
        <f t="shared" ca="1" si="3"/>
        <v>2.895864558874011E-2</v>
      </c>
    </row>
    <row r="25" spans="1:48">
      <c r="C25" s="1">
        <f t="shared" ca="1" si="6"/>
        <v>0.74235490659525238</v>
      </c>
      <c r="D25" s="4">
        <f t="shared" si="4"/>
        <v>1</v>
      </c>
      <c r="E25" s="5">
        <f t="shared" ca="1" si="7"/>
        <v>0.1626556310321422</v>
      </c>
      <c r="F25" s="5">
        <f t="shared" ca="1" si="5"/>
        <v>3.9087659063659266E-3</v>
      </c>
      <c r="G25" s="5">
        <f t="shared" ca="1" si="8"/>
        <v>2.1344679149896545E-2</v>
      </c>
      <c r="I25" s="20">
        <f t="shared" ca="1" si="0"/>
        <v>0.97747316788957328</v>
      </c>
      <c r="J25" s="20">
        <f t="shared" ca="1" si="0"/>
        <v>0.95317439037391827</v>
      </c>
      <c r="K25" s="20">
        <f t="shared" ca="1" si="0"/>
        <v>0.92781798324930342</v>
      </c>
      <c r="L25" s="20">
        <f t="shared" ca="1" si="0"/>
        <v>0.90192912537259007</v>
      </c>
      <c r="M25" s="20">
        <f t="shared" ca="1" si="0"/>
        <v>0.87588918081125178</v>
      </c>
      <c r="N25" s="20">
        <f t="shared" ca="1" si="0"/>
        <v>0.84997147360156688</v>
      </c>
      <c r="O25" s="20">
        <f t="shared" ca="1" si="0"/>
        <v>0.82436892822242724</v>
      </c>
      <c r="P25" s="20">
        <f t="shared" ca="1" si="0"/>
        <v>0.79921510244415139</v>
      </c>
      <c r="Q25" s="20">
        <f t="shared" ca="1" si="0"/>
        <v>0.77460001436415016</v>
      </c>
      <c r="R25" s="20">
        <f t="shared" ca="1" si="0"/>
        <v>0.75058195219511259</v>
      </c>
      <c r="S25" s="20">
        <f t="shared" ca="1" si="1"/>
        <v>0.72719622889763502</v>
      </c>
      <c r="T25" s="20">
        <f t="shared" ca="1" si="1"/>
        <v>0.70446163774613735</v>
      </c>
      <c r="U25" s="20">
        <f t="shared" ca="1" si="1"/>
        <v>0.68238519130630804</v>
      </c>
      <c r="V25" s="20">
        <f t="shared" ca="1" si="1"/>
        <v>0.66096558634926361</v>
      </c>
      <c r="W25" s="20">
        <f t="shared" ca="1" si="1"/>
        <v>0.64019572755269205</v>
      </c>
      <c r="X25" s="20">
        <f t="shared" ca="1" si="1"/>
        <v>0.62006455851012954</v>
      </c>
      <c r="Y25" s="20">
        <f t="shared" ca="1" si="1"/>
        <v>0.60055838458205657</v>
      </c>
      <c r="Z25" s="20">
        <f t="shared" ca="1" si="1"/>
        <v>0.58166182402797251</v>
      </c>
      <c r="AA25" s="20">
        <f t="shared" ca="1" si="1"/>
        <v>0.56335848795908727</v>
      </c>
      <c r="AB25" s="20">
        <f t="shared" ca="1" si="1"/>
        <v>0.54563146299245646</v>
      </c>
      <c r="AC25" s="20">
        <f t="shared" ca="1" si="2"/>
        <v>2.2784437228703592E-2</v>
      </c>
      <c r="AD25" s="20">
        <f t="shared" ca="1" si="2"/>
        <v>2.3978700560119286E-2</v>
      </c>
      <c r="AE25" s="20">
        <f t="shared" ca="1" si="2"/>
        <v>2.4973234724543134E-2</v>
      </c>
      <c r="AF25" s="20">
        <f t="shared" ca="1" si="2"/>
        <v>2.5804834245411006E-2</v>
      </c>
      <c r="AG25" s="20">
        <f t="shared" ca="1" si="2"/>
        <v>2.6503140394304688E-2</v>
      </c>
      <c r="AH25" s="20">
        <f t="shared" ca="1" si="2"/>
        <v>2.7092081754947463E-2</v>
      </c>
      <c r="AI25" s="20">
        <f t="shared" ca="1" si="2"/>
        <v>2.7591017263979098E-2</v>
      </c>
      <c r="AJ25" s="20">
        <f t="shared" ca="1" si="2"/>
        <v>2.8015644359274627E-2</v>
      </c>
      <c r="AK25" s="20">
        <f t="shared" ca="1" si="2"/>
        <v>2.8378721484169686E-2</v>
      </c>
      <c r="AL25" s="20">
        <f t="shared" ca="1" si="2"/>
        <v>2.8690643707453681E-2</v>
      </c>
      <c r="AM25" s="20">
        <f t="shared" ca="1" si="3"/>
        <v>2.8959901992422214E-2</v>
      </c>
      <c r="AN25" s="20">
        <f t="shared" ca="1" si="3"/>
        <v>2.9193450190815051E-2</v>
      </c>
      <c r="AO25" s="20">
        <f t="shared" ca="1" si="3"/>
        <v>2.9396998764573048E-2</v>
      </c>
      <c r="AP25" s="20">
        <f t="shared" ca="1" si="3"/>
        <v>2.9575250249820034E-2</v>
      </c>
      <c r="AQ25" s="20">
        <f t="shared" ca="1" si="3"/>
        <v>2.9732088338803843E-2</v>
      </c>
      <c r="AR25" s="20">
        <f t="shared" ca="1" si="3"/>
        <v>2.9870729983409991E-2</v>
      </c>
      <c r="AS25" s="20">
        <f t="shared" ca="1" si="3"/>
        <v>2.9993847974924569E-2</v>
      </c>
      <c r="AT25" s="20">
        <f t="shared" ca="1" si="3"/>
        <v>3.0103669916762138E-2</v>
      </c>
      <c r="AU25" s="20">
        <f t="shared" ca="1" si="3"/>
        <v>3.0202058292012599E-2</v>
      </c>
      <c r="AV25" s="20">
        <f t="shared" ca="1" si="3"/>
        <v>3.0290575367025951E-2</v>
      </c>
    </row>
    <row r="26" spans="1:48">
      <c r="C26" s="1">
        <f t="shared" ca="1" si="6"/>
        <v>0.37568353285590572</v>
      </c>
      <c r="D26" s="4">
        <f t="shared" si="4"/>
        <v>1.25</v>
      </c>
      <c r="E26" s="5">
        <f t="shared" ca="1" si="7"/>
        <v>-7.9209323076890076E-2</v>
      </c>
      <c r="F26" s="5">
        <f t="shared" ca="1" si="5"/>
        <v>-1.4690234182879226E-3</v>
      </c>
      <c r="G26" s="5">
        <f t="shared" ca="1" si="8"/>
        <v>1.9875655731608623E-2</v>
      </c>
      <c r="I26" s="20">
        <f t="shared" ca="1" si="0"/>
        <v>0.97881579196077939</v>
      </c>
      <c r="J26" s="20">
        <f t="shared" ca="1" si="0"/>
        <v>0.9556263668910262</v>
      </c>
      <c r="K26" s="20">
        <f t="shared" ca="1" si="0"/>
        <v>0.93117542748623039</v>
      </c>
      <c r="L26" s="20">
        <f t="shared" ca="1" si="0"/>
        <v>0.90601622790777525</v>
      </c>
      <c r="M26" s="20">
        <f t="shared" ca="1" si="0"/>
        <v>0.88055585521432655</v>
      </c>
      <c r="N26" s="20">
        <f t="shared" ca="1" si="0"/>
        <v>0.85509057358699792</v>
      </c>
      <c r="O26" s="20">
        <f t="shared" ca="1" si="0"/>
        <v>0.82983339618403718</v>
      </c>
      <c r="P26" s="20">
        <f t="shared" ca="1" si="0"/>
        <v>0.80493525059070958</v>
      </c>
      <c r="Q26" s="20">
        <f t="shared" ca="1" si="0"/>
        <v>0.78050103907748425</v>
      </c>
      <c r="R26" s="20">
        <f t="shared" ca="1" si="0"/>
        <v>0.75660172144316862</v>
      </c>
      <c r="S26" s="20">
        <f t="shared" ca="1" si="1"/>
        <v>0.73328334737920919</v>
      </c>
      <c r="T26" s="20">
        <f t="shared" ca="1" si="1"/>
        <v>0.7105737753729231</v>
      </c>
      <c r="U26" s="20">
        <f t="shared" ca="1" si="1"/>
        <v>0.68848765138322954</v>
      </c>
      <c r="V26" s="20">
        <f t="shared" ca="1" si="1"/>
        <v>0.66703008638480821</v>
      </c>
      <c r="W26" s="20">
        <f t="shared" ca="1" si="1"/>
        <v>0.64619936549807699</v>
      </c>
      <c r="X26" s="20">
        <f t="shared" ca="1" si="1"/>
        <v>0.62598893884012485</v>
      </c>
      <c r="Y26" s="20">
        <f t="shared" ca="1" si="1"/>
        <v>0.60638888106064215</v>
      </c>
      <c r="Z26" s="20">
        <f t="shared" ca="1" si="1"/>
        <v>0.58738695870701296</v>
      </c>
      <c r="AA26" s="20">
        <f t="shared" ca="1" si="1"/>
        <v>0.56896940863640255</v>
      </c>
      <c r="AB26" s="20">
        <f t="shared" ca="1" si="1"/>
        <v>0.551121503851281</v>
      </c>
      <c r="AC26" s="20">
        <f t="shared" ca="1" si="2"/>
        <v>2.1411813542158376E-2</v>
      </c>
      <c r="AD26" s="20">
        <f t="shared" ca="1" si="2"/>
        <v>2.2694135968215502E-2</v>
      </c>
      <c r="AE26" s="20">
        <f t="shared" ca="1" si="2"/>
        <v>2.3769196787302192E-2</v>
      </c>
      <c r="AF26" s="20">
        <f t="shared" ca="1" si="2"/>
        <v>2.4674515375395611E-2</v>
      </c>
      <c r="AG26" s="20">
        <f t="shared" ca="1" si="2"/>
        <v>2.5440383453288449E-2</v>
      </c>
      <c r="AH26" s="20">
        <f t="shared" ca="1" si="2"/>
        <v>2.6091313606018039E-2</v>
      </c>
      <c r="AI26" s="20">
        <f t="shared" ca="1" si="2"/>
        <v>2.6647189404151995E-2</v>
      </c>
      <c r="AJ26" s="20">
        <f t="shared" ca="1" si="2"/>
        <v>2.7124179855921658E-2</v>
      </c>
      <c r="AK26" s="20">
        <f t="shared" ca="1" si="2"/>
        <v>2.7535467525590149E-2</v>
      </c>
      <c r="AL26" s="20">
        <f t="shared" ca="1" si="2"/>
        <v>2.7891829155031075E-2</v>
      </c>
      <c r="AM26" s="20">
        <f t="shared" ca="1" si="3"/>
        <v>2.8202099390157664E-2</v>
      </c>
      <c r="AN26" s="20">
        <f t="shared" ca="1" si="3"/>
        <v>2.8473541748620174E-2</v>
      </c>
      <c r="AO26" s="20">
        <f t="shared" ca="1" si="3"/>
        <v>2.8712145885431663E-2</v>
      </c>
      <c r="AP26" s="20">
        <f t="shared" ca="1" si="3"/>
        <v>2.8922866218578855E-2</v>
      </c>
      <c r="AQ26" s="20">
        <f t="shared" ca="1" si="3"/>
        <v>2.9109813832623163E-2</v>
      </c>
      <c r="AR26" s="20">
        <f t="shared" ca="1" si="3"/>
        <v>2.9276411101413286E-2</v>
      </c>
      <c r="AS26" s="20">
        <f t="shared" ca="1" si="3"/>
        <v>2.9425516517874829E-2</v>
      </c>
      <c r="AT26" s="20">
        <f t="shared" ca="1" si="3"/>
        <v>2.9559525677144791E-2</v>
      </c>
      <c r="AU26" s="20">
        <f t="shared" ca="1" si="3"/>
        <v>2.9680453141145879E-2</v>
      </c>
      <c r="AV26" s="20">
        <f t="shared" ca="1" si="3"/>
        <v>2.97899989491263E-2</v>
      </c>
    </row>
    <row r="27" spans="1:48">
      <c r="C27" s="1">
        <f t="shared" ca="1" si="6"/>
        <v>0.44161496739870099</v>
      </c>
      <c r="D27" s="4">
        <f t="shared" si="4"/>
        <v>1.5</v>
      </c>
      <c r="E27" s="5">
        <f t="shared" ca="1" si="7"/>
        <v>-3.6718987610373635E-2</v>
      </c>
      <c r="F27" s="5">
        <f t="shared" ca="1" si="5"/>
        <v>-4.9740702235286408E-4</v>
      </c>
      <c r="G27" s="5">
        <f t="shared" ca="1" si="8"/>
        <v>1.9378248709255759E-2</v>
      </c>
      <c r="I27" s="20">
        <f t="shared" ca="1" si="0"/>
        <v>0.97927081834171603</v>
      </c>
      <c r="J27" s="20">
        <f t="shared" ca="1" si="0"/>
        <v>0.95645802757225584</v>
      </c>
      <c r="K27" s="20">
        <f t="shared" ca="1" si="0"/>
        <v>0.9323149993954154</v>
      </c>
      <c r="L27" s="20">
        <f t="shared" ca="1" si="0"/>
        <v>0.9074043018775948</v>
      </c>
      <c r="M27" s="20">
        <f t="shared" ca="1" si="0"/>
        <v>0.88214160555620047</v>
      </c>
      <c r="N27" s="20">
        <f t="shared" ca="1" si="0"/>
        <v>0.85683086350181004</v>
      </c>
      <c r="O27" s="20">
        <f t="shared" ca="1" si="0"/>
        <v>0.83169184580458444</v>
      </c>
      <c r="P27" s="20">
        <f t="shared" ca="1" si="0"/>
        <v>0.80688133937617101</v>
      </c>
      <c r="Q27" s="20">
        <f t="shared" ca="1" si="0"/>
        <v>0.78250927948746574</v>
      </c>
      <c r="R27" s="20">
        <f t="shared" ca="1" si="0"/>
        <v>0.75865091957112041</v>
      </c>
      <c r="S27" s="20">
        <f t="shared" ca="1" si="1"/>
        <v>0.73535595376800589</v>
      </c>
      <c r="T27" s="20">
        <f t="shared" ca="1" si="1"/>
        <v>0.71265532234042439</v>
      </c>
      <c r="U27" s="20">
        <f t="shared" ca="1" si="1"/>
        <v>0.69056626972072799</v>
      </c>
      <c r="V27" s="20">
        <f t="shared" ca="1" si="1"/>
        <v>0.66909609287990923</v>
      </c>
      <c r="W27" s="20">
        <f t="shared" ca="1" si="1"/>
        <v>0.6482449125046269</v>
      </c>
      <c r="X27" s="20">
        <f t="shared" ca="1" si="1"/>
        <v>0.6280077175308626</v>
      </c>
      <c r="Y27" s="20">
        <f t="shared" ca="1" si="1"/>
        <v>0.60837587072544363</v>
      </c>
      <c r="Z27" s="20">
        <f t="shared" ca="1" si="1"/>
        <v>0.58933821530753416</v>
      </c>
      <c r="AA27" s="20">
        <f t="shared" ca="1" si="1"/>
        <v>0.57088188668698214</v>
      </c>
      <c r="AB27" s="20">
        <f t="shared" ca="1" si="1"/>
        <v>0.55299290650775879</v>
      </c>
      <c r="AC27" s="20">
        <f t="shared" ca="1" si="2"/>
        <v>2.0947047186335957E-2</v>
      </c>
      <c r="AD27" s="20">
        <f t="shared" ca="1" si="2"/>
        <v>2.2259186163655239E-2</v>
      </c>
      <c r="AE27" s="20">
        <f t="shared" ca="1" si="2"/>
        <v>2.3361513071911946E-2</v>
      </c>
      <c r="AF27" s="20">
        <f t="shared" ca="1" si="2"/>
        <v>2.4291792720028512E-2</v>
      </c>
      <c r="AG27" s="20">
        <f t="shared" ca="1" si="2"/>
        <v>2.5080537068993356E-2</v>
      </c>
      <c r="AH27" s="20">
        <f t="shared" ca="1" si="2"/>
        <v>2.5752456444976504E-2</v>
      </c>
      <c r="AI27" s="20">
        <f t="shared" ca="1" si="2"/>
        <v>2.6327612058055349E-2</v>
      </c>
      <c r="AJ27" s="20">
        <f t="shared" ca="1" si="2"/>
        <v>2.6822332588801259E-2</v>
      </c>
      <c r="AK27" s="20">
        <f t="shared" ca="1" si="2"/>
        <v>2.724994420757991E-2</v>
      </c>
      <c r="AL27" s="20">
        <f t="shared" ca="1" si="2"/>
        <v>2.7621352889652173E-2</v>
      </c>
      <c r="AM27" s="20">
        <f t="shared" ca="1" si="3"/>
        <v>2.7945509650857958E-2</v>
      </c>
      <c r="AN27" s="20">
        <f t="shared" ca="1" si="3"/>
        <v>2.8229782860816888E-2</v>
      </c>
      <c r="AO27" s="20">
        <f t="shared" ca="1" si="3"/>
        <v>2.84802567084977E-2</v>
      </c>
      <c r="AP27" s="20">
        <f t="shared" ca="1" si="3"/>
        <v>2.870197089834739E-2</v>
      </c>
      <c r="AQ27" s="20">
        <f t="shared" ca="1" si="3"/>
        <v>2.8899113509298049E-2</v>
      </c>
      <c r="AR27" s="20">
        <f t="shared" ca="1" si="3"/>
        <v>2.9075176470472825E-2</v>
      </c>
      <c r="AS27" s="20">
        <f t="shared" ca="1" si="3"/>
        <v>2.9233081152828001E-2</v>
      </c>
      <c r="AT27" s="20">
        <f t="shared" ca="1" si="3"/>
        <v>2.9375280033005251E-2</v>
      </c>
      <c r="AU27" s="20">
        <f t="shared" ca="1" si="3"/>
        <v>2.9503839166374186E-2</v>
      </c>
      <c r="AV27" s="20">
        <f t="shared" ca="1" si="3"/>
        <v>2.9620505241682402E-2</v>
      </c>
    </row>
    <row r="28" spans="1:48">
      <c r="C28" s="1">
        <f t="shared" ca="1" si="6"/>
        <v>0.9777544973372555</v>
      </c>
      <c r="D28" s="4">
        <f t="shared" si="4"/>
        <v>1.75</v>
      </c>
      <c r="E28" s="5">
        <f t="shared" ca="1" si="7"/>
        <v>0.50235878828280334</v>
      </c>
      <c r="F28" s="5">
        <f t="shared" ca="1" si="5"/>
        <v>1.1206808957390452E-2</v>
      </c>
      <c r="G28" s="5">
        <f t="shared" ca="1" si="8"/>
        <v>3.0585057666646209E-2</v>
      </c>
      <c r="I28" s="20">
        <f t="shared" ca="1" si="0"/>
        <v>0.969069983876783</v>
      </c>
      <c r="J28" s="20">
        <f ca="1">vas_bond($G28,rbar,a,sigma,J$20)</f>
        <v>0.93789468672113041</v>
      </c>
      <c r="K28" s="20">
        <f t="shared" ca="1" si="0"/>
        <v>0.90697495343246926</v>
      </c>
      <c r="L28" s="20">
        <f t="shared" ca="1" si="0"/>
        <v>0.87664001805512903</v>
      </c>
      <c r="M28" s="20">
        <f t="shared" ca="1" si="0"/>
        <v>0.84709688233182501</v>
      </c>
      <c r="N28" s="20">
        <f t="shared" ca="1" si="0"/>
        <v>0.81846684936288439</v>
      </c>
      <c r="O28" s="20">
        <f t="shared" ca="1" si="0"/>
        <v>0.79081212406338253</v>
      </c>
      <c r="P28" s="20">
        <f t="shared" ca="1" si="0"/>
        <v>0.76415492983960276</v>
      </c>
      <c r="Q28" s="20">
        <f t="shared" ca="1" si="0"/>
        <v>0.73849108946843656</v>
      </c>
      <c r="R28" s="20">
        <f t="shared" ca="1" si="0"/>
        <v>0.71379956643365106</v>
      </c>
      <c r="S28" s="20">
        <f t="shared" ca="1" si="1"/>
        <v>0.69004908983428581</v>
      </c>
      <c r="T28" s="20">
        <f t="shared" ca="1" si="1"/>
        <v>0.66720269250796027</v>
      </c>
      <c r="U28" s="20">
        <f t="shared" ca="1" si="1"/>
        <v>0.64522076814519636</v>
      </c>
      <c r="V28" s="20">
        <f t="shared" ca="1" si="1"/>
        <v>0.62406308581795056</v>
      </c>
      <c r="W28" s="20">
        <f t="shared" ca="1" si="1"/>
        <v>0.60369007697016852</v>
      </c>
      <c r="X28" s="20">
        <f t="shared" ca="1" si="1"/>
        <v>0.58406361986329824</v>
      </c>
      <c r="Y28" s="20">
        <f t="shared" ca="1" si="1"/>
        <v>0.56514748121880465</v>
      </c>
      <c r="Z28" s="20">
        <f t="shared" ca="1" si="1"/>
        <v>0.54690752779127305</v>
      </c>
      <c r="AA28" s="20">
        <f t="shared" ca="1" si="1"/>
        <v>0.52931178690041369</v>
      </c>
      <c r="AB28" s="20">
        <f t="shared" ca="1" si="1"/>
        <v>0.51233041088684073</v>
      </c>
      <c r="AC28" s="20">
        <f t="shared" ca="1" si="2"/>
        <v>3.1418446916252514E-2</v>
      </c>
      <c r="AD28" s="20">
        <f t="shared" ca="1" si="2"/>
        <v>3.2058805281825364E-2</v>
      </c>
      <c r="AE28" s="20">
        <f t="shared" ca="1" si="2"/>
        <v>3.2546814662158655E-2</v>
      </c>
      <c r="AF28" s="20">
        <f t="shared" ca="1" si="2"/>
        <v>3.2914710149050209E-2</v>
      </c>
      <c r="AG28" s="20">
        <f t="shared" ca="1" si="2"/>
        <v>3.3188041590596108E-2</v>
      </c>
      <c r="AH28" s="20">
        <f t="shared" ca="1" si="2"/>
        <v>3.338706411431127E-2</v>
      </c>
      <c r="AI28" s="20">
        <f t="shared" ca="1" si="2"/>
        <v>3.3527836630426286E-2</v>
      </c>
      <c r="AJ28" s="20">
        <f t="shared" ca="1" si="2"/>
        <v>3.3623090328262689E-2</v>
      </c>
      <c r="AK28" s="20">
        <f t="shared" ca="1" si="2"/>
        <v>3.3682915866655193E-2</v>
      </c>
      <c r="AL28" s="20">
        <f t="shared" ca="1" si="2"/>
        <v>3.3715307533218615E-2</v>
      </c>
      <c r="AM28" s="20">
        <f t="shared" ca="1" si="3"/>
        <v>3.3726594475829499E-2</v>
      </c>
      <c r="AN28" s="20">
        <f t="shared" ca="1" si="3"/>
        <v>3.3721782701019096E-2</v>
      </c>
      <c r="AO28" s="20">
        <f t="shared" ca="1" si="3"/>
        <v>3.3704826504261175E-2</v>
      </c>
      <c r="AP28" s="20">
        <f t="shared" ca="1" si="3"/>
        <v>3.3678844046831934E-2</v>
      </c>
      <c r="AQ28" s="20">
        <f t="shared" ca="1" si="3"/>
        <v>3.3646288689084418E-2</v>
      </c>
      <c r="AR28" s="20">
        <f t="shared" ca="1" si="3"/>
        <v>3.3609085247821892E-2</v>
      </c>
      <c r="AS28" s="20">
        <f t="shared" ca="1" si="3"/>
        <v>3.3568738423053676E-2</v>
      </c>
      <c r="AT28" s="20">
        <f t="shared" ca="1" si="3"/>
        <v>3.3526419124962799E-2</v>
      </c>
      <c r="AU28" s="20">
        <f t="shared" ca="1" si="3"/>
        <v>3.3483033237879753E-2</v>
      </c>
      <c r="AV28" s="20">
        <f t="shared" ca="1" si="3"/>
        <v>3.3439276415878023E-2</v>
      </c>
    </row>
    <row r="29" spans="1:48">
      <c r="C29" s="1">
        <f t="shared" ca="1" si="6"/>
        <v>0.32299267483843486</v>
      </c>
      <c r="D29" s="4">
        <f t="shared" si="4"/>
        <v>2</v>
      </c>
      <c r="E29" s="5">
        <f t="shared" ca="1" si="7"/>
        <v>-0.11483662879924875</v>
      </c>
      <c r="F29" s="5">
        <f t="shared" ca="1" si="5"/>
        <v>-2.558638430484221E-3</v>
      </c>
      <c r="G29" s="5">
        <f t="shared" ca="1" si="8"/>
        <v>2.802641923616199E-2</v>
      </c>
      <c r="I29" s="20">
        <f t="shared" ca="1" si="0"/>
        <v>0.97138954635902897</v>
      </c>
      <c r="J29" s="20">
        <f t="shared" ca="1" si="0"/>
        <v>0.94210090933199275</v>
      </c>
      <c r="K29" s="20">
        <f t="shared" ca="1" si="0"/>
        <v>0.91269900816569072</v>
      </c>
      <c r="L29" s="20">
        <f t="shared" ca="1" si="0"/>
        <v>0.8835706618819763</v>
      </c>
      <c r="M29" s="20">
        <f t="shared" ca="1" si="0"/>
        <v>0.85497329606720363</v>
      </c>
      <c r="N29" s="20">
        <f t="shared" ca="1" si="0"/>
        <v>0.82707161425720399</v>
      </c>
      <c r="O29" s="20">
        <f t="shared" ca="1" si="0"/>
        <v>0.79996474575572729</v>
      </c>
      <c r="P29" s="20">
        <f t="shared" ca="1" si="0"/>
        <v>0.77370608166049615</v>
      </c>
      <c r="Q29" s="20">
        <f t="shared" ca="1" si="0"/>
        <v>0.74831761241498329</v>
      </c>
      <c r="R29" s="20">
        <f t="shared" ca="1" si="0"/>
        <v>0.72380019177314681</v>
      </c>
      <c r="S29" s="20">
        <f t="shared" ca="1" si="1"/>
        <v>0.70014081660140415</v>
      </c>
      <c r="T29" s="20">
        <f t="shared" ca="1" si="1"/>
        <v>0.67731774007319845</v>
      </c>
      <c r="U29" s="20">
        <f t="shared" ca="1" si="1"/>
        <v>0.65530402372204655</v>
      </c>
      <c r="V29" s="20">
        <f t="shared" ca="1" si="1"/>
        <v>0.63406997238906515</v>
      </c>
      <c r="W29" s="20">
        <f t="shared" ca="1" si="1"/>
        <v>0.61358477526401489</v>
      </c>
      <c r="X29" s="20">
        <f t="shared" ca="1" si="1"/>
        <v>0.59381758682203212</v>
      </c>
      <c r="Y29" s="20">
        <f t="shared" ca="1" si="1"/>
        <v>0.57473821588182372</v>
      </c>
      <c r="Z29" s="20">
        <f t="shared" ca="1" si="1"/>
        <v>0.55631754321538662</v>
      </c>
      <c r="AA29" s="20">
        <f t="shared" ca="1" si="1"/>
        <v>0.53852775347888038</v>
      </c>
      <c r="AB29" s="20">
        <f t="shared" ca="1" si="1"/>
        <v>0.52134244220560744</v>
      </c>
      <c r="AC29" s="20">
        <f t="shared" ca="1" si="2"/>
        <v>2.9027710545908844E-2</v>
      </c>
      <c r="AD29" s="20">
        <f t="shared" ca="1" si="2"/>
        <v>2.9821443854929363E-2</v>
      </c>
      <c r="AE29" s="20">
        <f t="shared" ca="1" si="2"/>
        <v>3.0449708721141028E-2</v>
      </c>
      <c r="AF29" s="20">
        <f t="shared" ca="1" si="2"/>
        <v>3.0946002731918998E-2</v>
      </c>
      <c r="AG29" s="20">
        <f t="shared" ca="1" si="2"/>
        <v>3.133700864061284E-2</v>
      </c>
      <c r="AH29" s="20">
        <f t="shared" ca="1" si="2"/>
        <v>3.1643998745864217E-2</v>
      </c>
      <c r="AI29" s="20">
        <f t="shared" ca="1" si="2"/>
        <v>3.1883945727223549E-2</v>
      </c>
      <c r="AJ29" s="20">
        <f t="shared" ca="1" si="2"/>
        <v>3.2070402121052381E-2</v>
      </c>
      <c r="AK29" s="20">
        <f t="shared" ca="1" si="2"/>
        <v>3.2214197289252185E-2</v>
      </c>
      <c r="AL29" s="20">
        <f t="shared" ca="1" si="2"/>
        <v>3.232399028993016E-2</v>
      </c>
      <c r="AM29" s="20">
        <f t="shared" ca="1" si="3"/>
        <v>3.240670887241634E-2</v>
      </c>
      <c r="AN29" s="20">
        <f t="shared" ca="1" si="3"/>
        <v>3.2467898396862399E-2</v>
      </c>
      <c r="AO29" s="20">
        <f t="shared" ca="1" si="3"/>
        <v>3.2511999436983297E-2</v>
      </c>
      <c r="AP29" s="20">
        <f t="shared" ca="1" si="3"/>
        <v>3.2542568863613078E-2</v>
      </c>
      <c r="AQ29" s="20">
        <f t="shared" ca="1" si="3"/>
        <v>3.2562456092542096E-2</v>
      </c>
      <c r="AR29" s="20">
        <f t="shared" ca="1" si="3"/>
        <v>3.2573943729648253E-2</v>
      </c>
      <c r="AS29" s="20">
        <f t="shared" ca="1" si="3"/>
        <v>3.2578859916586225E-2</v>
      </c>
      <c r="AT29" s="20">
        <f t="shared" ca="1" si="3"/>
        <v>3.257866815933546E-2</v>
      </c>
      <c r="AU29" s="20">
        <f t="shared" ca="1" si="3"/>
        <v>3.2574539222105986E-2</v>
      </c>
      <c r="AV29" s="20">
        <f t="shared" ca="1" si="3"/>
        <v>3.2567408721811665E-2</v>
      </c>
    </row>
    <row r="30" spans="1:48">
      <c r="C30" s="1">
        <f t="shared" ca="1" si="6"/>
        <v>0.88628432300509585</v>
      </c>
      <c r="D30" s="4">
        <f t="shared" si="4"/>
        <v>2.25</v>
      </c>
      <c r="E30" s="5">
        <f t="shared" ca="1" si="7"/>
        <v>0.30175051282440823</v>
      </c>
      <c r="F30" s="5">
        <f t="shared" ca="1" si="5"/>
        <v>6.5607570508917704E-3</v>
      </c>
      <c r="G30" s="5">
        <f t="shared" ca="1" si="8"/>
        <v>3.458717628705376E-2</v>
      </c>
      <c r="I30" s="20">
        <f t="shared" ca="1" si="0"/>
        <v>0.96545292064530852</v>
      </c>
      <c r="J30" s="20">
        <f t="shared" ca="1" si="0"/>
        <v>0.93135311225682926</v>
      </c>
      <c r="K30" s="20">
        <f t="shared" ca="1" si="0"/>
        <v>0.8980935244960816</v>
      </c>
      <c r="L30" s="20">
        <f t="shared" ca="1" si="0"/>
        <v>0.86590824363013863</v>
      </c>
      <c r="M30" s="20">
        <f t="shared" ca="1" si="0"/>
        <v>0.83492217516923839</v>
      </c>
      <c r="N30" s="20">
        <f t="shared" ca="1" si="0"/>
        <v>0.80518680042375923</v>
      </c>
      <c r="O30" s="20">
        <f t="shared" ca="1" si="0"/>
        <v>0.77670550998819754</v>
      </c>
      <c r="P30" s="20">
        <f t="shared" ca="1" si="0"/>
        <v>0.74945130107701707</v>
      </c>
      <c r="Q30" s="20">
        <f t="shared" ca="1" si="0"/>
        <v>0.72337896785560318</v>
      </c>
      <c r="R30" s="20">
        <f t="shared" ca="1" si="0"/>
        <v>0.69843336910714315</v>
      </c>
      <c r="S30" s="20">
        <f t="shared" ca="1" si="1"/>
        <v>0.67455493106822295</v>
      </c>
      <c r="T30" s="20">
        <f t="shared" ca="1" si="1"/>
        <v>0.65168322063821349</v>
      </c>
      <c r="U30" s="20">
        <f t="shared" ca="1" si="1"/>
        <v>0.62975918551273724</v>
      </c>
      <c r="V30" s="20">
        <f t="shared" ca="1" si="1"/>
        <v>0.608726483917574</v>
      </c>
      <c r="W30" s="20">
        <f t="shared" ca="1" si="1"/>
        <v>0.58853220129580885</v>
      </c>
      <c r="X30" s="20">
        <f t="shared" ca="1" si="1"/>
        <v>0.5691271616834136</v>
      </c>
      <c r="Y30" s="20">
        <f t="shared" ca="1" si="1"/>
        <v>0.55046597781783368</v>
      </c>
      <c r="Z30" s="20">
        <f t="shared" ca="1" si="1"/>
        <v>0.53250693899405566</v>
      </c>
      <c r="AA30" s="20">
        <f t="shared" ca="1" si="1"/>
        <v>0.51521180399857136</v>
      </c>
      <c r="AB30" s="20">
        <f t="shared" ca="1" si="1"/>
        <v>0.49854554426797648</v>
      </c>
      <c r="AC30" s="20">
        <f t="shared" ca="1" si="2"/>
        <v>3.515793993341447E-2</v>
      </c>
      <c r="AD30" s="20">
        <f t="shared" ca="1" si="2"/>
        <v>3.5558395423394333E-2</v>
      </c>
      <c r="AE30" s="20">
        <f t="shared" ca="1" si="2"/>
        <v>3.5827022852389576E-2</v>
      </c>
      <c r="AF30" s="20">
        <f t="shared" ca="1" si="2"/>
        <v>3.5994082567740962E-2</v>
      </c>
      <c r="AG30" s="20">
        <f t="shared" ca="1" si="2"/>
        <v>3.6083352373024243E-2</v>
      </c>
      <c r="AH30" s="20">
        <f t="shared" ca="1" si="2"/>
        <v>3.6113496377868447E-2</v>
      </c>
      <c r="AI30" s="20">
        <f t="shared" ca="1" si="2"/>
        <v>3.6099144211537378E-2</v>
      </c>
      <c r="AJ30" s="20">
        <f t="shared" ca="1" si="2"/>
        <v>3.6051742345573165E-2</v>
      </c>
      <c r="AK30" s="20">
        <f t="shared" ca="1" si="2"/>
        <v>3.5980225989387424E-2</v>
      </c>
      <c r="AL30" s="20">
        <f t="shared" ca="1" si="2"/>
        <v>3.5891549623510773E-2</v>
      </c>
      <c r="AM30" s="20">
        <f t="shared" ca="1" si="3"/>
        <v>3.5791106087666738E-2</v>
      </c>
      <c r="AN30" s="20">
        <f t="shared" ca="1" si="3"/>
        <v>3.5683057753294695E-2</v>
      </c>
      <c r="AO30" s="20">
        <f t="shared" ca="1" si="3"/>
        <v>3.5570598299135489E-2</v>
      </c>
      <c r="AP30" s="20">
        <f t="shared" ca="1" si="3"/>
        <v>3.5456159674740556E-2</v>
      </c>
      <c r="AQ30" s="20">
        <f t="shared" ca="1" si="3"/>
        <v>3.5341575746586244E-2</v>
      </c>
      <c r="AR30" s="20">
        <f t="shared" ca="1" si="3"/>
        <v>3.5228211692294009E-2</v>
      </c>
      <c r="AS30" s="20">
        <f t="shared" ca="1" si="3"/>
        <v>3.5117066297549362E-2</v>
      </c>
      <c r="AT30" s="20">
        <f t="shared" ca="1" si="3"/>
        <v>3.5008852806039263E-2</v>
      </c>
      <c r="AU30" s="20">
        <f t="shared" ca="1" si="3"/>
        <v>3.4904062787713006E-2</v>
      </c>
      <c r="AV30" s="20">
        <f t="shared" ca="1" si="3"/>
        <v>3.4803016556486495E-2</v>
      </c>
    </row>
    <row r="31" spans="1:48">
      <c r="C31" s="1">
        <f t="shared" ca="1" si="6"/>
        <v>0.17367851553475289</v>
      </c>
      <c r="D31" s="4">
        <f t="shared" si="4"/>
        <v>2.5</v>
      </c>
      <c r="E31" s="5">
        <f t="shared" ca="1" si="7"/>
        <v>-0.23493203304983054</v>
      </c>
      <c r="F31" s="5">
        <f t="shared" ca="1" si="5"/>
        <v>-5.2996836005341375E-3</v>
      </c>
      <c r="G31" s="5">
        <f t="shared" ca="1" si="8"/>
        <v>2.9287492686519624E-2</v>
      </c>
      <c r="I31" s="20">
        <f t="shared" ref="I31:R40" ca="1" si="9">vas_bond($G31,rbar,a,sigma,I$20)</f>
        <v>0.9702456129758732</v>
      </c>
      <c r="J31" s="20">
        <f t="shared" ca="1" si="9"/>
        <v>0.94002544053226089</v>
      </c>
      <c r="K31" s="20">
        <f t="shared" ca="1" si="9"/>
        <v>0.90987329866004174</v>
      </c>
      <c r="L31" s="20">
        <f t="shared" ca="1" si="9"/>
        <v>0.88014794176298383</v>
      </c>
      <c r="M31" s="20">
        <f t="shared" ca="1" si="9"/>
        <v>0.85108214573849339</v>
      </c>
      <c r="N31" s="20">
        <f t="shared" ca="1" si="9"/>
        <v>0.82281934580607896</v>
      </c>
      <c r="O31" s="20">
        <f t="shared" ca="1" si="9"/>
        <v>0.79544053984505003</v>
      </c>
      <c r="P31" s="20">
        <f t="shared" ca="1" si="9"/>
        <v>0.76898378810571266</v>
      </c>
      <c r="Q31" s="20">
        <f t="shared" ca="1" si="9"/>
        <v>0.74345819072080599</v>
      </c>
      <c r="R31" s="20">
        <f t="shared" ca="1" si="9"/>
        <v>0.71885380448889902</v>
      </c>
      <c r="S31" s="20">
        <f t="shared" ref="S31:AB40" ca="1" si="10">vas_bond($G31,rbar,a,sigma,S$20)</f>
        <v>0.69514860604913153</v>
      </c>
      <c r="T31" s="20">
        <f t="shared" ca="1" si="10"/>
        <v>0.67231332577646485</v>
      </c>
      <c r="U31" s="20">
        <f t="shared" ca="1" si="10"/>
        <v>0.65031475861470289</v>
      </c>
      <c r="V31" s="20">
        <f t="shared" ca="1" si="10"/>
        <v>0.62911799354899778</v>
      </c>
      <c r="W31" s="20">
        <f t="shared" ca="1" si="10"/>
        <v>0.60868788120774897</v>
      </c>
      <c r="X31" s="20">
        <f t="shared" ca="1" si="10"/>
        <v>0.5889899692722329</v>
      </c>
      <c r="Y31" s="20">
        <f t="shared" ca="1" si="10"/>
        <v>0.56999106989114323</v>
      </c>
      <c r="Z31" s="20">
        <f t="shared" ca="1" si="10"/>
        <v>0.55165957584295211</v>
      </c>
      <c r="AA31" s="20">
        <f t="shared" ca="1" si="10"/>
        <v>0.53396560796630588</v>
      </c>
      <c r="AB31" s="20">
        <f t="shared" ca="1" si="10"/>
        <v>0.51688105180245192</v>
      </c>
      <c r="AC31" s="20">
        <f t="shared" ref="AC31:AL40" ca="1" si="11">vas_yield($G31,rbar,a,sigma,AC$20)</f>
        <v>3.0206030283283464E-2</v>
      </c>
      <c r="AD31" s="20">
        <f t="shared" ca="1" si="11"/>
        <v>3.0924169844149675E-2</v>
      </c>
      <c r="AE31" s="20">
        <f t="shared" ca="1" si="11"/>
        <v>3.1483307135554001E-2</v>
      </c>
      <c r="AF31" s="20">
        <f t="shared" ca="1" si="11"/>
        <v>3.1916317499995267E-2</v>
      </c>
      <c r="AG31" s="20">
        <f t="shared" ca="1" si="11"/>
        <v>3.2249325316994232E-2</v>
      </c>
      <c r="AH31" s="20">
        <f t="shared" ca="1" si="11"/>
        <v>3.2503101553121916E-2</v>
      </c>
      <c r="AI31" s="20">
        <f t="shared" ca="1" si="11"/>
        <v>3.2694168519398638E-2</v>
      </c>
      <c r="AJ31" s="20">
        <f t="shared" ca="1" si="11"/>
        <v>3.2835673935728345E-2</v>
      </c>
      <c r="AK31" s="20">
        <f t="shared" ca="1" si="11"/>
        <v>3.2938083080203684E-2</v>
      </c>
      <c r="AL31" s="20">
        <f t="shared" ca="1" si="11"/>
        <v>3.3009727366193724E-2</v>
      </c>
      <c r="AM31" s="20">
        <f t="shared" ref="AM31:AV40" ca="1" si="12">vas_yield($G31,rbar,a,sigma,AM$20)</f>
        <v>3.3057239510955447E-2</v>
      </c>
      <c r="AN31" s="20">
        <f t="shared" ca="1" si="12"/>
        <v>3.3085899043985068E-2</v>
      </c>
      <c r="AO31" s="20">
        <f t="shared" ca="1" si="12"/>
        <v>3.3099906867548788E-2</v>
      </c>
      <c r="AP31" s="20">
        <f t="shared" ca="1" si="12"/>
        <v>3.3102603626159181E-2</v>
      </c>
      <c r="AQ31" s="20">
        <f t="shared" ca="1" si="12"/>
        <v>3.3096643532176943E-2</v>
      </c>
      <c r="AR31" s="20">
        <f t="shared" ca="1" si="12"/>
        <v>3.3084132848352543E-2</v>
      </c>
      <c r="AS31" s="20">
        <f t="shared" ca="1" si="12"/>
        <v>3.3066740301994774E-2</v>
      </c>
      <c r="AT31" s="20">
        <f t="shared" ca="1" si="12"/>
        <v>3.3045785187698573E-2</v>
      </c>
      <c r="AU31" s="20">
        <f t="shared" ca="1" si="12"/>
        <v>3.3022307718604441E-2</v>
      </c>
      <c r="AV31" s="20">
        <f t="shared" ca="1" si="12"/>
        <v>3.2997125241391784E-2</v>
      </c>
    </row>
    <row r="32" spans="1:48">
      <c r="C32" s="1">
        <f t="shared" ca="1" si="6"/>
        <v>0.90016518087466624</v>
      </c>
      <c r="D32" s="4">
        <f t="shared" si="4"/>
        <v>2.75</v>
      </c>
      <c r="E32" s="5">
        <f t="shared" ca="1" si="7"/>
        <v>0.32062333607508747</v>
      </c>
      <c r="F32" s="5">
        <f t="shared" ca="1" si="5"/>
        <v>6.9266252785906181E-3</v>
      </c>
      <c r="G32" s="5">
        <f t="shared" ca="1" si="8"/>
        <v>3.6214117965110246E-2</v>
      </c>
      <c r="I32" s="20">
        <f t="shared" ca="1" si="9"/>
        <v>0.9639863742914635</v>
      </c>
      <c r="J32" s="20">
        <f t="shared" ca="1" si="9"/>
        <v>0.92870689270352502</v>
      </c>
      <c r="K32" s="20">
        <f t="shared" ca="1" si="9"/>
        <v>0.89450795728522803</v>
      </c>
      <c r="L32" s="20">
        <f t="shared" ca="1" si="9"/>
        <v>0.86158321247736913</v>
      </c>
      <c r="M32" s="20">
        <f t="shared" ca="1" si="9"/>
        <v>0.83002307940335929</v>
      </c>
      <c r="N32" s="20">
        <f t="shared" ca="1" si="9"/>
        <v>0.79984999477077623</v>
      </c>
      <c r="O32" s="20">
        <f t="shared" ca="1" si="9"/>
        <v>0.77104308341912176</v>
      </c>
      <c r="P32" s="20">
        <f t="shared" ca="1" si="9"/>
        <v>0.74355517521248704</v>
      </c>
      <c r="Q32" s="20">
        <f t="shared" ca="1" si="9"/>
        <v>0.71732435790864224</v>
      </c>
      <c r="R32" s="20">
        <f t="shared" ca="1" si="9"/>
        <v>0.69228167745187252</v>
      </c>
      <c r="S32" s="20">
        <f t="shared" ca="1" si="10"/>
        <v>0.66835615110205759</v>
      </c>
      <c r="T32" s="20">
        <f t="shared" ca="1" si="10"/>
        <v>0.64547792608202281</v>
      </c>
      <c r="U32" s="20">
        <f t="shared" ca="1" si="10"/>
        <v>0.62358017309969738</v>
      </c>
      <c r="V32" s="20">
        <f t="shared" ca="1" si="10"/>
        <v>0.60260012857275413</v>
      </c>
      <c r="W32" s="20">
        <f t="shared" ca="1" si="10"/>
        <v>0.5824795739925166</v>
      </c>
      <c r="X32" s="20">
        <f t="shared" ca="1" si="10"/>
        <v>0.56316495194387495</v>
      </c>
      <c r="Y32" s="20">
        <f t="shared" ca="1" si="10"/>
        <v>0.54460725561076739</v>
      </c>
      <c r="Z32" s="20">
        <f t="shared" ca="1" si="10"/>
        <v>0.52676178463110856</v>
      </c>
      <c r="AA32" s="20">
        <f t="shared" ca="1" si="10"/>
        <v>0.50958782948498071</v>
      </c>
      <c r="AB32" s="20">
        <f t="shared" ca="1" si="10"/>
        <v>0.4930483253074685</v>
      </c>
      <c r="AC32" s="20">
        <f t="shared" ca="1" si="11"/>
        <v>3.6678119023908905E-2</v>
      </c>
      <c r="AD32" s="20">
        <f t="shared" ca="1" si="11"/>
        <v>3.6981049171936738E-2</v>
      </c>
      <c r="AE32" s="20">
        <f t="shared" ca="1" si="11"/>
        <v>3.7160493427243618E-2</v>
      </c>
      <c r="AF32" s="20">
        <f t="shared" ca="1" si="11"/>
        <v>3.7245909363848119E-2</v>
      </c>
      <c r="AG32" s="20">
        <f t="shared" ca="1" si="11"/>
        <v>3.7260354413603189E-2</v>
      </c>
      <c r="AH32" s="20">
        <f t="shared" ca="1" si="11"/>
        <v>3.7221845905381294E-2</v>
      </c>
      <c r="AI32" s="20">
        <f t="shared" ca="1" si="11"/>
        <v>3.714443243699888E-2</v>
      </c>
      <c r="AJ32" s="20">
        <f t="shared" ca="1" si="11"/>
        <v>3.7039038216392699E-2</v>
      </c>
      <c r="AK32" s="20">
        <f t="shared" ca="1" si="11"/>
        <v>3.6914128739554658E-2</v>
      </c>
      <c r="AL32" s="20">
        <f t="shared" ca="1" si="11"/>
        <v>3.6776235784531291E-2</v>
      </c>
      <c r="AM32" s="20">
        <f t="shared" ca="1" si="12"/>
        <v>3.66303715629583E-2</v>
      </c>
      <c r="AN32" s="20">
        <f t="shared" ca="1" si="12"/>
        <v>3.6480355491649741E-2</v>
      </c>
      <c r="AO32" s="20">
        <f t="shared" ca="1" si="12"/>
        <v>3.6329072043353033E-2</v>
      </c>
      <c r="AP32" s="20">
        <f t="shared" ca="1" si="12"/>
        <v>3.6178674208757845E-2</v>
      </c>
      <c r="AQ32" s="20">
        <f t="shared" ca="1" si="12"/>
        <v>3.6030744017625294E-2</v>
      </c>
      <c r="AR32" s="20">
        <f t="shared" ca="1" si="12"/>
        <v>3.5886419142998421E-2</v>
      </c>
      <c r="AS32" s="20">
        <f t="shared" ca="1" si="12"/>
        <v>3.5746492706219157E-2</v>
      </c>
      <c r="AT32" s="20">
        <f t="shared" ca="1" si="12"/>
        <v>3.5611491900342872E-2</v>
      </c>
      <c r="AU32" s="20">
        <f t="shared" ca="1" si="12"/>
        <v>3.5481739868193474E-2</v>
      </c>
      <c r="AV32" s="20">
        <f t="shared" ca="1" si="12"/>
        <v>3.5357404340366973E-2</v>
      </c>
    </row>
    <row r="33" spans="3:48">
      <c r="C33" s="1">
        <f t="shared" ca="1" si="6"/>
        <v>0.1062139888997784</v>
      </c>
      <c r="D33" s="4">
        <f t="shared" si="4"/>
        <v>3</v>
      </c>
      <c r="E33" s="5">
        <f t="shared" ca="1" si="7"/>
        <v>-0.31172921923281732</v>
      </c>
      <c r="F33" s="5">
        <f t="shared" ca="1" si="5"/>
        <v>-7.0204896035280882E-3</v>
      </c>
      <c r="G33" s="5">
        <f t="shared" ca="1" si="8"/>
        <v>2.9193628361582159E-2</v>
      </c>
      <c r="I33" s="20">
        <f t="shared" ca="1" si="9"/>
        <v>0.97033071189886178</v>
      </c>
      <c r="J33" s="20">
        <f t="shared" ca="1" si="9"/>
        <v>0.94017976437838313</v>
      </c>
      <c r="K33" s="20">
        <f t="shared" ca="1" si="9"/>
        <v>0.91008332042620055</v>
      </c>
      <c r="L33" s="20">
        <f t="shared" ca="1" si="9"/>
        <v>0.88040224460994665</v>
      </c>
      <c r="M33" s="20">
        <f t="shared" ca="1" si="9"/>
        <v>0.85137116115278488</v>
      </c>
      <c r="N33" s="20">
        <f t="shared" ca="1" si="9"/>
        <v>0.82313509654572148</v>
      </c>
      <c r="O33" s="20">
        <f t="shared" ca="1" si="9"/>
        <v>0.79577640277081352</v>
      </c>
      <c r="P33" s="20">
        <f t="shared" ca="1" si="9"/>
        <v>0.76933428326373765</v>
      </c>
      <c r="Q33" s="20">
        <f t="shared" ca="1" si="9"/>
        <v>0.74381879808746587</v>
      </c>
      <c r="R33" s="20">
        <f t="shared" ca="1" si="9"/>
        <v>0.71922080715911529</v>
      </c>
      <c r="S33" s="20">
        <f t="shared" ca="1" si="10"/>
        <v>0.69551895740469916</v>
      </c>
      <c r="T33" s="20">
        <f t="shared" ca="1" si="10"/>
        <v>0.67268453772113501</v>
      </c>
      <c r="U33" s="20">
        <f t="shared" ca="1" si="10"/>
        <v>0.65068480794679562</v>
      </c>
      <c r="V33" s="20">
        <f t="shared" ca="1" si="10"/>
        <v>0.62948524374495329</v>
      </c>
      <c r="W33" s="20">
        <f t="shared" ca="1" si="10"/>
        <v>0.60905101718675247</v>
      </c>
      <c r="X33" s="20">
        <f t="shared" ca="1" si="10"/>
        <v>0.58934794303360694</v>
      </c>
      <c r="Y33" s="20">
        <f t="shared" ca="1" si="10"/>
        <v>0.57034305522631279</v>
      </c>
      <c r="Z33" s="20">
        <f t="shared" ca="1" si="10"/>
        <v>0.55200493060536804</v>
      </c>
      <c r="AA33" s="20">
        <f t="shared" ca="1" si="10"/>
        <v>0.53430384262949182</v>
      </c>
      <c r="AB33" s="20">
        <f t="shared" ca="1" si="10"/>
        <v>0.51721180324788707</v>
      </c>
      <c r="AC33" s="20">
        <f t="shared" ca="1" si="11"/>
        <v>3.0118325489658801E-2</v>
      </c>
      <c r="AD33" s="20">
        <f t="shared" ca="1" si="11"/>
        <v>3.0842091650734527E-2</v>
      </c>
      <c r="AE33" s="20">
        <f t="shared" ca="1" si="11"/>
        <v>3.1406374251590902E-2</v>
      </c>
      <c r="AF33" s="20">
        <f t="shared" ca="1" si="11"/>
        <v>3.1844094949709634E-2</v>
      </c>
      <c r="AG33" s="20">
        <f t="shared" ca="1" si="11"/>
        <v>3.2181419685539184E-2</v>
      </c>
      <c r="AH33" s="20">
        <f t="shared" ca="1" si="11"/>
        <v>3.243915674084135E-2</v>
      </c>
      <c r="AI33" s="20">
        <f t="shared" ca="1" si="11"/>
        <v>3.2633861948504692E-2</v>
      </c>
      <c r="AJ33" s="20">
        <f t="shared" ca="1" si="11"/>
        <v>3.2778713159765729E-2</v>
      </c>
      <c r="AK33" s="20">
        <f t="shared" ca="1" si="11"/>
        <v>3.2884202752233714E-2</v>
      </c>
      <c r="AL33" s="20">
        <f t="shared" ca="1" si="11"/>
        <v>3.2958686526558395E-2</v>
      </c>
      <c r="AM33" s="20">
        <f t="shared" ca="1" si="12"/>
        <v>3.3008819159848782E-2</v>
      </c>
      <c r="AN33" s="20">
        <f t="shared" ca="1" si="12"/>
        <v>3.3039899967930747E-2</v>
      </c>
      <c r="AO33" s="20">
        <f t="shared" ca="1" si="12"/>
        <v>3.3056147692315893E-2</v>
      </c>
      <c r="AP33" s="20">
        <f t="shared" ca="1" si="12"/>
        <v>3.3060919071692507E-2</v>
      </c>
      <c r="AQ33" s="20">
        <f t="shared" ca="1" si="12"/>
        <v>3.3056882847819366E-2</v>
      </c>
      <c r="AR33" s="20">
        <f t="shared" ca="1" si="12"/>
        <v>3.3046158409033376E-2</v>
      </c>
      <c r="AS33" s="20">
        <f t="shared" ca="1" si="12"/>
        <v>3.3030426348185329E-2</v>
      </c>
      <c r="AT33" s="20">
        <f t="shared" ca="1" si="12"/>
        <v>3.3011016693824037E-2</v>
      </c>
      <c r="AU33" s="20">
        <f t="shared" ca="1" si="12"/>
        <v>3.298897937627817E-2</v>
      </c>
      <c r="AV33" s="20">
        <f t="shared" ca="1" si="12"/>
        <v>3.2965140545327155E-2</v>
      </c>
    </row>
    <row r="34" spans="3:48">
      <c r="C34" s="1">
        <f t="shared" ca="1" si="6"/>
        <v>0.19995747710521639</v>
      </c>
      <c r="D34" s="4">
        <f t="shared" si="4"/>
        <v>3.25</v>
      </c>
      <c r="E34" s="5">
        <f t="shared" ca="1" si="7"/>
        <v>-0.21044328285509117</v>
      </c>
      <c r="F34" s="5">
        <f t="shared" ca="1" si="5"/>
        <v>-4.5836116337228186E-3</v>
      </c>
      <c r="G34" s="5">
        <f t="shared" ca="1" si="8"/>
        <v>2.4610016727859341E-2</v>
      </c>
      <c r="I34" s="20">
        <f t="shared" ca="1" si="9"/>
        <v>0.97449538287656523</v>
      </c>
      <c r="J34" s="20">
        <f t="shared" ca="1" si="9"/>
        <v>0.9477466606470154</v>
      </c>
      <c r="K34" s="20">
        <f t="shared" ca="1" si="9"/>
        <v>0.92039836991898982</v>
      </c>
      <c r="L34" s="20">
        <f t="shared" ca="1" si="9"/>
        <v>0.89291025230596921</v>
      </c>
      <c r="M34" s="20">
        <f t="shared" ca="1" si="9"/>
        <v>0.86560451501815783</v>
      </c>
      <c r="N34" s="20">
        <f t="shared" ca="1" si="9"/>
        <v>0.83870226549095839</v>
      </c>
      <c r="O34" s="20">
        <f t="shared" ca="1" si="9"/>
        <v>0.81235107791912575</v>
      </c>
      <c r="P34" s="20">
        <f t="shared" ca="1" si="9"/>
        <v>0.7866455635448808</v>
      </c>
      <c r="Q34" s="20">
        <f t="shared" ca="1" si="9"/>
        <v>0.76164255765460565</v>
      </c>
      <c r="R34" s="20">
        <f t="shared" ca="1" si="9"/>
        <v>0.73737223592123458</v>
      </c>
      <c r="S34" s="20">
        <f t="shared" ca="1" si="10"/>
        <v>0.71384619127826032</v>
      </c>
      <c r="T34" s="20">
        <f t="shared" ca="1" si="10"/>
        <v>0.6910632627313269</v>
      </c>
      <c r="U34" s="20">
        <f t="shared" ca="1" si="10"/>
        <v>0.66901371377063268</v>
      </c>
      <c r="V34" s="20">
        <f t="shared" ca="1" si="10"/>
        <v>0.64768220654980169</v>
      </c>
      <c r="W34" s="20">
        <f t="shared" ca="1" si="10"/>
        <v>0.62704990206688005</v>
      </c>
      <c r="X34" s="20">
        <f t="shared" ca="1" si="10"/>
        <v>0.60709592918075128</v>
      </c>
      <c r="Y34" s="20">
        <f t="shared" ca="1" si="10"/>
        <v>0.58779840009458328</v>
      </c>
      <c r="Z34" s="20">
        <f t="shared" ca="1" si="10"/>
        <v>0.5691351016720696</v>
      </c>
      <c r="AA34" s="20">
        <f t="shared" ca="1" si="10"/>
        <v>0.55108395643026453</v>
      </c>
      <c r="AB34" s="20">
        <f t="shared" ca="1" si="10"/>
        <v>0.53362332102809995</v>
      </c>
      <c r="AC34" s="20">
        <f t="shared" ca="1" si="11"/>
        <v>2.5835497986674064E-2</v>
      </c>
      <c r="AD34" s="20">
        <f t="shared" ca="1" si="11"/>
        <v>2.683402402266314E-2</v>
      </c>
      <c r="AE34" s="20">
        <f t="shared" ca="1" si="11"/>
        <v>2.7649563959884896E-2</v>
      </c>
      <c r="AF34" s="20">
        <f t="shared" ca="1" si="11"/>
        <v>2.8317301123334061E-2</v>
      </c>
      <c r="AG34" s="20">
        <f t="shared" ca="1" si="11"/>
        <v>2.8865430969485264E-2</v>
      </c>
      <c r="AH34" s="20">
        <f t="shared" ca="1" si="11"/>
        <v>2.9316583966992549E-2</v>
      </c>
      <c r="AI34" s="20">
        <f t="shared" ca="1" si="11"/>
        <v>2.9688952898942272E-2</v>
      </c>
      <c r="AJ34" s="20">
        <f t="shared" ca="1" si="11"/>
        <v>2.9997186999085601E-2</v>
      </c>
      <c r="AK34" s="20">
        <f t="shared" ca="1" si="11"/>
        <v>3.0253101976976754E-2</v>
      </c>
      <c r="AL34" s="20">
        <f t="shared" ca="1" si="11"/>
        <v>3.0466244520467978E-2</v>
      </c>
      <c r="AM34" s="20">
        <f t="shared" ca="1" si="12"/>
        <v>3.064434165692825E-2</v>
      </c>
      <c r="AN34" s="20">
        <f t="shared" ca="1" si="12"/>
        <v>3.0793658914329669E-2</v>
      </c>
      <c r="AO34" s="20">
        <f t="shared" ca="1" si="12"/>
        <v>3.0919286165711039E-2</v>
      </c>
      <c r="AP34" s="20">
        <f t="shared" ca="1" si="12"/>
        <v>3.1025366065507567E-2</v>
      </c>
      <c r="AQ34" s="20">
        <f t="shared" ca="1" si="12"/>
        <v>3.1115276859520646E-2</v>
      </c>
      <c r="AR34" s="20">
        <f t="shared" ca="1" si="12"/>
        <v>3.119177888876945E-2</v>
      </c>
      <c r="AS34" s="20">
        <f t="shared" ca="1" si="12"/>
        <v>3.1257132167906126E-2</v>
      </c>
      <c r="AT34" s="20">
        <f t="shared" ca="1" si="12"/>
        <v>3.1313190889222409E-2</v>
      </c>
      <c r="AU34" s="20">
        <f t="shared" ca="1" si="12"/>
        <v>3.1361479495773309E-2</v>
      </c>
      <c r="AV34" s="20">
        <f t="shared" ca="1" si="12"/>
        <v>3.140325401303061E-2</v>
      </c>
    </row>
    <row r="35" spans="3:48">
      <c r="C35" s="1">
        <f t="shared" ca="1" si="6"/>
        <v>0.83980564880532782</v>
      </c>
      <c r="D35" s="4">
        <f t="shared" si="4"/>
        <v>3.5</v>
      </c>
      <c r="E35" s="5">
        <f t="shared" ca="1" si="7"/>
        <v>0.24841485644726755</v>
      </c>
      <c r="F35" s="5">
        <f t="shared" ca="1" si="5"/>
        <v>5.5217306144961032E-3</v>
      </c>
      <c r="G35" s="5">
        <f t="shared" ca="1" si="8"/>
        <v>3.0131747342355443E-2</v>
      </c>
      <c r="I35" s="20">
        <f t="shared" ca="1" si="9"/>
        <v>0.9694805333516654</v>
      </c>
      <c r="J35" s="20">
        <f t="shared" ca="1" si="9"/>
        <v>0.93863852593648034</v>
      </c>
      <c r="K35" s="20">
        <f t="shared" ca="1" si="9"/>
        <v>0.90798645292903402</v>
      </c>
      <c r="L35" s="20">
        <f t="shared" ca="1" si="9"/>
        <v>0.87786393555825026</v>
      </c>
      <c r="M35" s="20">
        <f t="shared" ca="1" si="9"/>
        <v>0.84848702713121171</v>
      </c>
      <c r="N35" s="20">
        <f t="shared" ca="1" si="9"/>
        <v>0.81998479117561252</v>
      </c>
      <c r="O35" s="20">
        <f t="shared" ca="1" si="9"/>
        <v>0.79242601365470633</v>
      </c>
      <c r="P35" s="20">
        <f t="shared" ca="1" si="9"/>
        <v>0.76583845773215076</v>
      </c>
      <c r="Q35" s="20">
        <f t="shared" ca="1" si="9"/>
        <v>0.74022258623383685</v>
      </c>
      <c r="R35" s="20">
        <f t="shared" ca="1" si="9"/>
        <v>0.71556123624441437</v>
      </c>
      <c r="S35" s="20">
        <f t="shared" ca="1" si="10"/>
        <v>0.69182636362331129</v>
      </c>
      <c r="T35" s="20">
        <f t="shared" ca="1" si="10"/>
        <v>0.66898368541905529</v>
      </c>
      <c r="U35" s="20">
        <f t="shared" ca="1" si="10"/>
        <v>0.64699582625272778</v>
      </c>
      <c r="V35" s="20">
        <f t="shared" ca="1" si="10"/>
        <v>0.62582440834038111</v>
      </c>
      <c r="W35" s="20">
        <f t="shared" ca="1" si="10"/>
        <v>0.60543140182620347</v>
      </c>
      <c r="X35" s="20">
        <f t="shared" ca="1" si="10"/>
        <v>0.58577996210710748</v>
      </c>
      <c r="Y35" s="20">
        <f t="shared" ca="1" si="10"/>
        <v>0.56683491548280074</v>
      </c>
      <c r="Z35" s="20">
        <f t="shared" ca="1" si="10"/>
        <v>0.54856300729030671</v>
      </c>
      <c r="AA35" s="20">
        <f t="shared" ca="1" si="10"/>
        <v>0.53093299278814887</v>
      </c>
      <c r="AB35" s="20">
        <f t="shared" ca="1" si="10"/>
        <v>0.51391562680741498</v>
      </c>
      <c r="AC35" s="20">
        <f t="shared" ca="1" si="11"/>
        <v>3.0994883560671586E-2</v>
      </c>
      <c r="AD35" s="20">
        <f t="shared" ca="1" si="11"/>
        <v>3.1662415146393084E-2</v>
      </c>
      <c r="AE35" s="20">
        <f t="shared" ca="1" si="11"/>
        <v>3.2175273391274635E-2</v>
      </c>
      <c r="AF35" s="20">
        <f t="shared" ca="1" si="11"/>
        <v>3.256591706165627E-2</v>
      </c>
      <c r="AG35" s="20">
        <f t="shared" ca="1" si="11"/>
        <v>3.2860096720843245E-2</v>
      </c>
      <c r="AH35" s="20">
        <f t="shared" ca="1" si="11"/>
        <v>3.3078247707109411E-2</v>
      </c>
      <c r="AI35" s="20">
        <f t="shared" ca="1" si="11"/>
        <v>3.3236590821893487E-2</v>
      </c>
      <c r="AJ35" s="20">
        <f t="shared" ca="1" si="11"/>
        <v>3.3348002771401541E-2</v>
      </c>
      <c r="AK35" s="20">
        <f t="shared" ca="1" si="11"/>
        <v>3.3422705089437864E-2</v>
      </c>
      <c r="AL35" s="20">
        <f t="shared" ca="1" si="11"/>
        <v>3.3468809840058011E-2</v>
      </c>
      <c r="AM35" s="20">
        <f t="shared" ca="1" si="12"/>
        <v>3.349275222450495E-2</v>
      </c>
      <c r="AN35" s="20">
        <f t="shared" ca="1" si="12"/>
        <v>3.3499633805822208E-2</v>
      </c>
      <c r="AO35" s="20">
        <f t="shared" ca="1" si="12"/>
        <v>3.3493495032706516E-2</v>
      </c>
      <c r="AP35" s="20">
        <f t="shared" ca="1" si="12"/>
        <v>3.3477531791981215E-2</v>
      </c>
      <c r="AQ35" s="20">
        <f t="shared" ca="1" si="12"/>
        <v>3.3454267612576735E-2</v>
      </c>
      <c r="AR35" s="20">
        <f t="shared" ca="1" si="12"/>
        <v>3.3425690700276803E-2</v>
      </c>
      <c r="AS35" s="20">
        <f t="shared" ca="1" si="12"/>
        <v>3.3393363058786089E-2</v>
      </c>
      <c r="AT35" s="20">
        <f t="shared" ca="1" si="12"/>
        <v>3.3358507437067877E-2</v>
      </c>
      <c r="AU35" s="20">
        <f t="shared" ca="1" si="12"/>
        <v>3.3322076647843431E-2</v>
      </c>
      <c r="AV35" s="20">
        <f t="shared" ca="1" si="12"/>
        <v>3.3284808859060683E-2</v>
      </c>
    </row>
    <row r="36" spans="3:48">
      <c r="C36" s="1">
        <f t="shared" ca="1" si="6"/>
        <v>7.0853363522100477E-2</v>
      </c>
      <c r="D36" s="4">
        <f t="shared" si="4"/>
        <v>3.75</v>
      </c>
      <c r="E36" s="5">
        <f t="shared" ca="1" si="7"/>
        <v>-0.36736623270639357</v>
      </c>
      <c r="F36" s="5">
        <f t="shared" ca="1" si="5"/>
        <v>-8.0178873041351142E-3</v>
      </c>
      <c r="G36" s="5">
        <f t="shared" ca="1" si="8"/>
        <v>2.2113860038220329E-2</v>
      </c>
      <c r="I36" s="20">
        <f t="shared" ca="1" si="9"/>
        <v>0.97677090447514958</v>
      </c>
      <c r="J36" s="20">
        <f t="shared" ca="1" si="9"/>
        <v>0.95189304560379362</v>
      </c>
      <c r="K36" s="20">
        <f t="shared" ca="1" si="9"/>
        <v>0.92606485636049607</v>
      </c>
      <c r="L36" s="20">
        <f t="shared" ca="1" si="9"/>
        <v>0.89979647733931867</v>
      </c>
      <c r="M36" s="20">
        <f t="shared" ca="1" si="9"/>
        <v>0.87345558273331592</v>
      </c>
      <c r="N36" s="20">
        <f t="shared" ca="1" si="9"/>
        <v>0.84730334777831107</v>
      </c>
      <c r="O36" s="20">
        <f t="shared" ca="1" si="9"/>
        <v>0.82152210009838078</v>
      </c>
      <c r="P36" s="20">
        <f t="shared" ca="1" si="9"/>
        <v>0.79623626449566132</v>
      </c>
      <c r="Q36" s="20">
        <f t="shared" ca="1" si="9"/>
        <v>0.77152805433063965</v>
      </c>
      <c r="R36" s="20">
        <f t="shared" ca="1" si="9"/>
        <v>0.74744912868601099</v>
      </c>
      <c r="S36" s="20">
        <f t="shared" ca="1" si="10"/>
        <v>0.72402919482178296</v>
      </c>
      <c r="T36" s="20">
        <f t="shared" ca="1" si="10"/>
        <v>0.70128232121667833</v>
      </c>
      <c r="U36" s="20">
        <f t="shared" ca="1" si="10"/>
        <v>0.67921154792112459</v>
      </c>
      <c r="V36" s="20">
        <f t="shared" ca="1" si="10"/>
        <v>0.65781223810053913</v>
      </c>
      <c r="W36" s="20">
        <f t="shared" ca="1" si="10"/>
        <v>0.63707450336483162</v>
      </c>
      <c r="X36" s="20">
        <f t="shared" ca="1" si="10"/>
        <v>0.61698495032582057</v>
      </c>
      <c r="Y36" s="20">
        <f t="shared" ca="1" si="10"/>
        <v>0.59752793147599348</v>
      </c>
      <c r="Z36" s="20">
        <f t="shared" ca="1" si="10"/>
        <v>0.57868643529258701</v>
      </c>
      <c r="AA36" s="20">
        <f t="shared" ca="1" si="10"/>
        <v>0.56044271462094852</v>
      </c>
      <c r="AB36" s="20">
        <f t="shared" ca="1" si="10"/>
        <v>0.5427787258534541</v>
      </c>
      <c r="AC36" s="20">
        <f t="shared" ca="1" si="11"/>
        <v>2.3503143202623054E-2</v>
      </c>
      <c r="AD36" s="20">
        <f t="shared" ca="1" si="11"/>
        <v>2.4651298778506692E-2</v>
      </c>
      <c r="AE36" s="20">
        <f t="shared" ca="1" si="11"/>
        <v>2.5603669174132697E-2</v>
      </c>
      <c r="AF36" s="20">
        <f t="shared" ca="1" si="11"/>
        <v>2.6396669380034554E-2</v>
      </c>
      <c r="AG36" s="20">
        <f t="shared" ca="1" si="11"/>
        <v>2.7059600092486924E-2</v>
      </c>
      <c r="AH36" s="20">
        <f t="shared" ca="1" si="11"/>
        <v>2.7616084112035012E-2</v>
      </c>
      <c r="AI36" s="20">
        <f t="shared" ca="1" si="11"/>
        <v>2.8085205676913069E-2</v>
      </c>
      <c r="AJ36" s="20">
        <f t="shared" ca="1" si="11"/>
        <v>2.8482415310684853E-2</v>
      </c>
      <c r="AK36" s="20">
        <f t="shared" ca="1" si="11"/>
        <v>2.8820249386902974E-2</v>
      </c>
      <c r="AL36" s="20">
        <f t="shared" ca="1" si="11"/>
        <v>2.9108903130271108E-2</v>
      </c>
      <c r="AM36" s="20">
        <f t="shared" ca="1" si="12"/>
        <v>2.9356687551813258E-2</v>
      </c>
      <c r="AN36" s="20">
        <f t="shared" ca="1" si="12"/>
        <v>2.9570394362150729E-2</v>
      </c>
      <c r="AO36" s="20">
        <f t="shared" ca="1" si="12"/>
        <v>2.975558783768871E-2</v>
      </c>
      <c r="AP36" s="20">
        <f t="shared" ca="1" si="12"/>
        <v>2.9916838629168791E-2</v>
      </c>
      <c r="AQ36" s="20">
        <f t="shared" ca="1" si="12"/>
        <v>3.0057911366188343E-2</v>
      </c>
      <c r="AR36" s="20">
        <f t="shared" ca="1" si="12"/>
        <v>3.0181915441661294E-2</v>
      </c>
      <c r="AS36" s="20">
        <f t="shared" ca="1" si="12"/>
        <v>3.029142641346665E-2</v>
      </c>
      <c r="AT36" s="20">
        <f t="shared" ca="1" si="12"/>
        <v>3.0388583924527198E-2</v>
      </c>
      <c r="AU36" s="20">
        <f t="shared" ca="1" si="12"/>
        <v>3.0475170829432536E-2</v>
      </c>
      <c r="AV36" s="20">
        <f t="shared" ca="1" si="12"/>
        <v>3.0552677256621918E-2</v>
      </c>
    </row>
    <row r="37" spans="3:48">
      <c r="C37" s="1">
        <f t="shared" ca="1" si="6"/>
        <v>0.79842535239957535</v>
      </c>
      <c r="D37" s="4">
        <f t="shared" si="4"/>
        <v>4</v>
      </c>
      <c r="E37" s="5">
        <f t="shared" ca="1" si="7"/>
        <v>0.20900249207952742</v>
      </c>
      <c r="F37" s="5">
        <f t="shared" ca="1" si="5"/>
        <v>4.752967683864474E-3</v>
      </c>
      <c r="G37" s="5">
        <f t="shared" ca="1" si="8"/>
        <v>2.6866827722084805E-2</v>
      </c>
      <c r="I37" s="20">
        <f t="shared" ca="1" si="9"/>
        <v>0.97244261462008519</v>
      </c>
      <c r="J37" s="20">
        <f t="shared" ca="1" si="9"/>
        <v>0.94401340349405227</v>
      </c>
      <c r="K37" s="20">
        <f t="shared" ca="1" si="9"/>
        <v>0.91530506933603861</v>
      </c>
      <c r="L37" s="20">
        <f t="shared" ca="1" si="9"/>
        <v>0.88672969208570374</v>
      </c>
      <c r="M37" s="20">
        <f t="shared" ca="1" si="9"/>
        <v>0.8585670137517204</v>
      </c>
      <c r="N37" s="20">
        <f t="shared" ca="1" si="9"/>
        <v>0.83100108259522754</v>
      </c>
      <c r="O37" s="20">
        <f t="shared" ca="1" si="9"/>
        <v>0.80414758273392417</v>
      </c>
      <c r="P37" s="20">
        <f t="shared" ca="1" si="9"/>
        <v>0.77807394827373633</v>
      </c>
      <c r="Q37" s="20">
        <f t="shared" ca="1" si="9"/>
        <v>0.75281400980119662</v>
      </c>
      <c r="R37" s="20">
        <f t="shared" ca="1" si="9"/>
        <v>0.72837856213351304</v>
      </c>
      <c r="S37" s="20">
        <f t="shared" ca="1" si="10"/>
        <v>0.70476292464729495</v>
      </c>
      <c r="T37" s="20">
        <f t="shared" ca="1" si="10"/>
        <v>0.68195230413114227</v>
      </c>
      <c r="U37" s="20">
        <f t="shared" ca="1" si="10"/>
        <v>0.65992556391883561</v>
      </c>
      <c r="V37" s="20">
        <f t="shared" ca="1" si="10"/>
        <v>0.63865784474707166</v>
      </c>
      <c r="W37" s="20">
        <f t="shared" ca="1" si="10"/>
        <v>0.61812236341838422</v>
      </c>
      <c r="X37" s="20">
        <f t="shared" ca="1" si="10"/>
        <v>0.59829162648814438</v>
      </c>
      <c r="Y37" s="20">
        <f t="shared" ca="1" si="10"/>
        <v>0.57913823064197101</v>
      </c>
      <c r="Z37" s="20">
        <f t="shared" ca="1" si="10"/>
        <v>0.56063537340011227</v>
      </c>
      <c r="AA37" s="20">
        <f t="shared" ca="1" si="10"/>
        <v>0.54275716277927077</v>
      </c>
      <c r="AB37" s="20">
        <f t="shared" ca="1" si="10"/>
        <v>0.52547878913782053</v>
      </c>
      <c r="AC37" s="20">
        <f t="shared" ca="1" si="11"/>
        <v>2.7944213333322396E-2</v>
      </c>
      <c r="AD37" s="20">
        <f t="shared" ca="1" si="11"/>
        <v>2.8807457160427465E-2</v>
      </c>
      <c r="AE37" s="20">
        <f t="shared" ca="1" si="11"/>
        <v>2.9499286721552491E-2</v>
      </c>
      <c r="AF37" s="20">
        <f t="shared" ca="1" si="11"/>
        <v>3.005377177524798E-2</v>
      </c>
      <c r="AG37" s="20">
        <f t="shared" ca="1" si="11"/>
        <v>3.0498108514864456E-2</v>
      </c>
      <c r="AH37" s="20">
        <f t="shared" ca="1" si="11"/>
        <v>3.0854030227588463E-2</v>
      </c>
      <c r="AI37" s="20">
        <f t="shared" ca="1" si="11"/>
        <v>3.113892371914646E-2</v>
      </c>
      <c r="AJ37" s="20">
        <f t="shared" ca="1" si="11"/>
        <v>3.1366713765700022E-2</v>
      </c>
      <c r="AK37" s="20">
        <f t="shared" ca="1" si="11"/>
        <v>3.1548564514166516E-2</v>
      </c>
      <c r="AL37" s="20">
        <f t="shared" ca="1" si="11"/>
        <v>3.1693436300947342E-2</v>
      </c>
      <c r="AM37" s="20">
        <f t="shared" ca="1" si="12"/>
        <v>3.1808528165429575E-2</v>
      </c>
      <c r="AN37" s="20">
        <f t="shared" ca="1" si="12"/>
        <v>3.1899629906320143E-2</v>
      </c>
      <c r="AO37" s="20">
        <f t="shared" ca="1" si="12"/>
        <v>3.1971402481783484E-2</v>
      </c>
      <c r="AP37" s="20">
        <f t="shared" ca="1" si="12"/>
        <v>3.2027601588667659E-2</v>
      </c>
      <c r="AQ37" s="20">
        <f t="shared" ca="1" si="12"/>
        <v>3.2071256137653249E-2</v>
      </c>
      <c r="AR37" s="20">
        <f t="shared" ca="1" si="12"/>
        <v>3.2104810886944897E-2</v>
      </c>
      <c r="AS37" s="20">
        <f t="shared" ca="1" si="12"/>
        <v>3.2130240564046515E-2</v>
      </c>
      <c r="AT37" s="20">
        <f t="shared" ca="1" si="12"/>
        <v>3.2149141281248218E-2</v>
      </c>
      <c r="AU37" s="20">
        <f t="shared" ca="1" si="12"/>
        <v>3.2162803848037595E-2</v>
      </c>
      <c r="AV37" s="20">
        <f t="shared" ca="1" si="12"/>
        <v>3.2172272634042487E-2</v>
      </c>
    </row>
    <row r="38" spans="3:48">
      <c r="C38" s="1">
        <f t="shared" ca="1" si="6"/>
        <v>0.79241866354644241</v>
      </c>
      <c r="D38" s="4">
        <f t="shared" si="4"/>
        <v>4.25</v>
      </c>
      <c r="E38" s="5">
        <f t="shared" ca="1" si="7"/>
        <v>0.20371053642411482</v>
      </c>
      <c r="F38" s="5">
        <f t="shared" ca="1" si="5"/>
        <v>4.4750707963347328E-3</v>
      </c>
      <c r="G38" s="5">
        <f t="shared" ca="1" si="8"/>
        <v>3.1341898518419536E-2</v>
      </c>
      <c r="I38" s="20">
        <f t="shared" ca="1" si="9"/>
        <v>0.9683849233796894</v>
      </c>
      <c r="J38" s="20">
        <f t="shared" ca="1" si="9"/>
        <v>0.93665409614728312</v>
      </c>
      <c r="K38" s="20">
        <f t="shared" ca="1" si="9"/>
        <v>0.90528867794652523</v>
      </c>
      <c r="L38" s="20">
        <f t="shared" ca="1" si="9"/>
        <v>0.87460038335546464</v>
      </c>
      <c r="M38" s="20">
        <f t="shared" ca="1" si="9"/>
        <v>0.8447809890419512</v>
      </c>
      <c r="N38" s="20">
        <f t="shared" ca="1" si="9"/>
        <v>0.81593877364298473</v>
      </c>
      <c r="O38" s="20">
        <f t="shared" ca="1" si="9"/>
        <v>0.78812491733848522</v>
      </c>
      <c r="P38" s="20">
        <f t="shared" ca="1" si="9"/>
        <v>0.76135237772791864</v>
      </c>
      <c r="Q38" s="20">
        <f t="shared" ca="1" si="9"/>
        <v>0.7356092271048662</v>
      </c>
      <c r="R38" s="20">
        <f t="shared" ca="1" si="9"/>
        <v>0.71086796629731086</v>
      </c>
      <c r="S38" s="20">
        <f t="shared" ca="1" si="10"/>
        <v>0.68709194646500082</v>
      </c>
      <c r="T38" s="20">
        <f t="shared" ca="1" si="10"/>
        <v>0.66423973081114107</v>
      </c>
      <c r="U38" s="20">
        <f t="shared" ca="1" si="10"/>
        <v>0.64226800115446447</v>
      </c>
      <c r="V38" s="20">
        <f t="shared" ca="1" si="10"/>
        <v>0.6211334454607097</v>
      </c>
      <c r="W38" s="20">
        <f t="shared" ca="1" si="10"/>
        <v>0.60079393849741769</v>
      </c>
      <c r="X38" s="20">
        <f t="shared" ca="1" si="10"/>
        <v>0.58120923766566579</v>
      </c>
      <c r="Y38" s="20">
        <f t="shared" ca="1" si="10"/>
        <v>0.56234135100790983</v>
      </c>
      <c r="Z38" s="20">
        <f t="shared" ca="1" si="10"/>
        <v>0.54415468768693409</v>
      </c>
      <c r="AA38" s="20">
        <f t="shared" ca="1" si="10"/>
        <v>0.52661606785870974</v>
      </c>
      <c r="AB38" s="20">
        <f t="shared" ca="1" si="10"/>
        <v>0.50969464511961227</v>
      </c>
      <c r="AC38" s="20">
        <f t="shared" ca="1" si="11"/>
        <v>3.2125622627106644E-2</v>
      </c>
      <c r="AD38" s="20">
        <f t="shared" ca="1" si="11"/>
        <v>3.2720612947919198E-2</v>
      </c>
      <c r="AE38" s="20">
        <f t="shared" ca="1" si="11"/>
        <v>3.316713499650082E-2</v>
      </c>
      <c r="AF38" s="20">
        <f t="shared" ca="1" si="11"/>
        <v>3.3497050420626638E-2</v>
      </c>
      <c r="AG38" s="20">
        <f t="shared" ca="1" si="11"/>
        <v>3.3735573956965165E-2</v>
      </c>
      <c r="AH38" s="20">
        <f t="shared" ca="1" si="11"/>
        <v>3.3902659855559625E-2</v>
      </c>
      <c r="AI38" s="20">
        <f t="shared" ca="1" si="11"/>
        <v>3.4014096735245761E-2</v>
      </c>
      <c r="AJ38" s="20">
        <f t="shared" ca="1" si="11"/>
        <v>3.408237283230179E-2</v>
      </c>
      <c r="AK38" s="20">
        <f t="shared" ca="1" si="11"/>
        <v>3.411736029846444E-2</v>
      </c>
      <c r="AL38" s="20">
        <f t="shared" ca="1" si="11"/>
        <v>3.4126856783379012E-2</v>
      </c>
      <c r="AM38" s="20">
        <f t="shared" ca="1" si="12"/>
        <v>3.4117014369640569E-2</v>
      </c>
      <c r="AN38" s="20">
        <f t="shared" ca="1" si="12"/>
        <v>3.4092679523906093E-2</v>
      </c>
      <c r="AO38" s="20">
        <f t="shared" ca="1" si="12"/>
        <v>3.4057662701381074E-2</v>
      </c>
      <c r="AP38" s="20">
        <f t="shared" ca="1" si="12"/>
        <v>3.4014952293808243E-2</v>
      </c>
      <c r="AQ38" s="20">
        <f t="shared" ca="1" si="12"/>
        <v>3.3966884509022736E-2</v>
      </c>
      <c r="AR38" s="20">
        <f t="shared" ca="1" si="12"/>
        <v>3.391527833043427E-2</v>
      </c>
      <c r="AS38" s="20">
        <f t="shared" ca="1" si="12"/>
        <v>3.3861542784569168E-2</v>
      </c>
      <c r="AT38" s="20">
        <f t="shared" ca="1" si="12"/>
        <v>3.3806762232276577E-2</v>
      </c>
      <c r="AU38" s="20">
        <f t="shared" ca="1" si="12"/>
        <v>3.3751764206873709E-2</v>
      </c>
      <c r="AV38" s="20">
        <f t="shared" ca="1" si="12"/>
        <v>3.3697173381838141E-2</v>
      </c>
    </row>
    <row r="39" spans="3:48">
      <c r="C39" s="1">
        <f t="shared" ca="1" si="6"/>
        <v>0.78559291692017874</v>
      </c>
      <c r="D39" s="4">
        <f t="shared" si="4"/>
        <v>4.5</v>
      </c>
      <c r="E39" s="5">
        <f t="shared" ca="1" si="7"/>
        <v>0.19780562403615004</v>
      </c>
      <c r="F39" s="5">
        <f t="shared" ca="1" si="5"/>
        <v>4.1934251976806121E-3</v>
      </c>
      <c r="G39" s="5">
        <f t="shared" ca="1" si="8"/>
        <v>3.5535323716100145E-2</v>
      </c>
      <c r="I39" s="20">
        <f t="shared" ca="1" si="9"/>
        <v>0.96459797721453311</v>
      </c>
      <c r="J39" s="20">
        <f t="shared" ca="1" si="9"/>
        <v>0.92981003580166</v>
      </c>
      <c r="K39" s="20">
        <f t="shared" ca="1" si="9"/>
        <v>0.89600218762507322</v>
      </c>
      <c r="L39" s="20">
        <f t="shared" ca="1" si="9"/>
        <v>0.86338507381037288</v>
      </c>
      <c r="M39" s="20">
        <f t="shared" ca="1" si="9"/>
        <v>0.83206358053257956</v>
      </c>
      <c r="N39" s="20">
        <f t="shared" ca="1" si="9"/>
        <v>0.80207230831898779</v>
      </c>
      <c r="O39" s="20">
        <f t="shared" ca="1" si="9"/>
        <v>0.77340053071429182</v>
      </c>
      <c r="P39" s="20">
        <f t="shared" ca="1" si="9"/>
        <v>0.74600950237348118</v>
      </c>
      <c r="Q39" s="20">
        <f t="shared" ca="1" si="9"/>
        <v>0.71984428296392111</v>
      </c>
      <c r="R39" s="20">
        <f t="shared" ca="1" si="9"/>
        <v>0.69484167764689619</v>
      </c>
      <c r="S39" s="20">
        <f t="shared" ca="1" si="10"/>
        <v>0.67093545685886424</v>
      </c>
      <c r="T39" s="20">
        <f t="shared" ca="1" si="10"/>
        <v>0.64805968946872616</v>
      </c>
      <c r="U39" s="20">
        <f t="shared" ca="1" si="10"/>
        <v>0.62615078191331042</v>
      </c>
      <c r="V39" s="20">
        <f t="shared" ca="1" si="10"/>
        <v>0.6051486410032606</v>
      </c>
      <c r="W39" s="20">
        <f t="shared" ca="1" si="10"/>
        <v>0.58499725267699387</v>
      </c>
      <c r="X39" s="20">
        <f t="shared" ca="1" si="10"/>
        <v>0.56564487973244792</v>
      </c>
      <c r="Y39" s="20">
        <f t="shared" ca="1" si="10"/>
        <v>0.5470440184344606</v>
      </c>
      <c r="Z39" s="20">
        <f t="shared" ca="1" si="10"/>
        <v>0.5291512094675791</v>
      </c>
      <c r="AA39" s="20">
        <f t="shared" ca="1" si="10"/>
        <v>0.51192676759240918</v>
      </c>
      <c r="AB39" s="20">
        <f t="shared" ca="1" si="10"/>
        <v>0.49533447269047898</v>
      </c>
      <c r="AC39" s="20">
        <f t="shared" ca="1" si="11"/>
        <v>3.6043868369438174E-2</v>
      </c>
      <c r="AD39" s="20">
        <f t="shared" ca="1" si="11"/>
        <v>3.6387488139068717E-2</v>
      </c>
      <c r="AE39" s="20">
        <f t="shared" ca="1" si="11"/>
        <v>3.6604141488115478E-2</v>
      </c>
      <c r="AF39" s="20">
        <f t="shared" ca="1" si="11"/>
        <v>3.6723620924492779E-2</v>
      </c>
      <c r="AG39" s="20">
        <f t="shared" ca="1" si="11"/>
        <v>3.6769284434270834E-2</v>
      </c>
      <c r="AH39" s="20">
        <f t="shared" ca="1" si="11"/>
        <v>3.6759419196842169E-2</v>
      </c>
      <c r="AI39" s="20">
        <f t="shared" ca="1" si="11"/>
        <v>3.6708316228550128E-2</v>
      </c>
      <c r="AJ39" s="20">
        <f t="shared" ca="1" si="11"/>
        <v>3.6627117636680036E-2</v>
      </c>
      <c r="AK39" s="20">
        <f t="shared" ca="1" si="11"/>
        <v>3.6524484891530852E-2</v>
      </c>
      <c r="AL39" s="20">
        <f t="shared" ca="1" si="11"/>
        <v>3.6407126131506165E-2</v>
      </c>
      <c r="AM39" s="20">
        <f t="shared" ca="1" si="12"/>
        <v>3.6280212374276637E-2</v>
      </c>
      <c r="AN39" s="20">
        <f t="shared" ca="1" si="12"/>
        <v>3.6147706124531262E-2</v>
      </c>
      <c r="AO39" s="20">
        <f t="shared" ca="1" si="12"/>
        <v>3.6012620862254117E-2</v>
      </c>
      <c r="AP39" s="20">
        <f t="shared" ca="1" si="12"/>
        <v>3.5877225965632732E-2</v>
      </c>
      <c r="AQ39" s="20">
        <f t="shared" ca="1" si="12"/>
        <v>3.5743208535996739E-2</v>
      </c>
      <c r="AR39" s="20">
        <f t="shared" ca="1" si="12"/>
        <v>3.5611801166079003E-2</v>
      </c>
      <c r="AS39" s="20">
        <f t="shared" ca="1" si="12"/>
        <v>3.5483882784706468E-2</v>
      </c>
      <c r="AT39" s="20">
        <f t="shared" ca="1" si="12"/>
        <v>3.5360058209166795E-2</v>
      </c>
      <c r="AU39" s="20">
        <f t="shared" ca="1" si="12"/>
        <v>3.5240720853619144E-2</v>
      </c>
      <c r="AV39" s="20">
        <f t="shared" ca="1" si="12"/>
        <v>3.5126102109626245E-2</v>
      </c>
    </row>
    <row r="40" spans="3:48">
      <c r="C40" s="1">
        <f t="shared" ca="1" si="6"/>
        <v>0.56710823701381019</v>
      </c>
      <c r="D40" s="4">
        <f t="shared" si="4"/>
        <v>4.75</v>
      </c>
      <c r="E40" s="5">
        <f t="shared" ca="1" si="7"/>
        <v>4.2254168549157048E-2</v>
      </c>
      <c r="F40" s="5">
        <f t="shared" ca="1" si="5"/>
        <v>6.7712968326914325E-4</v>
      </c>
      <c r="G40" s="5">
        <f t="shared" ca="1" si="8"/>
        <v>3.6212453399369286E-2</v>
      </c>
      <c r="I40" s="20">
        <f t="shared" ca="1" si="9"/>
        <v>0.96398787361360616</v>
      </c>
      <c r="J40" s="20">
        <f t="shared" ca="1" si="9"/>
        <v>0.92870959627263894</v>
      </c>
      <c r="K40" s="20">
        <f t="shared" ca="1" si="9"/>
        <v>0.89451161844562332</v>
      </c>
      <c r="L40" s="20">
        <f t="shared" ca="1" si="9"/>
        <v>0.86158762646938236</v>
      </c>
      <c r="M40" s="20">
        <f t="shared" ca="1" si="9"/>
        <v>0.83002807707436366</v>
      </c>
      <c r="N40" s="20">
        <f t="shared" ca="1" si="9"/>
        <v>0.799855436876591</v>
      </c>
      <c r="O40" s="20">
        <f t="shared" ca="1" si="9"/>
        <v>0.77104885564525771</v>
      </c>
      <c r="P40" s="20">
        <f t="shared" ca="1" si="9"/>
        <v>0.74356118392229742</v>
      </c>
      <c r="Q40" s="20">
        <f t="shared" ca="1" si="9"/>
        <v>0.71733052656498941</v>
      </c>
      <c r="R40" s="20">
        <f t="shared" ca="1" si="9"/>
        <v>0.69228794363385893</v>
      </c>
      <c r="S40" s="20">
        <f t="shared" ca="1" si="10"/>
        <v>0.66836246403259569</v>
      </c>
      <c r="T40" s="20">
        <f t="shared" ca="1" si="10"/>
        <v>0.64548424458604059</v>
      </c>
      <c r="U40" s="20">
        <f t="shared" ca="1" si="10"/>
        <v>0.62358646392116202</v>
      </c>
      <c r="V40" s="20">
        <f t="shared" ca="1" si="10"/>
        <v>0.60260636498847875</v>
      </c>
      <c r="W40" s="20">
        <f t="shared" ca="1" si="10"/>
        <v>0.58248573467034304</v>
      </c>
      <c r="X40" s="20">
        <f t="shared" ca="1" si="10"/>
        <v>0.56317102000158847</v>
      </c>
      <c r="Y40" s="20">
        <f t="shared" ca="1" si="10"/>
        <v>0.54461321783972327</v>
      </c>
      <c r="Z40" s="20">
        <f t="shared" ca="1" si="10"/>
        <v>0.52676763085501299</v>
      </c>
      <c r="AA40" s="20">
        <f t="shared" ca="1" si="10"/>
        <v>0.50959355202964407</v>
      </c>
      <c r="AB40" s="20">
        <f t="shared" ca="1" si="10"/>
        <v>0.4930539185617806</v>
      </c>
      <c r="AC40" s="20">
        <f t="shared" ca="1" si="11"/>
        <v>3.6676563689708369E-2</v>
      </c>
      <c r="AD40" s="20">
        <f t="shared" ca="1" si="11"/>
        <v>3.6979593618413825E-2</v>
      </c>
      <c r="AE40" s="20">
        <f t="shared" ca="1" si="11"/>
        <v>3.7159129119312108E-2</v>
      </c>
      <c r="AF40" s="20">
        <f t="shared" ca="1" si="11"/>
        <v>3.7244628587759752E-2</v>
      </c>
      <c r="AG40" s="20">
        <f t="shared" ca="1" si="11"/>
        <v>3.7259150192640499E-2</v>
      </c>
      <c r="AH40" s="20">
        <f t="shared" ca="1" si="11"/>
        <v>3.7220711924564776E-2</v>
      </c>
      <c r="AI40" s="20">
        <f t="shared" ca="1" si="11"/>
        <v>3.7143362975817204E-2</v>
      </c>
      <c r="AJ40" s="20">
        <f t="shared" ca="1" si="11"/>
        <v>3.7038028088675817E-2</v>
      </c>
      <c r="AK40" s="20">
        <f t="shared" ca="1" si="11"/>
        <v>3.6913173239708365E-2</v>
      </c>
      <c r="AL40" s="20">
        <f t="shared" ca="1" si="11"/>
        <v>3.6775330639439122E-2</v>
      </c>
      <c r="AM40" s="20">
        <f t="shared" ca="1" si="12"/>
        <v>3.6629512888934158E-2</v>
      </c>
      <c r="AN40" s="20">
        <f t="shared" ca="1" si="12"/>
        <v>3.6479539755893194E-2</v>
      </c>
      <c r="AO40" s="20">
        <f t="shared" ca="1" si="12"/>
        <v>3.6328296029420219E-2</v>
      </c>
      <c r="AP40" s="20">
        <f t="shared" ca="1" si="12"/>
        <v>3.6177934985614876E-2</v>
      </c>
      <c r="AQ40" s="20">
        <f t="shared" ca="1" si="12"/>
        <v>3.603003891189889E-2</v>
      </c>
      <c r="AR40" s="20">
        <f t="shared" ca="1" si="12"/>
        <v>3.5885745714081048E-2</v>
      </c>
      <c r="AS40" s="20">
        <f t="shared" ca="1" si="12"/>
        <v>3.5745848723923751E-2</v>
      </c>
      <c r="AT40" s="20">
        <f t="shared" ca="1" si="12"/>
        <v>3.5610875324835541E-2</v>
      </c>
      <c r="AU40" s="20">
        <f t="shared" ca="1" si="12"/>
        <v>3.5481148831962447E-2</v>
      </c>
      <c r="AV40" s="20">
        <f t="shared" ca="1" si="12"/>
        <v>3.5356837132012361E-2</v>
      </c>
    </row>
    <row r="41" spans="3:48">
      <c r="C41" s="1">
        <f t="shared" ca="1" si="6"/>
        <v>0.36421008487271178</v>
      </c>
      <c r="D41" s="4">
        <f t="shared" si="4"/>
        <v>5</v>
      </c>
      <c r="E41" s="5">
        <f t="shared" ca="1" si="7"/>
        <v>-8.6806955809820438E-2</v>
      </c>
      <c r="F41" s="5">
        <f t="shared" ca="1" si="5"/>
        <v>-2.1441453400449684E-3</v>
      </c>
      <c r="G41" s="5">
        <f t="shared" ca="1" si="8"/>
        <v>3.4068308059324315E-2</v>
      </c>
      <c r="I41" s="20">
        <f t="shared" ref="I41:R50" ca="1" si="13">vas_bond($G41,rbar,a,sigma,I$20)</f>
        <v>0.96592110428116318</v>
      </c>
      <c r="J41" s="20">
        <f t="shared" ca="1" si="13"/>
        <v>0.93219863585471185</v>
      </c>
      <c r="K41" s="20">
        <f t="shared" ca="1" si="13"/>
        <v>0.8992400624087733</v>
      </c>
      <c r="L41" s="20">
        <f t="shared" ca="1" si="13"/>
        <v>0.86729215418065131</v>
      </c>
      <c r="M41" s="20">
        <f t="shared" ca="1" si="13"/>
        <v>0.83649068024461304</v>
      </c>
      <c r="N41" s="20">
        <f t="shared" ca="1" si="13"/>
        <v>0.80689630533299761</v>
      </c>
      <c r="O41" s="20">
        <f t="shared" ca="1" si="13"/>
        <v>0.7785201162389952</v>
      </c>
      <c r="P41" s="20">
        <f t="shared" ca="1" si="13"/>
        <v>0.75134152354125505</v>
      </c>
      <c r="Q41" s="20">
        <f t="shared" ca="1" si="13"/>
        <v>0.7253206464629216</v>
      </c>
      <c r="R41" s="20">
        <f t="shared" ca="1" si="13"/>
        <v>0.70040675547772369</v>
      </c>
      <c r="S41" s="20">
        <f t="shared" ref="S41:AB50" ca="1" si="14">vas_bond($G41,rbar,a,sigma,S$20)</f>
        <v>0.67654392727081825</v>
      </c>
      <c r="T41" s="20">
        <f t="shared" ca="1" si="14"/>
        <v>0.65367474747588539</v>
      </c>
      <c r="U41" s="20">
        <f t="shared" ca="1" si="14"/>
        <v>0.63174265961158083</v>
      </c>
      <c r="V41" s="20">
        <f t="shared" ca="1" si="14"/>
        <v>0.61069338541739737</v>
      </c>
      <c r="W41" s="20">
        <f t="shared" ca="1" si="14"/>
        <v>0.59047571657597353</v>
      </c>
      <c r="X41" s="20">
        <f t="shared" ca="1" si="14"/>
        <v>0.57104188803241251</v>
      </c>
      <c r="Y41" s="20">
        <f t="shared" ca="1" si="14"/>
        <v>0.5523476791555465</v>
      </c>
      <c r="Z41" s="20">
        <f t="shared" ca="1" si="14"/>
        <v>0.53435234364811068</v>
      </c>
      <c r="AA41" s="20">
        <f t="shared" ca="1" si="14"/>
        <v>0.51701843713063056</v>
      </c>
      <c r="AB41" s="20">
        <f t="shared" ca="1" si="14"/>
        <v>0.50031158887125382</v>
      </c>
      <c r="AC41" s="20">
        <f t="shared" ref="AC41:AL50" ca="1" si="15">vas_yield($G41,rbar,a,sigma,AC$20)</f>
        <v>3.4673120691793922E-2</v>
      </c>
      <c r="AD41" s="20">
        <f t="shared" ca="1" si="15"/>
        <v>3.5104679202871511E-2</v>
      </c>
      <c r="AE41" s="20">
        <f t="shared" ca="1" si="15"/>
        <v>3.5401749148214506E-2</v>
      </c>
      <c r="AF41" s="20">
        <f t="shared" ca="1" si="15"/>
        <v>3.5594846897599258E-2</v>
      </c>
      <c r="AG41" s="20">
        <f t="shared" ca="1" si="15"/>
        <v>3.5707979997317035E-2</v>
      </c>
      <c r="AH41" s="20">
        <f t="shared" ca="1" si="15"/>
        <v>3.5760018829901055E-2</v>
      </c>
      <c r="AI41" s="20">
        <f t="shared" ca="1" si="15"/>
        <v>3.5765778328588474E-2</v>
      </c>
      <c r="AJ41" s="20">
        <f t="shared" ca="1" si="15"/>
        <v>3.5736871526510561E-2</v>
      </c>
      <c r="AK41" s="20">
        <f t="shared" ca="1" si="15"/>
        <v>3.5682383435234041E-2</v>
      </c>
      <c r="AL41" s="20">
        <f t="shared" ca="1" si="15"/>
        <v>3.5609403344601852E-2</v>
      </c>
      <c r="AM41" s="20">
        <f t="shared" ref="AM41:AV50" ca="1" si="16">vas_yield($G41,rbar,a,sigma,AM$20)</f>
        <v>3.5523445485180202E-2</v>
      </c>
      <c r="AN41" s="20">
        <f t="shared" ca="1" si="16"/>
        <v>3.5428781604338218E-2</v>
      </c>
      <c r="AO41" s="20">
        <f t="shared" ca="1" si="16"/>
        <v>3.5328703993550051E-2</v>
      </c>
      <c r="AP41" s="20">
        <f t="shared" ca="1" si="16"/>
        <v>3.5225733568611077E-2</v>
      </c>
      <c r="AQ41" s="20">
        <f t="shared" ca="1" si="16"/>
        <v>3.5121784512380134E-2</v>
      </c>
      <c r="AR41" s="20">
        <f t="shared" ca="1" si="16"/>
        <v>3.5018294558796459E-2</v>
      </c>
      <c r="AS41" s="20">
        <f t="shared" ca="1" si="16"/>
        <v>3.4916328084522115E-2</v>
      </c>
      <c r="AT41" s="20">
        <f t="shared" ca="1" si="16"/>
        <v>3.4816657668967528E-2</v>
      </c>
      <c r="AU41" s="20">
        <f t="shared" ca="1" si="16"/>
        <v>3.4719828597273628E-2</v>
      </c>
      <c r="AV41" s="20">
        <f t="shared" ca="1" si="16"/>
        <v>3.4626209845602704E-2</v>
      </c>
    </row>
    <row r="42" spans="3:48">
      <c r="C42" s="1">
        <f t="shared" ca="1" si="6"/>
        <v>3.1441657491817376E-2</v>
      </c>
      <c r="D42" s="4">
        <f t="shared" si="4"/>
        <v>5.25</v>
      </c>
      <c r="E42" s="5">
        <f t="shared" ca="1" si="7"/>
        <v>-0.46500390690858595</v>
      </c>
      <c r="F42" s="5">
        <f t="shared" ca="1" si="5"/>
        <v>-1.0269801054751072E-2</v>
      </c>
      <c r="G42" s="5">
        <f t="shared" ca="1" si="8"/>
        <v>2.3798507004573241E-2</v>
      </c>
      <c r="I42" s="20">
        <f t="shared" ca="1" si="13"/>
        <v>0.97523458115591588</v>
      </c>
      <c r="J42" s="20">
        <f t="shared" ca="1" si="13"/>
        <v>0.94909268039327443</v>
      </c>
      <c r="K42" s="20">
        <f t="shared" ca="1" si="13"/>
        <v>0.92223675141234229</v>
      </c>
      <c r="L42" s="20">
        <f t="shared" ca="1" si="13"/>
        <v>0.89514318818049821</v>
      </c>
      <c r="M42" s="20">
        <f t="shared" ca="1" si="13"/>
        <v>0.8681491532536374</v>
      </c>
      <c r="N42" s="20">
        <f t="shared" ca="1" si="13"/>
        <v>0.84148888731167537</v>
      </c>
      <c r="O42" s="20">
        <f t="shared" ca="1" si="13"/>
        <v>0.8153213235337099</v>
      </c>
      <c r="P42" s="20">
        <f t="shared" ca="1" si="13"/>
        <v>0.78975079456614727</v>
      </c>
      <c r="Q42" s="20">
        <f t="shared" ca="1" si="13"/>
        <v>0.76484239426018918</v>
      </c>
      <c r="R42" s="20">
        <f t="shared" ca="1" si="13"/>
        <v>0.74063327745697105</v>
      </c>
      <c r="S42" s="20">
        <f t="shared" ca="1" si="14"/>
        <v>0.7171409130296853</v>
      </c>
      <c r="T42" s="20">
        <f t="shared" ca="1" si="14"/>
        <v>0.69436907373788004</v>
      </c>
      <c r="U42" s="20">
        <f t="shared" ca="1" si="14"/>
        <v>0.67231215748130124</v>
      </c>
      <c r="V42" s="20">
        <f t="shared" ca="1" si="14"/>
        <v>0.65095828572967063</v>
      </c>
      <c r="W42" s="20">
        <f t="shared" ca="1" si="14"/>
        <v>0.63029151038889975</v>
      </c>
      <c r="X42" s="20">
        <f t="shared" ca="1" si="14"/>
        <v>0.61029337362027047</v>
      </c>
      <c r="Y42" s="20">
        <f t="shared" ca="1" si="14"/>
        <v>0.59094400015144821</v>
      </c>
      <c r="Z42" s="20">
        <f t="shared" ca="1" si="14"/>
        <v>0.57222285333831779</v>
      </c>
      <c r="AA42" s="20">
        <f t="shared" ca="1" si="14"/>
        <v>0.55410925057998917</v>
      </c>
      <c r="AB42" s="20">
        <f t="shared" ca="1" si="14"/>
        <v>0.536582707477812</v>
      </c>
      <c r="AC42" s="20">
        <f t="shared" ca="1" si="15"/>
        <v>2.5077240865529971E-2</v>
      </c>
      <c r="AD42" s="20">
        <f t="shared" ca="1" si="15"/>
        <v>2.6124412015433279E-2</v>
      </c>
      <c r="AE42" s="20">
        <f t="shared" ca="1" si="15"/>
        <v>2.6984436038088311E-2</v>
      </c>
      <c r="AF42" s="20">
        <f t="shared" ca="1" si="15"/>
        <v>2.76928966774878E-2</v>
      </c>
      <c r="AG42" s="20">
        <f t="shared" ca="1" si="15"/>
        <v>2.8278348707631604E-2</v>
      </c>
      <c r="AH42" s="20">
        <f t="shared" ca="1" si="15"/>
        <v>2.8763745207922416E-2</v>
      </c>
      <c r="AI42" s="20">
        <f t="shared" ca="1" si="15"/>
        <v>2.9167568776794883E-2</v>
      </c>
      <c r="AJ42" s="20">
        <f t="shared" ca="1" si="15"/>
        <v>2.950472915026623E-2</v>
      </c>
      <c r="AK42" s="20">
        <f t="shared" ca="1" si="15"/>
        <v>2.9787276328407913E-2</v>
      </c>
      <c r="AL42" s="20">
        <f t="shared" ca="1" si="15"/>
        <v>3.0024967840788574E-2</v>
      </c>
      <c r="AM42" s="20">
        <f t="shared" ca="1" si="16"/>
        <v>3.0225720570011952E-2</v>
      </c>
      <c r="AN42" s="20">
        <f t="shared" ca="1" si="16"/>
        <v>3.0395971107965242E-2</v>
      </c>
      <c r="AO42" s="20">
        <f t="shared" ca="1" si="16"/>
        <v>3.0540963557967024E-2</v>
      </c>
      <c r="AP42" s="20">
        <f t="shared" ca="1" si="16"/>
        <v>3.0664979717626328E-2</v>
      </c>
      <c r="AQ42" s="20">
        <f t="shared" ca="1" si="16"/>
        <v>3.0771523447538141E-2</v>
      </c>
      <c r="AR42" s="20">
        <f t="shared" ca="1" si="16"/>
        <v>3.0863468566776801E-2</v>
      </c>
      <c r="AS42" s="20">
        <f t="shared" ca="1" si="16"/>
        <v>3.0943177674258412E-2</v>
      </c>
      <c r="AT42" s="20">
        <f t="shared" ca="1" si="16"/>
        <v>3.1012597763325041E-2</v>
      </c>
      <c r="AU42" s="20">
        <f t="shared" ca="1" si="16"/>
        <v>3.1073337287572309E-2</v>
      </c>
      <c r="AV42" s="20">
        <f t="shared" ca="1" si="16"/>
        <v>3.1126728380208007E-2</v>
      </c>
    </row>
    <row r="43" spans="3:48">
      <c r="C43" s="1">
        <f t="shared" ca="1" si="6"/>
        <v>0.61810563858029721</v>
      </c>
      <c r="D43" s="4">
        <f t="shared" si="4"/>
        <v>5.5</v>
      </c>
      <c r="E43" s="5">
        <f t="shared" ca="1" si="7"/>
        <v>7.5127318721701392E-2</v>
      </c>
      <c r="F43" s="5">
        <f t="shared" ca="1" si="5"/>
        <v>1.792736905592133E-3</v>
      </c>
      <c r="G43" s="5">
        <f t="shared" ca="1" si="8"/>
        <v>2.5591243910165373E-2</v>
      </c>
      <c r="I43" s="20">
        <f t="shared" ca="1" si="13"/>
        <v>0.97360233847381239</v>
      </c>
      <c r="J43" s="20">
        <f t="shared" ca="1" si="13"/>
        <v>0.94612168641929228</v>
      </c>
      <c r="K43" s="20">
        <f t="shared" ca="1" si="13"/>
        <v>0.91818040683404067</v>
      </c>
      <c r="L43" s="20">
        <f t="shared" ca="1" si="13"/>
        <v>0.89021776280510423</v>
      </c>
      <c r="M43" s="20">
        <f t="shared" ca="1" si="13"/>
        <v>0.86253765592629217</v>
      </c>
      <c r="N43" s="20">
        <f t="shared" ca="1" si="13"/>
        <v>0.8353451772200543</v>
      </c>
      <c r="O43" s="20">
        <f t="shared" ca="1" si="13"/>
        <v>0.80877408951789587</v>
      </c>
      <c r="P43" s="20">
        <f t="shared" ca="1" si="13"/>
        <v>0.78290721319379286</v>
      </c>
      <c r="Q43" s="20">
        <f t="shared" ca="1" si="13"/>
        <v>0.75779138801945056</v>
      </c>
      <c r="R43" s="20">
        <f t="shared" ca="1" si="13"/>
        <v>0.73344835792383489</v>
      </c>
      <c r="S43" s="20">
        <f t="shared" ca="1" si="14"/>
        <v>0.70988262807771052</v>
      </c>
      <c r="T43" s="20">
        <f t="shared" ca="1" si="14"/>
        <v>0.68708709436931681</v>
      </c>
      <c r="U43" s="20">
        <f t="shared" ca="1" si="14"/>
        <v>0.66504704603041431</v>
      </c>
      <c r="V43" s="20">
        <f t="shared" ca="1" si="14"/>
        <v>0.64374298759136794</v>
      </c>
      <c r="W43" s="20">
        <f t="shared" ca="1" si="14"/>
        <v>0.62315260883027201</v>
      </c>
      <c r="X43" s="20">
        <f t="shared" ca="1" si="14"/>
        <v>0.60325214327679066</v>
      </c>
      <c r="Y43" s="20">
        <f t="shared" ca="1" si="14"/>
        <v>0.58401729042784989</v>
      </c>
      <c r="Z43" s="20">
        <f t="shared" ca="1" si="14"/>
        <v>0.56542382863349461</v>
      </c>
      <c r="AA43" s="20">
        <f t="shared" ca="1" si="14"/>
        <v>0.54744801028803824</v>
      </c>
      <c r="AB43" s="20">
        <f t="shared" ca="1" si="14"/>
        <v>0.53006680518842653</v>
      </c>
      <c r="AC43" s="20">
        <f t="shared" ca="1" si="15"/>
        <v>2.6752335428166307E-2</v>
      </c>
      <c r="AD43" s="20">
        <f t="shared" ca="1" si="15"/>
        <v>2.7692042812093226E-2</v>
      </c>
      <c r="AE43" s="20">
        <f t="shared" ca="1" si="15"/>
        <v>2.8453795354592956E-2</v>
      </c>
      <c r="AF43" s="20">
        <f t="shared" ca="1" si="15"/>
        <v>2.9072292218864142E-2</v>
      </c>
      <c r="AG43" s="20">
        <f t="shared" ca="1" si="15"/>
        <v>2.9575294396934831E-2</v>
      </c>
      <c r="AH43" s="20">
        <f t="shared" ca="1" si="15"/>
        <v>2.9985042276568102E-2</v>
      </c>
      <c r="AI43" s="20">
        <f t="shared" ca="1" si="15"/>
        <v>3.0319378214121673E-2</v>
      </c>
      <c r="AJ43" s="20">
        <f t="shared" ca="1" si="15"/>
        <v>3.0592636460177468E-2</v>
      </c>
      <c r="AK43" s="20">
        <f t="shared" ca="1" si="15"/>
        <v>3.0816349434740042E-2</v>
      </c>
      <c r="AL43" s="20">
        <f t="shared" ca="1" si="15"/>
        <v>3.099980888894632E-2</v>
      </c>
      <c r="AM43" s="20">
        <f t="shared" ca="1" si="16"/>
        <v>3.1150512289000832E-2</v>
      </c>
      <c r="AN43" s="20">
        <f t="shared" ca="1" si="16"/>
        <v>3.1274518323008448E-2</v>
      </c>
      <c r="AO43" s="20">
        <f t="shared" ca="1" si="16"/>
        <v>3.1376730378327645E-2</v>
      </c>
      <c r="AP43" s="20">
        <f t="shared" ca="1" si="16"/>
        <v>3.1461122866105258E-2</v>
      </c>
      <c r="AQ43" s="20">
        <f t="shared" ca="1" si="16"/>
        <v>3.1530922146531908E-2</v>
      </c>
      <c r="AR43" s="20">
        <f t="shared" ca="1" si="16"/>
        <v>3.1588751350006689E-2</v>
      </c>
      <c r="AS43" s="20">
        <f t="shared" ca="1" si="16"/>
        <v>3.163674645265778E-2</v>
      </c>
      <c r="AT43" s="20">
        <f t="shared" ca="1" si="16"/>
        <v>3.1676649437507538E-2</v>
      </c>
      <c r="AU43" s="20">
        <f t="shared" ca="1" si="16"/>
        <v>3.1709883167280295E-2</v>
      </c>
      <c r="AV43" s="20">
        <f t="shared" ca="1" si="16"/>
        <v>3.1737611642697922E-2</v>
      </c>
    </row>
    <row r="44" spans="3:48">
      <c r="C44" s="1">
        <f t="shared" ca="1" si="6"/>
        <v>0.91572450787928117</v>
      </c>
      <c r="D44" s="4">
        <f t="shared" si="4"/>
        <v>5.75</v>
      </c>
      <c r="E44" s="5">
        <f t="shared" ca="1" si="7"/>
        <v>0.34421868005842327</v>
      </c>
      <c r="F44" s="5">
        <f t="shared" ca="1" si="5"/>
        <v>7.5650605438412925E-3</v>
      </c>
      <c r="G44" s="5">
        <f t="shared" ca="1" si="8"/>
        <v>3.3156304454006663E-2</v>
      </c>
      <c r="I44" s="20">
        <f t="shared" ca="1" si="13"/>
        <v>0.96674457097188204</v>
      </c>
      <c r="J44" s="20">
        <f t="shared" ca="1" si="13"/>
        <v>0.93368665538716622</v>
      </c>
      <c r="K44" s="20">
        <f t="shared" ca="1" si="13"/>
        <v>0.90125885614712575</v>
      </c>
      <c r="L44" s="20">
        <f t="shared" ca="1" si="13"/>
        <v>0.86972998677166002</v>
      </c>
      <c r="M44" s="20">
        <f t="shared" ca="1" si="13"/>
        <v>0.83925475284204354</v>
      </c>
      <c r="N44" s="20">
        <f t="shared" ca="1" si="13"/>
        <v>0.809909866570244</v>
      </c>
      <c r="O44" s="20">
        <f t="shared" ca="1" si="13"/>
        <v>0.78171989148363952</v>
      </c>
      <c r="P44" s="20">
        <f t="shared" ca="1" si="13"/>
        <v>0.75467548865154177</v>
      </c>
      <c r="Q44" s="20">
        <f t="shared" ca="1" si="13"/>
        <v>0.72874613317753234</v>
      </c>
      <c r="R44" s="20">
        <f t="shared" ca="1" si="13"/>
        <v>0.7038888572274774</v>
      </c>
      <c r="S44" s="20">
        <f t="shared" ca="1" si="14"/>
        <v>0.68005416759928095</v>
      </c>
      <c r="T44" s="20">
        <f t="shared" ca="1" si="14"/>
        <v>0.65718997295356374</v>
      </c>
      <c r="U44" s="20">
        <f t="shared" ca="1" si="14"/>
        <v>0.63524412192910529</v>
      </c>
      <c r="V44" s="20">
        <f t="shared" ca="1" si="14"/>
        <v>0.61416598143008283</v>
      </c>
      <c r="W44" s="20">
        <f t="shared" ca="1" si="14"/>
        <v>0.59390735945682394</v>
      </c>
      <c r="X44" s="20">
        <f t="shared" ca="1" si="14"/>
        <v>0.57442298687023452</v>
      </c>
      <c r="Y44" s="20">
        <f t="shared" ca="1" si="14"/>
        <v>0.55567070808365726</v>
      </c>
      <c r="Z44" s="20">
        <f t="shared" ca="1" si="14"/>
        <v>0.53761148483390142</v>
      </c>
      <c r="AA44" s="20">
        <f t="shared" ca="1" si="14"/>
        <v>0.52020928470300432</v>
      </c>
      <c r="AB44" s="20">
        <f t="shared" ca="1" si="14"/>
        <v>0.50343090315518668</v>
      </c>
      <c r="AC44" s="20">
        <f t="shared" ca="1" si="15"/>
        <v>3.3820964262366401E-2</v>
      </c>
      <c r="AD44" s="20">
        <f t="shared" ca="1" si="15"/>
        <v>3.4307191889534461E-2</v>
      </c>
      <c r="AE44" s="20">
        <f t="shared" ca="1" si="15"/>
        <v>3.4654254638574397E-2</v>
      </c>
      <c r="AF44" s="20">
        <f t="shared" ca="1" si="15"/>
        <v>3.489311888443114E-2</v>
      </c>
      <c r="AG44" s="20">
        <f t="shared" ca="1" si="15"/>
        <v>3.5048195987261721E-2</v>
      </c>
      <c r="AH44" s="20">
        <f t="shared" ca="1" si="15"/>
        <v>3.5138718891078828E-2</v>
      </c>
      <c r="AI44" s="20">
        <f t="shared" ca="1" si="15"/>
        <v>3.5179828233957072E-2</v>
      </c>
      <c r="AJ44" s="20">
        <f t="shared" ca="1" si="15"/>
        <v>3.5183429810776608E-2</v>
      </c>
      <c r="AK44" s="20">
        <f t="shared" ca="1" si="15"/>
        <v>3.5158871937153766E-2</v>
      </c>
      <c r="AL44" s="20">
        <f t="shared" ca="1" si="15"/>
        <v>3.5113480854381318E-2</v>
      </c>
      <c r="AM44" s="20">
        <f t="shared" ca="1" si="16"/>
        <v>3.5052984159117867E-2</v>
      </c>
      <c r="AN44" s="20">
        <f t="shared" ca="1" si="16"/>
        <v>3.4981845846468865E-2</v>
      </c>
      <c r="AO44" s="20">
        <f t="shared" ca="1" si="16"/>
        <v>3.4903531537404296E-2</v>
      </c>
      <c r="AP44" s="20">
        <f t="shared" ca="1" si="16"/>
        <v>3.4820718521786954E-2</v>
      </c>
      <c r="AQ44" s="20">
        <f t="shared" ca="1" si="16"/>
        <v>3.4735462152866318E-2</v>
      </c>
      <c r="AR44" s="20">
        <f t="shared" ca="1" si="16"/>
        <v>3.4649327695272222E-2</v>
      </c>
      <c r="AS44" s="20">
        <f t="shared" ca="1" si="16"/>
        <v>3.4563494813525747E-2</v>
      </c>
      <c r="AT44" s="20">
        <f t="shared" ca="1" si="16"/>
        <v>3.447884038017153E-2</v>
      </c>
      <c r="AU44" s="20">
        <f t="shared" ca="1" si="16"/>
        <v>3.4396004094395978E-2</v>
      </c>
      <c r="AV44" s="20">
        <f t="shared" ca="1" si="16"/>
        <v>3.431544046495285E-2</v>
      </c>
    </row>
    <row r="45" spans="3:48">
      <c r="C45" s="1">
        <f t="shared" ca="1" si="6"/>
        <v>0.11150429756122948</v>
      </c>
      <c r="D45" s="4">
        <f t="shared" si="4"/>
        <v>6</v>
      </c>
      <c r="E45" s="5">
        <f t="shared" ca="1" si="7"/>
        <v>-0.30464174039446779</v>
      </c>
      <c r="F45" s="5">
        <f t="shared" ca="1" si="5"/>
        <v>-6.7618601212797369E-3</v>
      </c>
      <c r="G45" s="5">
        <f t="shared" ca="1" si="8"/>
        <v>2.6394444332726925E-2</v>
      </c>
      <c r="I45" s="20">
        <f t="shared" ca="1" si="13"/>
        <v>0.97287193076324985</v>
      </c>
      <c r="J45" s="20">
        <f t="shared" ca="1" si="13"/>
        <v>0.94479360971271886</v>
      </c>
      <c r="K45" s="20">
        <f t="shared" ca="1" si="13"/>
        <v>0.91636883370117472</v>
      </c>
      <c r="L45" s="20">
        <f t="shared" ca="1" si="13"/>
        <v>0.88801982323818163</v>
      </c>
      <c r="M45" s="20">
        <f t="shared" ca="1" si="13"/>
        <v>0.86003531493171781</v>
      </c>
      <c r="N45" s="20">
        <f t="shared" ca="1" si="13"/>
        <v>0.83260717882182556</v>
      </c>
      <c r="O45" s="20">
        <f t="shared" ca="1" si="13"/>
        <v>0.80585781030386527</v>
      </c>
      <c r="P45" s="20">
        <f t="shared" ca="1" si="13"/>
        <v>0.7798603490261955</v>
      </c>
      <c r="Q45" s="20">
        <f t="shared" ca="1" si="13"/>
        <v>0.7546534451598883</v>
      </c>
      <c r="R45" s="20">
        <f t="shared" ca="1" si="13"/>
        <v>0.73025194664550097</v>
      </c>
      <c r="S45" s="20">
        <f t="shared" ca="1" si="14"/>
        <v>0.70665457086796879</v>
      </c>
      <c r="T45" s="20">
        <f t="shared" ca="1" si="14"/>
        <v>0.68384936722934786</v>
      </c>
      <c r="U45" s="20">
        <f t="shared" ca="1" si="14"/>
        <v>0.66181757340205705</v>
      </c>
      <c r="V45" s="20">
        <f t="shared" ca="1" si="14"/>
        <v>0.64053631107791165</v>
      </c>
      <c r="W45" s="20">
        <f t="shared" ca="1" si="14"/>
        <v>0.61998044832216004</v>
      </c>
      <c r="X45" s="20">
        <f t="shared" ca="1" si="14"/>
        <v>0.60012386703994813</v>
      </c>
      <c r="Y45" s="20">
        <f t="shared" ca="1" si="14"/>
        <v>0.580940308550284</v>
      </c>
      <c r="Z45" s="20">
        <f t="shared" ca="1" si="14"/>
        <v>0.5624039221594026</v>
      </c>
      <c r="AA45" s="20">
        <f t="shared" ca="1" si="14"/>
        <v>0.54448960649419098</v>
      </c>
      <c r="AB45" s="20">
        <f t="shared" ca="1" si="14"/>
        <v>0.52717320780979171</v>
      </c>
      <c r="AC45" s="20">
        <f t="shared" ca="1" si="15"/>
        <v>2.750282851855966E-2</v>
      </c>
      <c r="AD45" s="20">
        <f t="shared" ca="1" si="15"/>
        <v>2.8394388881039626E-2</v>
      </c>
      <c r="AE45" s="20">
        <f t="shared" ca="1" si="15"/>
        <v>2.9112112824507191E-2</v>
      </c>
      <c r="AF45" s="20">
        <f t="shared" ca="1" si="15"/>
        <v>2.9690303193177774E-2</v>
      </c>
      <c r="AG45" s="20">
        <f t="shared" ca="1" si="15"/>
        <v>3.0156365340718222E-2</v>
      </c>
      <c r="AH45" s="20">
        <f t="shared" ca="1" si="15"/>
        <v>3.0532220347454859E-2</v>
      </c>
      <c r="AI45" s="20">
        <f t="shared" ca="1" si="15"/>
        <v>3.0835423721906705E-2</v>
      </c>
      <c r="AJ45" s="20">
        <f t="shared" ca="1" si="15"/>
        <v>3.1080051879753438E-2</v>
      </c>
      <c r="AK45" s="20">
        <f t="shared" ca="1" si="15"/>
        <v>3.1277405349455924E-2</v>
      </c>
      <c r="AL45" s="20">
        <f t="shared" ca="1" si="15"/>
        <v>3.1436567199308672E-2</v>
      </c>
      <c r="AM45" s="20">
        <f t="shared" ca="1" si="16"/>
        <v>3.156484698426832E-2</v>
      </c>
      <c r="AN45" s="20">
        <f t="shared" ca="1" si="16"/>
        <v>3.1668134080101315E-2</v>
      </c>
      <c r="AO45" s="20">
        <f t="shared" ca="1" si="16"/>
        <v>3.1751179223098232E-2</v>
      </c>
      <c r="AP45" s="20">
        <f t="shared" ca="1" si="16"/>
        <v>3.1817819105962361E-2</v>
      </c>
      <c r="AQ45" s="20">
        <f t="shared" ca="1" si="16"/>
        <v>3.1871155760299689E-2</v>
      </c>
      <c r="AR45" s="20">
        <f t="shared" ca="1" si="16"/>
        <v>3.1913700000391308E-2</v>
      </c>
      <c r="AS45" s="20">
        <f t="shared" ca="1" si="16"/>
        <v>3.1947486268493655E-2</v>
      </c>
      <c r="AT45" s="20">
        <f t="shared" ca="1" si="16"/>
        <v>3.1974164696797591E-2</v>
      </c>
      <c r="AU45" s="20">
        <f t="shared" ca="1" si="16"/>
        <v>3.199507499769693E-2</v>
      </c>
      <c r="AV45" s="20">
        <f t="shared" ca="1" si="16"/>
        <v>3.2011305843468348E-2</v>
      </c>
    </row>
    <row r="46" spans="3:48">
      <c r="C46" s="1">
        <f t="shared" ca="1" si="6"/>
        <v>0.83879354256220984</v>
      </c>
      <c r="D46" s="4">
        <f t="shared" si="4"/>
        <v>6.25</v>
      </c>
      <c r="E46" s="5">
        <f t="shared" ca="1" si="7"/>
        <v>0.247377890978456</v>
      </c>
      <c r="F46" s="5">
        <f t="shared" ca="1" si="5"/>
        <v>5.4379904723942168E-3</v>
      </c>
      <c r="G46" s="5">
        <f t="shared" ca="1" si="8"/>
        <v>3.1832434805121143E-2</v>
      </c>
      <c r="I46" s="20">
        <f t="shared" ca="1" si="13"/>
        <v>0.96794116925426366</v>
      </c>
      <c r="J46" s="20">
        <f t="shared" ca="1" si="13"/>
        <v>0.93585090053829023</v>
      </c>
      <c r="K46" s="20">
        <f t="shared" ca="1" si="13"/>
        <v>0.90419741590896874</v>
      </c>
      <c r="L46" s="20">
        <f t="shared" ca="1" si="13"/>
        <v>0.87328095668904693</v>
      </c>
      <c r="M46" s="20">
        <f t="shared" ca="1" si="13"/>
        <v>0.84328335652179021</v>
      </c>
      <c r="N46" s="20">
        <f t="shared" ca="1" si="13"/>
        <v>0.81430440735174781</v>
      </c>
      <c r="O46" s="20">
        <f t="shared" ca="1" si="13"/>
        <v>0.78638811921269125</v>
      </c>
      <c r="P46" s="20">
        <f t="shared" ca="1" si="13"/>
        <v>0.75954143317358924</v>
      </c>
      <c r="Q46" s="20">
        <f t="shared" ca="1" si="13"/>
        <v>0.73374739590008664</v>
      </c>
      <c r="R46" s="20">
        <f t="shared" ca="1" si="13"/>
        <v>0.70897432270711491</v>
      </c>
      <c r="S46" s="20">
        <f t="shared" ca="1" si="14"/>
        <v>0.68518208543778114</v>
      </c>
      <c r="T46" s="20">
        <f t="shared" ca="1" si="14"/>
        <v>0.66232635831426467</v>
      </c>
      <c r="U46" s="20">
        <f t="shared" ca="1" si="14"/>
        <v>0.64036142594220147</v>
      </c>
      <c r="V46" s="20">
        <f t="shared" ca="1" si="14"/>
        <v>0.61924198789873419</v>
      </c>
      <c r="W46" s="20">
        <f t="shared" ca="1" si="14"/>
        <v>0.59892427008373905</v>
      </c>
      <c r="X46" s="20">
        <f t="shared" ca="1" si="14"/>
        <v>0.57936666290174177</v>
      </c>
      <c r="Y46" s="20">
        <f t="shared" ca="1" si="14"/>
        <v>0.56053004143942742</v>
      </c>
      <c r="Z46" s="20">
        <f t="shared" ca="1" si="14"/>
        <v>0.54237787631409395</v>
      </c>
      <c r="AA46" s="20">
        <f t="shared" ca="1" si="14"/>
        <v>0.52487621072436974</v>
      </c>
      <c r="AB46" s="20">
        <f t="shared" ca="1" si="14"/>
        <v>0.50799355570887927</v>
      </c>
      <c r="AC46" s="20">
        <f t="shared" ca="1" si="15"/>
        <v>3.2583969116246544E-2</v>
      </c>
      <c r="AD46" s="20">
        <f t="shared" ca="1" si="15"/>
        <v>3.3149554744963679E-2</v>
      </c>
      <c r="AE46" s="20">
        <f t="shared" ca="1" si="15"/>
        <v>3.3569187333740189E-2</v>
      </c>
      <c r="AF46" s="20">
        <f t="shared" ca="1" si="15"/>
        <v>3.3874486487597104E-2</v>
      </c>
      <c r="AG46" s="20">
        <f t="shared" ca="1" si="15"/>
        <v>3.4090449745208237E-2</v>
      </c>
      <c r="AH46" s="20">
        <f t="shared" ca="1" si="15"/>
        <v>3.4236836346903256E-2</v>
      </c>
      <c r="AI46" s="20">
        <f t="shared" ca="1" si="15"/>
        <v>3.4329259725761389E-2</v>
      </c>
      <c r="AJ46" s="20">
        <f t="shared" ca="1" si="15"/>
        <v>3.4380050651291703E-2</v>
      </c>
      <c r="AK46" s="20">
        <f t="shared" ca="1" si="15"/>
        <v>3.4398939652774609E-2</v>
      </c>
      <c r="AL46" s="20">
        <f t="shared" ca="1" si="15"/>
        <v>3.4393596931582553E-2</v>
      </c>
      <c r="AM46" s="20">
        <f t="shared" ca="1" si="16"/>
        <v>3.4370059807813977E-2</v>
      </c>
      <c r="AN46" s="20">
        <f t="shared" ca="1" si="16"/>
        <v>3.4333071344487806E-2</v>
      </c>
      <c r="AO46" s="20">
        <f t="shared" ca="1" si="16"/>
        <v>3.4286348768661365E-2</v>
      </c>
      <c r="AP46" s="20">
        <f t="shared" ca="1" si="16"/>
        <v>3.4232796363687971E-2</v>
      </c>
      <c r="AQ46" s="20">
        <f t="shared" ca="1" si="16"/>
        <v>3.4174674406563445E-2</v>
      </c>
      <c r="AR46" s="20">
        <f t="shared" ca="1" si="16"/>
        <v>3.4113733286197385E-2</v>
      </c>
      <c r="AS46" s="20">
        <f t="shared" ca="1" si="16"/>
        <v>3.4051320019626324E-2</v>
      </c>
      <c r="AT46" s="20">
        <f t="shared" ca="1" si="16"/>
        <v>3.3988462871904941E-2</v>
      </c>
      <c r="AU46" s="20">
        <f t="shared" ca="1" si="16"/>
        <v>3.3925938594187965E-2</v>
      </c>
      <c r="AV46" s="20">
        <f t="shared" ca="1" si="16"/>
        <v>3.3864325854828028E-2</v>
      </c>
    </row>
    <row r="47" spans="3:48">
      <c r="C47" s="1">
        <f t="shared" ca="1" si="6"/>
        <v>0.22658531506922452</v>
      </c>
      <c r="D47" s="4">
        <f t="shared" si="4"/>
        <v>6.5</v>
      </c>
      <c r="E47" s="5">
        <f t="shared" ca="1" si="7"/>
        <v>-0.18753490060020836</v>
      </c>
      <c r="F47" s="5">
        <f t="shared" ca="1" si="5"/>
        <v>-4.1775501363937248E-3</v>
      </c>
      <c r="G47" s="5">
        <f t="shared" ca="1" si="8"/>
        <v>2.7654884668727418E-2</v>
      </c>
      <c r="I47" s="20">
        <f t="shared" ca="1" si="13"/>
        <v>0.97172682652865472</v>
      </c>
      <c r="J47" s="20">
        <f t="shared" ca="1" si="13"/>
        <v>0.94271325263898664</v>
      </c>
      <c r="K47" s="20">
        <f t="shared" ca="1" si="13"/>
        <v>0.91353318457086186</v>
      </c>
      <c r="L47" s="20">
        <f t="shared" ca="1" si="13"/>
        <v>0.88458159190058816</v>
      </c>
      <c r="M47" s="20">
        <f t="shared" ca="1" si="13"/>
        <v>0.85612308698579875</v>
      </c>
      <c r="N47" s="20">
        <f t="shared" ca="1" si="13"/>
        <v>0.82832859365312506</v>
      </c>
      <c r="O47" s="20">
        <f t="shared" ca="1" si="13"/>
        <v>0.80130255773122172</v>
      </c>
      <c r="P47" s="20">
        <f t="shared" ca="1" si="13"/>
        <v>0.77510287542496958</v>
      </c>
      <c r="Q47" s="20">
        <f t="shared" ca="1" si="13"/>
        <v>0.74975533215999002</v>
      </c>
      <c r="R47" s="20">
        <f t="shared" ca="1" si="13"/>
        <v>0.72526396549532468</v>
      </c>
      <c r="S47" s="20">
        <f t="shared" ca="1" si="14"/>
        <v>0.70161843591762385</v>
      </c>
      <c r="T47" s="20">
        <f t="shared" ca="1" si="14"/>
        <v>0.67879922077712429</v>
      </c>
      <c r="U47" s="20">
        <f t="shared" ca="1" si="14"/>
        <v>0.65678123638951214</v>
      </c>
      <c r="V47" s="20">
        <f t="shared" ca="1" si="14"/>
        <v>0.63553633286767586</v>
      </c>
      <c r="W47" s="20">
        <f t="shared" ca="1" si="14"/>
        <v>0.61503498586084415</v>
      </c>
      <c r="X47" s="20">
        <f t="shared" ca="1" si="14"/>
        <v>0.59524742013720622</v>
      </c>
      <c r="Y47" s="20">
        <f t="shared" ca="1" si="14"/>
        <v>0.57614433436574575</v>
      </c>
      <c r="Z47" s="20">
        <f t="shared" ca="1" si="14"/>
        <v>0.55769734857398678</v>
      </c>
      <c r="AA47" s="20">
        <f t="shared" ca="1" si="14"/>
        <v>0.53987926098122352</v>
      </c>
      <c r="AB47" s="20">
        <f t="shared" ca="1" si="14"/>
        <v>0.52266417575350799</v>
      </c>
      <c r="AC47" s="20">
        <f t="shared" ca="1" si="15"/>
        <v>2.8680556687582081E-2</v>
      </c>
      <c r="AD47" s="20">
        <f t="shared" ca="1" si="15"/>
        <v>2.9496561253295302E-2</v>
      </c>
      <c r="AE47" s="20">
        <f t="shared" ca="1" si="15"/>
        <v>3.0145192327039577E-2</v>
      </c>
      <c r="AF47" s="20">
        <f t="shared" ca="1" si="15"/>
        <v>3.066013082054829E-2</v>
      </c>
      <c r="AG47" s="20">
        <f t="shared" ca="1" si="15"/>
        <v>3.1068223993987711E-2</v>
      </c>
      <c r="AH47" s="20">
        <f t="shared" ca="1" si="15"/>
        <v>3.1390891847304266E-2</v>
      </c>
      <c r="AI47" s="20">
        <f t="shared" ca="1" si="15"/>
        <v>3.1645239746591711E-2</v>
      </c>
      <c r="AJ47" s="20">
        <f t="shared" ca="1" si="15"/>
        <v>3.1844939494307785E-2</v>
      </c>
      <c r="AK47" s="20">
        <f t="shared" ca="1" si="15"/>
        <v>3.2000927717890634E-2</v>
      </c>
      <c r="AL47" s="20">
        <f t="shared" ca="1" si="15"/>
        <v>3.2121960005388701E-2</v>
      </c>
      <c r="AM47" s="20">
        <f t="shared" ca="1" si="16"/>
        <v>3.2215051027804656E-2</v>
      </c>
      <c r="AN47" s="20">
        <f t="shared" ca="1" si="16"/>
        <v>3.228582446370816E-2</v>
      </c>
      <c r="AO47" s="20">
        <f t="shared" ca="1" si="16"/>
        <v>3.2338791498266663E-2</v>
      </c>
      <c r="AP47" s="20">
        <f t="shared" ca="1" si="16"/>
        <v>3.2377572706417099E-2</v>
      </c>
      <c r="AQ47" s="20">
        <f t="shared" ca="1" si="16"/>
        <v>3.2405075014336517E-2</v>
      </c>
      <c r="AR47" s="20">
        <f t="shared" ca="1" si="16"/>
        <v>3.2423632981710561E-2</v>
      </c>
      <c r="AS47" s="20">
        <f t="shared" ca="1" si="16"/>
        <v>3.2435121716482836E-2</v>
      </c>
      <c r="AT47" s="20">
        <f t="shared" ca="1" si="16"/>
        <v>3.244104721186012E-2</v>
      </c>
      <c r="AU47" s="20">
        <f t="shared" ca="1" si="16"/>
        <v>3.2442618694709102E-2</v>
      </c>
      <c r="AV47" s="20">
        <f t="shared" ca="1" si="16"/>
        <v>3.2440806626448847E-2</v>
      </c>
    </row>
    <row r="48" spans="3:48">
      <c r="C48" s="1">
        <f t="shared" ca="1" si="6"/>
        <v>0.92185682434912253</v>
      </c>
      <c r="D48" s="4">
        <f t="shared" si="4"/>
        <v>6.75</v>
      </c>
      <c r="E48" s="5">
        <f t="shared" ca="1" si="7"/>
        <v>0.35441816877966326</v>
      </c>
      <c r="F48" s="5">
        <f t="shared" ca="1" si="5"/>
        <v>7.7153400494129956E-3</v>
      </c>
      <c r="G48" s="5">
        <f t="shared" ca="1" si="8"/>
        <v>3.5370224718140414E-2</v>
      </c>
      <c r="I48" s="20">
        <f t="shared" ca="1" si="13"/>
        <v>0.96474679233243299</v>
      </c>
      <c r="J48" s="20">
        <f t="shared" ca="1" si="13"/>
        <v>0.93007854464267492</v>
      </c>
      <c r="K48" s="20">
        <f t="shared" ca="1" si="13"/>
        <v>0.89636599740442491</v>
      </c>
      <c r="L48" s="20">
        <f t="shared" ca="1" si="13"/>
        <v>0.86382389901907364</v>
      </c>
      <c r="M48" s="20">
        <f t="shared" ca="1" si="13"/>
        <v>0.83256063716461048</v>
      </c>
      <c r="N48" s="20">
        <f t="shared" ca="1" si="13"/>
        <v>0.80261376100654069</v>
      </c>
      <c r="O48" s="20">
        <f t="shared" ca="1" si="13"/>
        <v>0.77397500720699175</v>
      </c>
      <c r="P48" s="20">
        <f t="shared" ca="1" si="13"/>
        <v>0.74660767726191302</v>
      </c>
      <c r="Q48" s="20">
        <f t="shared" ca="1" si="13"/>
        <v>0.72045852622727524</v>
      </c>
      <c r="R48" s="20">
        <f t="shared" ca="1" si="13"/>
        <v>0.69546576087003453</v>
      </c>
      <c r="S48" s="20">
        <f t="shared" ca="1" si="14"/>
        <v>0.67156430920713373</v>
      </c>
      <c r="T48" s="20">
        <f t="shared" ca="1" si="14"/>
        <v>0.64868919577383288</v>
      </c>
      <c r="U48" s="20">
        <f t="shared" ca="1" si="14"/>
        <v>0.62677761596003567</v>
      </c>
      <c r="V48" s="20">
        <f t="shared" ca="1" si="14"/>
        <v>0.6057701280093406</v>
      </c>
      <c r="W48" s="20">
        <f t="shared" ca="1" si="14"/>
        <v>0.58561125586650631</v>
      </c>
      <c r="X48" s="20">
        <f t="shared" ca="1" si="14"/>
        <v>0.56624970673930719</v>
      </c>
      <c r="Y48" s="20">
        <f t="shared" ca="1" si="14"/>
        <v>0.54763834400635747</v>
      </c>
      <c r="Z48" s="20">
        <f t="shared" ca="1" si="14"/>
        <v>0.52973401156593769</v>
      </c>
      <c r="AA48" s="20">
        <f t="shared" ca="1" si="14"/>
        <v>0.51249727450693539</v>
      </c>
      <c r="AB48" s="20">
        <f t="shared" ca="1" si="14"/>
        <v>0.49589211921920462</v>
      </c>
      <c r="AC48" s="20">
        <f t="shared" ca="1" si="15"/>
        <v>3.5889603439142839E-2</v>
      </c>
      <c r="AD48" s="20">
        <f t="shared" ca="1" si="15"/>
        <v>3.624311989803343E-2</v>
      </c>
      <c r="AE48" s="20">
        <f t="shared" ca="1" si="15"/>
        <v>3.6468823388710596E-2</v>
      </c>
      <c r="AF48" s="20">
        <f t="shared" ca="1" si="15"/>
        <v>3.6596587883023633E-2</v>
      </c>
      <c r="AG48" s="20">
        <f t="shared" ca="1" si="15"/>
        <v>3.6649844469017576E-2</v>
      </c>
      <c r="AH48" s="20">
        <f t="shared" ca="1" si="15"/>
        <v>3.6646945960186195E-2</v>
      </c>
      <c r="AI48" s="20">
        <f t="shared" ca="1" si="15"/>
        <v>3.6602242334857177E-2</v>
      </c>
      <c r="AJ48" s="20">
        <f t="shared" ca="1" si="15"/>
        <v>3.6526928698649506E-2</v>
      </c>
      <c r="AK48" s="20">
        <f t="shared" ca="1" si="15"/>
        <v>3.6429714187501294E-2</v>
      </c>
      <c r="AL48" s="20">
        <f t="shared" ca="1" si="15"/>
        <v>3.6317349834873447E-2</v>
      </c>
      <c r="AM48" s="20">
        <f t="shared" ca="1" si="16"/>
        <v>3.6195045283862949E-2</v>
      </c>
      <c r="AN48" s="20">
        <f t="shared" ca="1" si="16"/>
        <v>3.6066797841552596E-2</v>
      </c>
      <c r="AO48" s="20">
        <f t="shared" ca="1" si="16"/>
        <v>3.5935652365572252E-2</v>
      </c>
      <c r="AP48" s="20">
        <f t="shared" ca="1" si="16"/>
        <v>3.5803906542332876E-2</v>
      </c>
      <c r="AQ48" s="20">
        <f t="shared" ca="1" si="16"/>
        <v>3.5673273029082866E-2</v>
      </c>
      <c r="AR48" s="20">
        <f t="shared" ca="1" si="16"/>
        <v>3.5545007505294102E-2</v>
      </c>
      <c r="AS48" s="20">
        <f t="shared" ca="1" si="16"/>
        <v>3.5420009770226371E-2</v>
      </c>
      <c r="AT48" s="20">
        <f t="shared" ca="1" si="16"/>
        <v>3.5298903521237386E-2</v>
      </c>
      <c r="AU48" s="20">
        <f t="shared" ca="1" si="16"/>
        <v>3.5182099264155921E-2</v>
      </c>
      <c r="AV48" s="20">
        <f t="shared" ca="1" si="16"/>
        <v>3.5069843874414572E-2</v>
      </c>
    </row>
    <row r="49" spans="3:48">
      <c r="C49" s="1">
        <f t="shared" ca="1" si="6"/>
        <v>0.51356305301513916</v>
      </c>
      <c r="D49" s="4">
        <f t="shared" si="4"/>
        <v>7</v>
      </c>
      <c r="E49" s="5">
        <f t="shared" ca="1" si="7"/>
        <v>8.5010210172994372E-3</v>
      </c>
      <c r="F49" s="5">
        <f t="shared" ca="1" si="5"/>
        <v>-4.8966622212253216E-5</v>
      </c>
      <c r="G49" s="5">
        <f t="shared" ca="1" si="8"/>
        <v>3.5321258095928162E-2</v>
      </c>
      <c r="I49" s="20">
        <f t="shared" ca="1" si="13"/>
        <v>0.9647909337417786</v>
      </c>
      <c r="J49" s="20">
        <f t="shared" ca="1" si="13"/>
        <v>0.93015819644220366</v>
      </c>
      <c r="K49" s="20">
        <f t="shared" ca="1" si="13"/>
        <v>0.89647392794999314</v>
      </c>
      <c r="L49" s="20">
        <f t="shared" ca="1" si="13"/>
        <v>0.86395409282961644</v>
      </c>
      <c r="M49" s="20">
        <f t="shared" ca="1" si="13"/>
        <v>0.83270811600645156</v>
      </c>
      <c r="N49" s="20">
        <f t="shared" ca="1" si="13"/>
        <v>0.80277442043483571</v>
      </c>
      <c r="O49" s="20">
        <f t="shared" ca="1" si="13"/>
        <v>0.7741454729119801</v>
      </c>
      <c r="P49" s="20">
        <f t="shared" ca="1" si="13"/>
        <v>0.74678518183333642</v>
      </c>
      <c r="Q49" s="20">
        <f t="shared" ca="1" si="13"/>
        <v>0.72064080506236494</v>
      </c>
      <c r="R49" s="20">
        <f t="shared" ca="1" si="13"/>
        <v>0.69565096512914548</v>
      </c>
      <c r="S49" s="20">
        <f t="shared" ca="1" si="14"/>
        <v>0.67175093348894277</v>
      </c>
      <c r="T49" s="20">
        <f t="shared" ca="1" si="14"/>
        <v>0.64887601825504859</v>
      </c>
      <c r="U49" s="20">
        <f t="shared" ca="1" si="14"/>
        <v>0.6269636489590158</v>
      </c>
      <c r="V49" s="20">
        <f t="shared" ca="1" si="14"/>
        <v>0.60595457719788792</v>
      </c>
      <c r="W49" s="20">
        <f t="shared" ca="1" si="14"/>
        <v>0.58579348662145314</v>
      </c>
      <c r="X49" s="20">
        <f t="shared" ca="1" si="14"/>
        <v>0.56642921637215204</v>
      </c>
      <c r="Y49" s="20">
        <f t="shared" ca="1" si="14"/>
        <v>0.5478147388258956</v>
      </c>
      <c r="Z49" s="20">
        <f t="shared" ca="1" si="14"/>
        <v>0.52990698791361179</v>
      </c>
      <c r="AA49" s="20">
        <f t="shared" ca="1" si="14"/>
        <v>0.51266660305931422</v>
      </c>
      <c r="AB49" s="20">
        <f t="shared" ca="1" si="14"/>
        <v>0.4960576319799222</v>
      </c>
      <c r="AC49" s="20">
        <f t="shared" ca="1" si="15"/>
        <v>3.5843850087179954E-2</v>
      </c>
      <c r="AD49" s="20">
        <f t="shared" ca="1" si="15"/>
        <v>3.6200301799767652E-2</v>
      </c>
      <c r="AE49" s="20">
        <f t="shared" ca="1" si="15"/>
        <v>3.6428689467039831E-2</v>
      </c>
      <c r="AF49" s="20">
        <f t="shared" ca="1" si="15"/>
        <v>3.6558911222190051E-2</v>
      </c>
      <c r="AG49" s="20">
        <f t="shared" ca="1" si="15"/>
        <v>3.6614419834538406E-2</v>
      </c>
      <c r="AH49" s="20">
        <f t="shared" ca="1" si="15"/>
        <v>3.6613587583961126E-2</v>
      </c>
      <c r="AI49" s="20">
        <f t="shared" ca="1" si="15"/>
        <v>3.6570781936288842E-2</v>
      </c>
      <c r="AJ49" s="20">
        <f t="shared" ca="1" si="15"/>
        <v>3.6497213715887565E-2</v>
      </c>
      <c r="AK49" s="20">
        <f t="shared" ca="1" si="15"/>
        <v>3.6401606195821438E-2</v>
      </c>
      <c r="AL49" s="20">
        <f t="shared" ca="1" si="15"/>
        <v>3.6290723131773159E-2</v>
      </c>
      <c r="AM49" s="20">
        <f t="shared" ca="1" si="16"/>
        <v>3.616978562273393E-2</v>
      </c>
      <c r="AN49" s="20">
        <f t="shared" ca="1" si="16"/>
        <v>3.6042801297809644E-2</v>
      </c>
      <c r="AO49" s="20">
        <f t="shared" ca="1" si="16"/>
        <v>3.5912824320909101E-2</v>
      </c>
      <c r="AP49" s="20">
        <f t="shared" ca="1" si="16"/>
        <v>3.5782160774363893E-2</v>
      </c>
      <c r="AQ49" s="20">
        <f t="shared" ca="1" si="16"/>
        <v>3.5652530895038483E-2</v>
      </c>
      <c r="AR49" s="20">
        <f t="shared" ca="1" si="16"/>
        <v>3.5525197209688157E-2</v>
      </c>
      <c r="AS49" s="20">
        <f t="shared" ca="1" si="16"/>
        <v>3.5401065707523049E-2</v>
      </c>
      <c r="AT49" s="20">
        <f t="shared" ca="1" si="16"/>
        <v>3.528076568553061E-2</v>
      </c>
      <c r="AU49" s="20">
        <f t="shared" ca="1" si="16"/>
        <v>3.5164712718748617E-2</v>
      </c>
      <c r="AV49" s="20">
        <f t="shared" ca="1" si="16"/>
        <v>3.5053158274962234E-2</v>
      </c>
    </row>
    <row r="50" spans="3:48">
      <c r="C50" s="1">
        <f t="shared" ca="1" si="6"/>
        <v>0.97871630350511851</v>
      </c>
      <c r="D50" s="4">
        <f t="shared" si="4"/>
        <v>7.25</v>
      </c>
      <c r="E50" s="5">
        <f t="shared" ca="1" si="7"/>
        <v>0.50698249951221275</v>
      </c>
      <c r="F50" s="5">
        <f t="shared" ca="1" si="5"/>
        <v>1.0759731779978687E-2</v>
      </c>
      <c r="G50" s="5">
        <f t="shared" ca="1" si="8"/>
        <v>4.608098987590685E-2</v>
      </c>
      <c r="I50" s="20">
        <f t="shared" ca="1" si="13"/>
        <v>0.95513984890449377</v>
      </c>
      <c r="J50" s="20">
        <f t="shared" ca="1" si="13"/>
        <v>0.91281872894341975</v>
      </c>
      <c r="K50" s="20">
        <f t="shared" ca="1" si="13"/>
        <v>0.87306726495963138</v>
      </c>
      <c r="L50" s="20">
        <f t="shared" ca="1" si="13"/>
        <v>0.835812205020243</v>
      </c>
      <c r="M50" s="20">
        <f t="shared" ca="1" si="13"/>
        <v>0.80092141598456346</v>
      </c>
      <c r="N50" s="20">
        <f t="shared" ca="1" si="13"/>
        <v>0.76823334990612213</v>
      </c>
      <c r="O50" s="20">
        <f t="shared" ca="1" si="13"/>
        <v>0.73757584314401792</v>
      </c>
      <c r="P50" s="20">
        <f t="shared" ca="1" si="13"/>
        <v>0.70877770734406464</v>
      </c>
      <c r="Q50" s="20">
        <f t="shared" ca="1" si="13"/>
        <v>0.68167552410957266</v>
      </c>
      <c r="R50" s="20">
        <f t="shared" ca="1" si="13"/>
        <v>0.65611730005652225</v>
      </c>
      <c r="S50" s="20">
        <f t="shared" ca="1" si="14"/>
        <v>0.63196410676721282</v>
      </c>
      <c r="T50" s="20">
        <f t="shared" ca="1" si="14"/>
        <v>0.60909046089514729</v>
      </c>
      <c r="U50" s="20">
        <f t="shared" ca="1" si="14"/>
        <v>0.58738394630902901</v>
      </c>
      <c r="V50" s="20">
        <f t="shared" ca="1" si="14"/>
        <v>0.56674440780656565</v>
      </c>
      <c r="W50" s="20">
        <f t="shared" ca="1" si="14"/>
        <v>0.54708292952358573</v>
      </c>
      <c r="X50" s="20">
        <f t="shared" ca="1" si="14"/>
        <v>0.52832073308521976</v>
      </c>
      <c r="Y50" s="20">
        <f t="shared" ca="1" si="14"/>
        <v>0.51038807856131663</v>
      </c>
      <c r="Z50" s="20">
        <f t="shared" ca="1" si="14"/>
        <v>0.49322321698470728</v>
      </c>
      <c r="AA50" s="20">
        <f t="shared" ca="1" si="14"/>
        <v>0.47677142081668406</v>
      </c>
      <c r="AB50" s="20">
        <f t="shared" ca="1" si="14"/>
        <v>0.46098410438329068</v>
      </c>
      <c r="AC50" s="20">
        <f t="shared" ca="1" si="15"/>
        <v>4.5897510579049262E-2</v>
      </c>
      <c r="AD50" s="20">
        <f t="shared" ca="1" si="15"/>
        <v>4.5608981260474205E-2</v>
      </c>
      <c r="AE50" s="20">
        <f t="shared" ca="1" si="15"/>
        <v>4.524755858536194E-2</v>
      </c>
      <c r="AF50" s="20">
        <f t="shared" ca="1" si="15"/>
        <v>4.4837831568734547E-2</v>
      </c>
      <c r="AG50" s="20">
        <f t="shared" ca="1" si="15"/>
        <v>4.4398488822337316E-2</v>
      </c>
      <c r="AH50" s="20">
        <f t="shared" ca="1" si="15"/>
        <v>4.3943625160200707E-2</v>
      </c>
      <c r="AI50" s="20">
        <f t="shared" ca="1" si="15"/>
        <v>4.3483765413466172E-2</v>
      </c>
      <c r="AJ50" s="20">
        <f t="shared" ca="1" si="15"/>
        <v>4.3026666431235552E-2</v>
      </c>
      <c r="AK50" s="20">
        <f t="shared" ca="1" si="15"/>
        <v>4.2577945050443267E-2</v>
      </c>
      <c r="AL50" s="20">
        <f t="shared" ca="1" si="15"/>
        <v>4.2141569496106882E-2</v>
      </c>
      <c r="AM50" s="20">
        <f t="shared" ca="1" si="16"/>
        <v>4.1720243594356478E-2</v>
      </c>
      <c r="AN50" s="20">
        <f t="shared" ca="1" si="16"/>
        <v>4.1315706853792412E-2</v>
      </c>
      <c r="AO50" s="20">
        <f t="shared" ca="1" si="16"/>
        <v>4.0928968513419983E-2</v>
      </c>
      <c r="AP50" s="20">
        <f t="shared" ca="1" si="16"/>
        <v>4.0560489769198571E-2</v>
      </c>
      <c r="AQ50" s="20">
        <f t="shared" ca="1" si="16"/>
        <v>4.0210325343152928E-2</v>
      </c>
      <c r="AR50" s="20">
        <f t="shared" ca="1" si="16"/>
        <v>3.9878233167082264E-2</v>
      </c>
      <c r="AS50" s="20">
        <f t="shared" ca="1" si="16"/>
        <v>3.956375907500289E-2</v>
      </c>
      <c r="AT50" s="20">
        <f t="shared" ca="1" si="16"/>
        <v>3.9266301923425756E-2</v>
      </c>
      <c r="AU50" s="20">
        <f t="shared" ca="1" si="16"/>
        <v>3.8985163399461474E-2</v>
      </c>
      <c r="AV50" s="20">
        <f t="shared" ca="1" si="16"/>
        <v>3.8719585865517582E-2</v>
      </c>
    </row>
    <row r="51" spans="3:48">
      <c r="C51" s="1">
        <f t="shared" ca="1" si="6"/>
        <v>0.30872424955580091</v>
      </c>
      <c r="D51" s="4">
        <f t="shared" si="4"/>
        <v>7.5</v>
      </c>
      <c r="E51" s="5">
        <f t="shared" ca="1" si="7"/>
        <v>-0.12486743505100245</v>
      </c>
      <c r="F51" s="5">
        <f t="shared" ca="1" si="5"/>
        <v>-3.3080757280742465E-3</v>
      </c>
      <c r="G51" s="5">
        <f t="shared" ca="1" si="8"/>
        <v>4.2772914147832602E-2</v>
      </c>
      <c r="I51" s="20">
        <f t="shared" ref="I51:R57" ca="1" si="17">vas_bond($G51,rbar,a,sigma,I$20)</f>
        <v>0.95809674831631975</v>
      </c>
      <c r="J51" s="20">
        <f t="shared" ca="1" si="17"/>
        <v>0.91811504746353734</v>
      </c>
      <c r="K51" s="20">
        <f t="shared" ca="1" si="17"/>
        <v>0.88019782011506065</v>
      </c>
      <c r="L51" s="20">
        <f t="shared" ca="1" si="17"/>
        <v>0.84436541514497854</v>
      </c>
      <c r="M51" s="20">
        <f t="shared" ca="1" si="17"/>
        <v>0.81056284858471306</v>
      </c>
      <c r="N51" s="20">
        <f t="shared" ca="1" si="17"/>
        <v>0.77869172261176567</v>
      </c>
      <c r="O51" s="20">
        <f t="shared" ca="1" si="17"/>
        <v>0.74863135642890555</v>
      </c>
      <c r="P51" s="20">
        <f t="shared" ca="1" si="17"/>
        <v>0.72025244667973187</v>
      </c>
      <c r="Q51" s="20">
        <f t="shared" ca="1" si="17"/>
        <v>0.69342562786750317</v>
      </c>
      <c r="R51" s="20">
        <f t="shared" ca="1" si="17"/>
        <v>0.6680265982363941</v>
      </c>
      <c r="S51" s="20">
        <f t="shared" ref="S51:AB57" ca="1" si="18">vas_bond($G51,rbar,a,sigma,S$20)</f>
        <v>0.64393896654984828</v>
      </c>
      <c r="T51" s="20">
        <f t="shared" ca="1" si="18"/>
        <v>0.62105561314532276</v>
      </c>
      <c r="U51" s="20">
        <f t="shared" ca="1" si="18"/>
        <v>0.59927910498033732</v>
      </c>
      <c r="V51" s="20">
        <f t="shared" ca="1" si="18"/>
        <v>0.57852152835163495</v>
      </c>
      <c r="W51" s="20">
        <f t="shared" ca="1" si="18"/>
        <v>0.55870398171375857</v>
      </c>
      <c r="X51" s="20">
        <f t="shared" ca="1" si="18"/>
        <v>0.53975588802890739</v>
      </c>
      <c r="Y51" s="20">
        <f t="shared" ca="1" si="18"/>
        <v>0.52161422961996617</v>
      </c>
      <c r="Z51" s="20">
        <f t="shared" ca="1" si="18"/>
        <v>0.5042227703441633</v>
      </c>
      <c r="AA51" s="20">
        <f t="shared" ca="1" si="18"/>
        <v>0.48753130432607145</v>
      </c>
      <c r="AB51" s="20">
        <f t="shared" ca="1" si="18"/>
        <v>0.47149495351672899</v>
      </c>
      <c r="AC51" s="20">
        <f t="shared" ref="AC51:AL57" ca="1" si="19">vas_yield($G51,rbar,a,sigma,AC$20)</f>
        <v>4.2806516218638006E-2</v>
      </c>
      <c r="AD51" s="20">
        <f t="shared" ca="1" si="19"/>
        <v>4.2716286089846477E-2</v>
      </c>
      <c r="AE51" s="20">
        <f t="shared" ca="1" si="19"/>
        <v>4.2536200395776783E-2</v>
      </c>
      <c r="AF51" s="20">
        <f t="shared" ca="1" si="19"/>
        <v>4.2292480437954028E-2</v>
      </c>
      <c r="AG51" s="20">
        <f t="shared" ca="1" si="19"/>
        <v>4.2005279566683915E-2</v>
      </c>
      <c r="AH51" s="20">
        <f t="shared" ca="1" si="19"/>
        <v>4.1690007701357473E-2</v>
      </c>
      <c r="AI51" s="20">
        <f t="shared" ca="1" si="19"/>
        <v>4.1358371089791506E-2</v>
      </c>
      <c r="AJ51" s="20">
        <f t="shared" ca="1" si="19"/>
        <v>4.101918850456051E-2</v>
      </c>
      <c r="AK51" s="20">
        <f t="shared" ca="1" si="19"/>
        <v>4.0679031855287685E-2</v>
      </c>
      <c r="AL51" s="20">
        <f t="shared" ca="1" si="19"/>
        <v>4.0342728851904298E-2</v>
      </c>
      <c r="AM51" s="20">
        <f t="shared" ref="AM51:AV57" ca="1" si="20">vas_yield($G51,rbar,a,sigma,AM$20)</f>
        <v>4.0013757255190768E-2</v>
      </c>
      <c r="AN51" s="20">
        <f t="shared" ca="1" si="20"/>
        <v>3.9694553906594231E-2</v>
      </c>
      <c r="AO51" s="20">
        <f t="shared" ca="1" si="20"/>
        <v>3.9386756756557888E-2</v>
      </c>
      <c r="AP51" s="20">
        <f t="shared" ca="1" si="20"/>
        <v>3.9091394210703401E-2</v>
      </c>
      <c r="AQ51" s="20">
        <f t="shared" ca="1" si="20"/>
        <v>3.8809033053003594E-2</v>
      </c>
      <c r="AR51" s="20">
        <f t="shared" ca="1" si="20"/>
        <v>3.8539893802444457E-2</v>
      </c>
      <c r="AS51" s="20">
        <f t="shared" ca="1" si="20"/>
        <v>3.8283940472275325E-2</v>
      </c>
      <c r="AT51" s="20">
        <f t="shared" ca="1" si="20"/>
        <v>3.8040950217496206E-2</v>
      </c>
      <c r="AU51" s="20">
        <f t="shared" ca="1" si="20"/>
        <v>3.7810567189666737E-2</v>
      </c>
      <c r="AV51" s="20">
        <f t="shared" ca="1" si="20"/>
        <v>3.7592344000285702E-2</v>
      </c>
    </row>
    <row r="52" spans="3:48">
      <c r="C52" s="1">
        <f t="shared" ca="1" si="6"/>
        <v>0.11783479274121078</v>
      </c>
      <c r="D52" s="4">
        <f t="shared" si="4"/>
        <v>7.75</v>
      </c>
      <c r="E52" s="5">
        <f t="shared" ca="1" si="7"/>
        <v>-0.29647006772338569</v>
      </c>
      <c r="F52" s="5">
        <f t="shared" ca="1" si="5"/>
        <v>-6.9148345490567132E-3</v>
      </c>
      <c r="G52" s="5">
        <f t="shared" ca="1" si="8"/>
        <v>3.5858079598775891E-2</v>
      </c>
      <c r="I52" s="20">
        <f t="shared" ca="1" si="17"/>
        <v>0.96430712136762753</v>
      </c>
      <c r="J52" s="20">
        <f t="shared" ca="1" si="17"/>
        <v>0.92928534547833264</v>
      </c>
      <c r="K52" s="20">
        <f t="shared" ca="1" si="17"/>
        <v>0.89529139383552103</v>
      </c>
      <c r="L52" s="20">
        <f t="shared" ca="1" si="17"/>
        <v>0.86252784794691673</v>
      </c>
      <c r="M52" s="20">
        <f t="shared" ca="1" si="17"/>
        <v>0.83109272988437488</v>
      </c>
      <c r="N52" s="20">
        <f t="shared" ca="1" si="17"/>
        <v>0.80101486462132121</v>
      </c>
      <c r="O52" s="20">
        <f t="shared" ca="1" si="17"/>
        <v>0.77227870450845959</v>
      </c>
      <c r="P52" s="20">
        <f t="shared" ca="1" si="17"/>
        <v>0.7448415002114428</v>
      </c>
      <c r="Q52" s="20">
        <f t="shared" ca="1" si="17"/>
        <v>0.71864499664629788</v>
      </c>
      <c r="R52" s="20">
        <f t="shared" ca="1" si="17"/>
        <v>0.69362325987350859</v>
      </c>
      <c r="S52" s="20">
        <f t="shared" ca="1" si="18"/>
        <v>0.66970779903557009</v>
      </c>
      <c r="T52" s="20">
        <f t="shared" ca="1" si="18"/>
        <v>0.64683081681259968</v>
      </c>
      <c r="U52" s="20">
        <f t="shared" ca="1" si="18"/>
        <v>0.62492717949866272</v>
      </c>
      <c r="V52" s="20">
        <f t="shared" ca="1" si="18"/>
        <v>0.60393552258434191</v>
      </c>
      <c r="W52" s="20">
        <f t="shared" ca="1" si="18"/>
        <v>0.58379878231852345</v>
      </c>
      <c r="X52" s="20">
        <f t="shared" ca="1" si="18"/>
        <v>0.56446435462374633</v>
      </c>
      <c r="Y52" s="20">
        <f t="shared" ca="1" si="18"/>
        <v>0.54588401981436496</v>
      </c>
      <c r="Z52" s="20">
        <f t="shared" ca="1" si="18"/>
        <v>0.5280137273553337</v>
      </c>
      <c r="AA52" s="20">
        <f t="shared" ca="1" si="18"/>
        <v>0.51081330399067715</v>
      </c>
      <c r="AB52" s="20">
        <f t="shared" ca="1" si="18"/>
        <v>0.49424612707702686</v>
      </c>
      <c r="AC52" s="20">
        <f t="shared" ca="1" si="19"/>
        <v>3.6345444480490825E-2</v>
      </c>
      <c r="AD52" s="20">
        <f t="shared" ca="1" si="19"/>
        <v>3.6669716981408827E-2</v>
      </c>
      <c r="AE52" s="20">
        <f t="shared" ca="1" si="19"/>
        <v>3.686867799745322E-2</v>
      </c>
      <c r="AF52" s="20">
        <f t="shared" ca="1" si="19"/>
        <v>3.697196078079136E-2</v>
      </c>
      <c r="AG52" s="20">
        <f t="shared" ca="1" si="19"/>
        <v>3.7002780408737487E-2</v>
      </c>
      <c r="AH52" s="20">
        <f t="shared" ca="1" si="19"/>
        <v>3.6979295751048455E-2</v>
      </c>
      <c r="AI52" s="20">
        <f t="shared" ca="1" si="19"/>
        <v>3.6915682557908912E-2</v>
      </c>
      <c r="AJ52" s="20">
        <f t="shared" ca="1" si="19"/>
        <v>3.6822979328925295E-2</v>
      </c>
      <c r="AK52" s="20">
        <f t="shared" ca="1" si="19"/>
        <v>3.6709754351726624E-2</v>
      </c>
      <c r="AL52" s="20">
        <f t="shared" ca="1" si="19"/>
        <v>3.6582631908168232E-2</v>
      </c>
      <c r="AM52" s="20">
        <f t="shared" ca="1" si="20"/>
        <v>3.6446707506173799E-2</v>
      </c>
      <c r="AN52" s="20">
        <f t="shared" ca="1" si="20"/>
        <v>3.6305875614420759E-2</v>
      </c>
      <c r="AO52" s="20">
        <f t="shared" ca="1" si="20"/>
        <v>3.6163088372001453E-2</v>
      </c>
      <c r="AP52" s="20">
        <f t="shared" ca="1" si="20"/>
        <v>3.6020559816697002E-2</v>
      </c>
      <c r="AQ52" s="20">
        <f t="shared" ca="1" si="20"/>
        <v>3.5879927089975297E-2</v>
      </c>
      <c r="AR52" s="20">
        <f t="shared" ca="1" si="20"/>
        <v>3.5742377651764488E-2</v>
      </c>
      <c r="AS52" s="20">
        <f t="shared" ca="1" si="20"/>
        <v>3.560874963079546E-2</v>
      </c>
      <c r="AT52" s="20">
        <f t="shared" ca="1" si="20"/>
        <v>3.5479610935266491E-2</v>
      </c>
      <c r="AU52" s="20">
        <f t="shared" ca="1" si="20"/>
        <v>3.5355321566433104E-2</v>
      </c>
      <c r="AV52" s="20">
        <f t="shared" ca="1" si="20"/>
        <v>3.5236082646079615E-2</v>
      </c>
    </row>
    <row r="53" spans="3:48">
      <c r="C53" s="1">
        <f t="shared" ca="1" si="6"/>
        <v>0.42980858734866656</v>
      </c>
      <c r="D53" s="4">
        <f t="shared" si="4"/>
        <v>8</v>
      </c>
      <c r="E53" s="5">
        <f t="shared" ca="1" si="7"/>
        <v>-4.4215376806475956E-2</v>
      </c>
      <c r="F53" s="5">
        <f t="shared" ca="1" si="5"/>
        <v>-1.2085995794991371E-3</v>
      </c>
      <c r="G53" s="5">
        <f t="shared" ca="1" si="8"/>
        <v>3.4649480019276757E-2</v>
      </c>
      <c r="I53" s="20">
        <f t="shared" ca="1" si="17"/>
        <v>0.96539671818952422</v>
      </c>
      <c r="J53" s="20">
        <f t="shared" ca="1" si="17"/>
        <v>0.93125163657070864</v>
      </c>
      <c r="K53" s="20">
        <f t="shared" ca="1" si="17"/>
        <v>0.89795595090641922</v>
      </c>
      <c r="L53" s="20">
        <f t="shared" ca="1" si="17"/>
        <v>0.86574221746017899</v>
      </c>
      <c r="M53" s="20">
        <f t="shared" ca="1" si="17"/>
        <v>0.83473403290874526</v>
      </c>
      <c r="N53" s="20">
        <f t="shared" ca="1" si="17"/>
        <v>0.80498177325363796</v>
      </c>
      <c r="O53" s="20">
        <f t="shared" ca="1" si="17"/>
        <v>0.77648790356096486</v>
      </c>
      <c r="P53" s="20">
        <f t="shared" ca="1" si="17"/>
        <v>0.74922465034523733</v>
      </c>
      <c r="Q53" s="20">
        <f t="shared" ca="1" si="17"/>
        <v>0.72314616825678779</v>
      </c>
      <c r="R53" s="20">
        <f t="shared" ca="1" si="17"/>
        <v>0.69819678654687456</v>
      </c>
      <c r="S53" s="20">
        <f t="shared" ca="1" si="18"/>
        <v>0.674316493504443</v>
      </c>
      <c r="T53" s="20">
        <f t="shared" ca="1" si="18"/>
        <v>0.65144449402459925</v>
      </c>
      <c r="U53" s="20">
        <f t="shared" ca="1" si="18"/>
        <v>0.62952143662053395</v>
      </c>
      <c r="V53" s="20">
        <f t="shared" ca="1" si="18"/>
        <v>0.60849073224253591</v>
      </c>
      <c r="W53" s="20">
        <f t="shared" ca="1" si="18"/>
        <v>0.58829926193377657</v>
      </c>
      <c r="X53" s="20">
        <f t="shared" ca="1" si="18"/>
        <v>0.56889768075607494</v>
      </c>
      <c r="Y53" s="20">
        <f t="shared" ca="1" si="18"/>
        <v>0.55024046176272912</v>
      </c>
      <c r="Z53" s="20">
        <f t="shared" ca="1" si="18"/>
        <v>0.53228577880337913</v>
      </c>
      <c r="AA53" s="20">
        <f t="shared" ca="1" si="18"/>
        <v>0.5149952952983412</v>
      </c>
      <c r="AB53" s="20">
        <f t="shared" ca="1" si="18"/>
        <v>0.49833390396895361</v>
      </c>
      <c r="AC53" s="20">
        <f t="shared" ca="1" si="19"/>
        <v>3.5216155192303346E-2</v>
      </c>
      <c r="AD53" s="20">
        <f t="shared" ca="1" si="19"/>
        <v>3.5612875949273488E-2</v>
      </c>
      <c r="AE53" s="20">
        <f t="shared" ca="1" si="19"/>
        <v>3.5878088108596058E-2</v>
      </c>
      <c r="AF53" s="20">
        <f t="shared" ca="1" si="19"/>
        <v>3.6042021275407114E-2</v>
      </c>
      <c r="AG53" s="20">
        <f t="shared" ca="1" si="19"/>
        <v>3.6128425666647007E-2</v>
      </c>
      <c r="AH53" s="20">
        <f t="shared" ca="1" si="19"/>
        <v>3.6155940623475422E-2</v>
      </c>
      <c r="AI53" s="20">
        <f t="shared" ca="1" si="19"/>
        <v>3.6139173524556638E-2</v>
      </c>
      <c r="AJ53" s="20">
        <f t="shared" ca="1" si="19"/>
        <v>3.6089550841347816E-2</v>
      </c>
      <c r="AK53" s="20">
        <f t="shared" ca="1" si="19"/>
        <v>3.6015989795584978E-2</v>
      </c>
      <c r="AL53" s="20">
        <f t="shared" ca="1" si="19"/>
        <v>3.5925428680406934E-2</v>
      </c>
      <c r="AM53" s="20">
        <f t="shared" ca="1" si="20"/>
        <v>3.5823245759384434E-2</v>
      </c>
      <c r="AN53" s="20">
        <f t="shared" ca="1" si="20"/>
        <v>3.5713590270509334E-2</v>
      </c>
      <c r="AO53" s="20">
        <f t="shared" ca="1" si="20"/>
        <v>3.5599644051478842E-2</v>
      </c>
      <c r="AP53" s="20">
        <f t="shared" ca="1" si="20"/>
        <v>3.5483828369114657E-2</v>
      </c>
      <c r="AQ53" s="20">
        <f t="shared" ca="1" si="20"/>
        <v>3.5367967445806031E-2</v>
      </c>
      <c r="AR53" s="20">
        <f t="shared" ca="1" si="20"/>
        <v>3.5253417746886492E-2</v>
      </c>
      <c r="AS53" s="20">
        <f t="shared" ca="1" si="20"/>
        <v>3.5141170182125418E-2</v>
      </c>
      <c r="AT53" s="20">
        <f t="shared" ca="1" si="20"/>
        <v>3.5031930870400768E-2</v>
      </c>
      <c r="AU53" s="20">
        <f t="shared" ca="1" si="20"/>
        <v>3.4926184931745E-2</v>
      </c>
      <c r="AV53" s="20">
        <f t="shared" ca="1" si="20"/>
        <v>3.4824246836895716E-2</v>
      </c>
    </row>
    <row r="54" spans="3:48">
      <c r="C54" s="1">
        <f t="shared" ca="1" si="6"/>
        <v>0.98449933778141274</v>
      </c>
      <c r="D54" s="4">
        <f t="shared" si="4"/>
        <v>8.25</v>
      </c>
      <c r="E54" s="5">
        <f t="shared" ca="1" si="7"/>
        <v>0.53926392599822448</v>
      </c>
      <c r="F54" s="5">
        <f t="shared" ca="1" si="5"/>
        <v>1.1482651089281763E-2</v>
      </c>
      <c r="G54" s="5">
        <f t="shared" ca="1" si="8"/>
        <v>4.6132131108558516E-2</v>
      </c>
      <c r="I54" s="20">
        <f t="shared" ca="1" si="17"/>
        <v>0.95509420838810788</v>
      </c>
      <c r="J54" s="20">
        <f t="shared" ca="1" si="17"/>
        <v>0.91273709072176035</v>
      </c>
      <c r="K54" s="20">
        <f t="shared" ca="1" si="17"/>
        <v>0.87295748468890288</v>
      </c>
      <c r="L54" s="20">
        <f t="shared" ca="1" si="17"/>
        <v>0.83568065892173127</v>
      </c>
      <c r="M54" s="20">
        <f t="shared" ca="1" si="17"/>
        <v>0.80077326785792802</v>
      </c>
      <c r="N54" s="20">
        <f t="shared" ca="1" si="17"/>
        <v>0.76807277600351098</v>
      </c>
      <c r="O54" s="20">
        <f t="shared" ca="1" si="17"/>
        <v>0.73740621807163065</v>
      </c>
      <c r="P54" s="20">
        <f t="shared" ca="1" si="17"/>
        <v>0.70860175597418029</v>
      </c>
      <c r="Q54" s="20">
        <f t="shared" ca="1" si="17"/>
        <v>0.68149544484813485</v>
      </c>
      <c r="R54" s="20">
        <f t="shared" ca="1" si="17"/>
        <v>0.65593486447552918</v>
      </c>
      <c r="S54" s="20">
        <f t="shared" ca="1" si="18"/>
        <v>0.63178073999134909</v>
      </c>
      <c r="T54" s="20">
        <f t="shared" ca="1" si="18"/>
        <v>0.60890730644375146</v>
      </c>
      <c r="U54" s="20">
        <f t="shared" ca="1" si="18"/>
        <v>0.58720191844136305</v>
      </c>
      <c r="V54" s="20">
        <f t="shared" ca="1" si="18"/>
        <v>0.56656423384354071</v>
      </c>
      <c r="W54" s="20">
        <f t="shared" ca="1" si="18"/>
        <v>0.54690518413418943</v>
      </c>
      <c r="X54" s="20">
        <f t="shared" ca="1" si="18"/>
        <v>0.52814586612725389</v>
      </c>
      <c r="Y54" s="20">
        <f t="shared" ca="1" si="18"/>
        <v>0.51021643774366587</v>
      </c>
      <c r="Z54" s="20">
        <f t="shared" ca="1" si="18"/>
        <v>0.49305506636031404</v>
      </c>
      <c r="AA54" s="20">
        <f t="shared" ca="1" si="18"/>
        <v>0.47660695591018604</v>
      </c>
      <c r="AB54" s="20">
        <f t="shared" ca="1" si="18"/>
        <v>0.46082346459464668</v>
      </c>
      <c r="AC54" s="20">
        <f t="shared" ca="1" si="19"/>
        <v>4.5945295839939525E-2</v>
      </c>
      <c r="AD54" s="20">
        <f t="shared" ca="1" si="19"/>
        <v>4.5653700912886015E-2</v>
      </c>
      <c r="AE54" s="20">
        <f t="shared" ca="1" si="19"/>
        <v>4.5289474856745573E-2</v>
      </c>
      <c r="AF54" s="20">
        <f t="shared" ca="1" si="19"/>
        <v>4.4877181452189364E-2</v>
      </c>
      <c r="AG54" s="20">
        <f t="shared" ca="1" si="19"/>
        <v>4.4435486666820991E-2</v>
      </c>
      <c r="AH54" s="20">
        <f t="shared" ca="1" si="19"/>
        <v>4.3978464983785291E-2</v>
      </c>
      <c r="AI54" s="20">
        <f t="shared" ca="1" si="19"/>
        <v>4.3516622970099811E-2</v>
      </c>
      <c r="AJ54" s="20">
        <f t="shared" ca="1" si="19"/>
        <v>4.3057701058048924E-2</v>
      </c>
      <c r="AK54" s="20">
        <f t="shared" ca="1" si="19"/>
        <v>4.2607301319610449E-2</v>
      </c>
      <c r="AL54" s="20">
        <f t="shared" ca="1" si="19"/>
        <v>4.216937869258558E-2</v>
      </c>
      <c r="AM54" s="20">
        <f t="shared" ca="1" si="20"/>
        <v>4.1746625038453278E-2</v>
      </c>
      <c r="AN54" s="20">
        <f t="shared" ca="1" si="20"/>
        <v>4.1340769085389167E-2</v>
      </c>
      <c r="AO54" s="20">
        <f t="shared" ca="1" si="20"/>
        <v>4.0952810352827246E-2</v>
      </c>
      <c r="AP54" s="20">
        <f t="shared" ca="1" si="20"/>
        <v>4.0583201267942973E-2</v>
      </c>
      <c r="AQ54" s="20">
        <f t="shared" ca="1" si="20"/>
        <v>4.0231988636533829E-2</v>
      </c>
      <c r="AR54" s="20">
        <f t="shared" ca="1" si="20"/>
        <v>3.9898923239027405E-2</v>
      </c>
      <c r="AS54" s="20">
        <f t="shared" ca="1" si="20"/>
        <v>3.9583544444593603E-2</v>
      </c>
      <c r="AT54" s="20">
        <f t="shared" ca="1" si="20"/>
        <v>3.9285245261433781E-2</v>
      </c>
      <c r="AU54" s="20">
        <f t="shared" ca="1" si="20"/>
        <v>3.9003322082325681E-2</v>
      </c>
      <c r="AV54" s="20">
        <f t="shared" ca="1" si="20"/>
        <v>3.8737012473377637E-2</v>
      </c>
    </row>
    <row r="55" spans="3:48">
      <c r="C55" s="1">
        <f t="shared" ca="1" si="6"/>
        <v>0.80604801955544148</v>
      </c>
      <c r="D55" s="4">
        <f t="shared" si="4"/>
        <v>8.5</v>
      </c>
      <c r="E55" s="5">
        <f t="shared" ca="1" si="7"/>
        <v>0.21585619455472932</v>
      </c>
      <c r="F55" s="5">
        <f t="shared" ca="1" si="5"/>
        <v>4.0770151622887682E-3</v>
      </c>
      <c r="G55" s="5">
        <f t="shared" ca="1" si="8"/>
        <v>5.0209146270847285E-2</v>
      </c>
      <c r="I55" s="20">
        <f t="shared" ca="1" si="17"/>
        <v>0.95146272255985864</v>
      </c>
      <c r="J55" s="20">
        <f t="shared" ca="1" si="17"/>
        <v>0.90625227150125487</v>
      </c>
      <c r="K55" s="20">
        <f t="shared" ca="1" si="17"/>
        <v>0.86424999256139667</v>
      </c>
      <c r="L55" s="20">
        <f t="shared" ca="1" si="17"/>
        <v>0.82526005202873154</v>
      </c>
      <c r="M55" s="20">
        <f t="shared" ca="1" si="17"/>
        <v>0.78905053977190887</v>
      </c>
      <c r="N55" s="20">
        <f t="shared" ca="1" si="17"/>
        <v>0.75537911109565492</v>
      </c>
      <c r="O55" s="20">
        <f t="shared" ca="1" si="17"/>
        <v>0.72400834962641369</v>
      </c>
      <c r="P55" s="20">
        <f t="shared" ca="1" si="17"/>
        <v>0.69471441794604238</v>
      </c>
      <c r="Q55" s="20">
        <f t="shared" ca="1" si="17"/>
        <v>0.66729140837967804</v>
      </c>
      <c r="R55" s="20">
        <f t="shared" ca="1" si="17"/>
        <v>0.64155300310650887</v>
      </c>
      <c r="S55" s="20">
        <f t="shared" ca="1" si="18"/>
        <v>0.61733250378886639</v>
      </c>
      <c r="T55" s="20">
        <f t="shared" ca="1" si="18"/>
        <v>0.59448192053467286</v>
      </c>
      <c r="U55" s="20">
        <f t="shared" ca="1" si="18"/>
        <v>0.57287056259657221</v>
      </c>
      <c r="V55" s="20">
        <f t="shared" ca="1" si="18"/>
        <v>0.55238340933576136</v>
      </c>
      <c r="W55" s="20">
        <f t="shared" ca="1" si="18"/>
        <v>0.53291943231746086</v>
      </c>
      <c r="X55" s="20">
        <f t="shared" ca="1" si="18"/>
        <v>0.51438996930766157</v>
      </c>
      <c r="Y55" s="20">
        <f t="shared" ca="1" si="18"/>
        <v>0.49671720580276507</v>
      </c>
      <c r="Z55" s="20">
        <f t="shared" ca="1" si="18"/>
        <v>0.47983279108439936</v>
      </c>
      <c r="AA55" s="20">
        <f t="shared" ca="1" si="18"/>
        <v>0.46367659799906613</v>
      </c>
      <c r="AB55" s="20">
        <f t="shared" ca="1" si="18"/>
        <v>0.44819562495422749</v>
      </c>
      <c r="AC55" s="20">
        <f t="shared" ca="1" si="19"/>
        <v>4.975477056477657E-2</v>
      </c>
      <c r="AD55" s="20">
        <f t="shared" ca="1" si="19"/>
        <v>4.9218783166125192E-2</v>
      </c>
      <c r="AE55" s="20">
        <f t="shared" ca="1" si="19"/>
        <v>4.8631069595802413E-2</v>
      </c>
      <c r="AF55" s="20">
        <f t="shared" ca="1" si="19"/>
        <v>4.8014181934213439E-2</v>
      </c>
      <c r="AG55" s="20">
        <f t="shared" ca="1" si="19"/>
        <v>4.7384980942004565E-2</v>
      </c>
      <c r="AH55" s="20">
        <f t="shared" ca="1" si="19"/>
        <v>4.6755920309770597E-2</v>
      </c>
      <c r="AI55" s="20">
        <f t="shared" ca="1" si="19"/>
        <v>4.6136050575678982E-2</v>
      </c>
      <c r="AJ55" s="20">
        <f t="shared" ca="1" si="19"/>
        <v>4.5531803411739201E-2</v>
      </c>
      <c r="AK55" s="20">
        <f t="shared" ca="1" si="19"/>
        <v>4.4947603817167343E-2</v>
      </c>
      <c r="AL55" s="20">
        <f t="shared" ca="1" si="19"/>
        <v>4.4386347463498378E-2</v>
      </c>
      <c r="AM55" s="20">
        <f t="shared" ca="1" si="20"/>
        <v>4.3849772381778271E-2</v>
      </c>
      <c r="AN55" s="20">
        <f t="shared" ca="1" si="20"/>
        <v>4.3338747877115238E-2</v>
      </c>
      <c r="AO55" s="20">
        <f t="shared" ca="1" si="20"/>
        <v>4.28534986178589E-2</v>
      </c>
      <c r="AP55" s="20">
        <f t="shared" ca="1" si="20"/>
        <v>4.2393777977540431E-2</v>
      </c>
      <c r="AQ55" s="20">
        <f t="shared" ca="1" si="20"/>
        <v>4.1959001674733841E-2</v>
      </c>
      <c r="AR55" s="20">
        <f t="shared" ca="1" si="20"/>
        <v>4.1548350377472225E-2</v>
      </c>
      <c r="AS55" s="20">
        <f t="shared" ca="1" si="20"/>
        <v>4.1160848072808003E-2</v>
      </c>
      <c r="AT55" s="20">
        <f t="shared" ca="1" si="20"/>
        <v>4.0795421537573449E-2</v>
      </c>
      <c r="AU55" s="20">
        <f t="shared" ca="1" si="20"/>
        <v>4.0450945096593201E-2</v>
      </c>
      <c r="AV55" s="20">
        <f t="shared" ca="1" si="20"/>
        <v>4.0126273951618469E-2</v>
      </c>
    </row>
    <row r="56" spans="3:48">
      <c r="C56" s="1">
        <f t="shared" ca="1" si="6"/>
        <v>0.55468885820491409</v>
      </c>
      <c r="D56" s="4">
        <f t="shared" si="4"/>
        <v>8.75</v>
      </c>
      <c r="E56" s="5">
        <f t="shared" ca="1" si="7"/>
        <v>3.4379209750555854E-2</v>
      </c>
      <c r="F56" s="5">
        <f t="shared" ca="1" si="5"/>
        <v>2.653669157524235E-6</v>
      </c>
      <c r="G56" s="5">
        <f t="shared" ca="1" si="8"/>
        <v>5.0211799940004812E-2</v>
      </c>
      <c r="I56" s="20">
        <f ca="1">vas_bond($G56,rbar,a,sigma,I$20)</f>
        <v>0.95146036338144402</v>
      </c>
      <c r="J56" s="20">
        <f t="shared" ca="1" si="17"/>
        <v>0.90624806566751559</v>
      </c>
      <c r="K56" s="20">
        <f t="shared" ca="1" si="17"/>
        <v>0.86424435336200001</v>
      </c>
      <c r="L56" s="20">
        <f t="shared" ca="1" si="17"/>
        <v>0.82525331190178275</v>
      </c>
      <c r="M56" s="20">
        <f t="shared" ca="1" si="17"/>
        <v>0.78904296578153099</v>
      </c>
      <c r="N56" s="20">
        <f t="shared" ca="1" si="17"/>
        <v>0.75537091767224429</v>
      </c>
      <c r="O56" s="20">
        <f t="shared" ca="1" si="17"/>
        <v>0.72399970890757959</v>
      </c>
      <c r="P56" s="20">
        <f t="shared" ca="1" si="17"/>
        <v>0.69470546809897149</v>
      </c>
      <c r="Q56" s="20">
        <f t="shared" ca="1" si="17"/>
        <v>0.66728226026685622</v>
      </c>
      <c r="R56" s="20">
        <f t="shared" ca="1" si="17"/>
        <v>0.64154374561260763</v>
      </c>
      <c r="S56" s="20">
        <f t="shared" ca="1" si="18"/>
        <v>0.61732320807580676</v>
      </c>
      <c r="T56" s="20">
        <f t="shared" ca="1" si="18"/>
        <v>0.59447264344332573</v>
      </c>
      <c r="U56" s="20">
        <f t="shared" ca="1" si="18"/>
        <v>0.5728613493708824</v>
      </c>
      <c r="V56" s="20">
        <f t="shared" ca="1" si="18"/>
        <v>0.55237429580929742</v>
      </c>
      <c r="W56" s="20">
        <f t="shared" ca="1" si="18"/>
        <v>0.53291044667320298</v>
      </c>
      <c r="X56" s="20">
        <f t="shared" ca="1" si="18"/>
        <v>0.51438113349844605</v>
      </c>
      <c r="Y56" s="20">
        <f t="shared" ca="1" si="18"/>
        <v>0.49670853670126325</v>
      </c>
      <c r="Z56" s="20">
        <f t="shared" ca="1" si="18"/>
        <v>0.47982430141691385</v>
      </c>
      <c r="AA56" s="20">
        <f t="shared" ca="1" si="18"/>
        <v>0.46366829710598478</v>
      </c>
      <c r="AB56" s="20">
        <f t="shared" ca="1" si="18"/>
        <v>0.4481875194110167</v>
      </c>
      <c r="AC56" s="20">
        <f t="shared" ca="1" si="19"/>
        <v>4.9757250095801418E-2</v>
      </c>
      <c r="AD56" s="20">
        <f t="shared" ca="1" si="19"/>
        <v>4.9221103625687608E-2</v>
      </c>
      <c r="AE56" s="20">
        <f t="shared" ca="1" si="19"/>
        <v>4.8633244590631473E-2</v>
      </c>
      <c r="AF56" s="20">
        <f t="shared" ca="1" si="19"/>
        <v>4.8016223761652127E-2</v>
      </c>
      <c r="AG56" s="20">
        <f t="shared" ca="1" si="19"/>
        <v>4.7386900724413213E-2</v>
      </c>
      <c r="AH56" s="20">
        <f t="shared" ca="1" si="19"/>
        <v>4.6757728114559541E-2</v>
      </c>
      <c r="AI56" s="20">
        <f t="shared" ca="1" si="19"/>
        <v>4.6137755522550804E-2</v>
      </c>
      <c r="AJ56" s="20">
        <f t="shared" ca="1" si="19"/>
        <v>4.5533413768543675E-2</v>
      </c>
      <c r="AK56" s="20">
        <f t="shared" ca="1" si="19"/>
        <v>4.494912708561493E-2</v>
      </c>
      <c r="AL56" s="20">
        <f t="shared" ca="1" si="19"/>
        <v>4.4387790455838703E-2</v>
      </c>
      <c r="AM56" s="20">
        <f t="shared" ca="1" si="20"/>
        <v>4.385114128942677E-2</v>
      </c>
      <c r="AN56" s="20">
        <f t="shared" ca="1" si="20"/>
        <v>4.3340048332101533E-2</v>
      </c>
      <c r="AO56" s="20">
        <f t="shared" ca="1" si="20"/>
        <v>4.2854735747873435E-2</v>
      </c>
      <c r="AP56" s="20">
        <f t="shared" ca="1" si="20"/>
        <v>4.239495645526993E-2</v>
      </c>
      <c r="AQ56" s="20">
        <f t="shared" ca="1" si="20"/>
        <v>4.1960125762099641E-2</v>
      </c>
      <c r="AR56" s="20">
        <f t="shared" ca="1" si="20"/>
        <v>4.1549423965317897E-2</v>
      </c>
      <c r="AS56" s="20">
        <f t="shared" ca="1" si="20"/>
        <v>4.1161874716522495E-2</v>
      </c>
      <c r="AT56" s="20">
        <f t="shared" ca="1" si="20"/>
        <v>4.0796404489082554E-2</v>
      </c>
      <c r="AU56" s="20">
        <f t="shared" ca="1" si="20"/>
        <v>4.0451887333104904E-2</v>
      </c>
      <c r="AV56" s="20">
        <f t="shared" ca="1" si="20"/>
        <v>4.0127178201465427E-2</v>
      </c>
    </row>
    <row r="57" spans="3:48">
      <c r="C57" s="1">
        <f t="shared" ca="1" si="6"/>
        <v>0.1876961194129273</v>
      </c>
      <c r="D57" s="4">
        <f t="shared" si="4"/>
        <v>9</v>
      </c>
      <c r="E57" s="5">
        <f t="shared" ca="1" si="7"/>
        <v>-0.22160453913768036</v>
      </c>
      <c r="F57" s="5">
        <f t="shared" ca="1" si="5"/>
        <v>-5.5471337499951182E-3</v>
      </c>
      <c r="G57" s="5">
        <f t="shared" ca="1" si="8"/>
        <v>4.4664666190009694E-2</v>
      </c>
      <c r="I57" s="20">
        <f t="shared" ca="1" si="17"/>
        <v>0.95640470073299688</v>
      </c>
      <c r="J57" s="20">
        <f t="shared" ca="1" si="17"/>
        <v>0.91508255086323431</v>
      </c>
      <c r="K57" s="20">
        <f t="shared" ca="1" si="17"/>
        <v>0.8761130508580407</v>
      </c>
      <c r="L57" s="20">
        <f t="shared" ca="1" si="17"/>
        <v>0.83946352911375877</v>
      </c>
      <c r="M57" s="20">
        <f t="shared" ca="1" si="17"/>
        <v>0.80503519174193716</v>
      </c>
      <c r="N57" s="20">
        <f t="shared" ca="1" si="17"/>
        <v>0.7726937046004374</v>
      </c>
      <c r="O57" s="20">
        <f t="shared" ca="1" si="17"/>
        <v>0.74228903622115117</v>
      </c>
      <c r="P57" s="20">
        <f t="shared" ca="1" si="17"/>
        <v>0.71366796591467929</v>
      </c>
      <c r="Q57" s="20">
        <f t="shared" ca="1" si="17"/>
        <v>0.6866816554438967</v>
      </c>
      <c r="R57" s="20">
        <f t="shared" ca="1" si="17"/>
        <v>0.66118994781345619</v>
      </c>
      <c r="S57" s="20">
        <f t="shared" ca="1" si="18"/>
        <v>0.63706353312652053</v>
      </c>
      <c r="T57" s="20">
        <f t="shared" ca="1" si="18"/>
        <v>0.61418475462211208</v>
      </c>
      <c r="U57" s="20">
        <f t="shared" ca="1" si="18"/>
        <v>0.59244757403980408</v>
      </c>
      <c r="V57" s="20">
        <f t="shared" ca="1" si="18"/>
        <v>0.57175704119424042</v>
      </c>
      <c r="W57" s="20">
        <f t="shared" ca="1" si="18"/>
        <v>0.55202849392830267</v>
      </c>
      <c r="X57" s="20">
        <f t="shared" ca="1" si="18"/>
        <v>0.53318663427028068</v>
      </c>
      <c r="Y57" s="20">
        <f t="shared" ca="1" si="18"/>
        <v>0.51516457260978932</v>
      </c>
      <c r="Z57" s="20">
        <f t="shared" ca="1" si="18"/>
        <v>0.49790289567969009</v>
      </c>
      <c r="AA57" s="20">
        <f t="shared" ca="1" si="18"/>
        <v>0.48134879033380157</v>
      </c>
      <c r="AB57" s="20">
        <f t="shared" ca="1" si="18"/>
        <v>0.46545523959662533</v>
      </c>
      <c r="AC57" s="20">
        <f t="shared" ca="1" si="19"/>
        <v>4.4574128381818394E-2</v>
      </c>
      <c r="AD57" s="20">
        <f t="shared" ca="1" si="19"/>
        <v>4.4370499126745858E-2</v>
      </c>
      <c r="AE57" s="20">
        <f t="shared" ca="1" si="19"/>
        <v>4.4086714293838966E-2</v>
      </c>
      <c r="AF57" s="20">
        <f t="shared" ca="1" si="19"/>
        <v>4.3748061747307818E-2</v>
      </c>
      <c r="AG57" s="20">
        <f t="shared" ca="1" si="19"/>
        <v>4.3373857213899684E-2</v>
      </c>
      <c r="AH57" s="20">
        <f t="shared" ca="1" si="19"/>
        <v>4.2978758558501376E-2</v>
      </c>
      <c r="AI57" s="20">
        <f t="shared" ca="1" si="19"/>
        <v>4.257379642546958E-2</v>
      </c>
      <c r="AJ57" s="20">
        <f t="shared" ca="1" si="19"/>
        <v>4.2167182317151886E-2</v>
      </c>
      <c r="AK57" s="20">
        <f t="shared" ca="1" si="19"/>
        <v>4.1764941976499992E-2</v>
      </c>
      <c r="AL57" s="20">
        <f t="shared" ca="1" si="19"/>
        <v>4.1371411609479013E-2</v>
      </c>
      <c r="AM57" s="20">
        <f t="shared" ca="1" si="20"/>
        <v>4.0989626395569641E-2</v>
      </c>
      <c r="AN57" s="20">
        <f t="shared" ca="1" si="20"/>
        <v>4.0621624400330743E-2</v>
      </c>
      <c r="AO57" s="20">
        <f t="shared" ca="1" si="20"/>
        <v>4.0268684040070155E-2</v>
      </c>
      <c r="AP57" s="20">
        <f t="shared" ca="1" si="20"/>
        <v>3.993150935660255E-2</v>
      </c>
      <c r="AQ57" s="20">
        <f t="shared" ca="1" si="20"/>
        <v>3.9610374306796536E-2</v>
      </c>
      <c r="AR57" s="20">
        <f t="shared" ca="1" si="20"/>
        <v>3.9305234875108903E-2</v>
      </c>
      <c r="AS57" s="20">
        <f t="shared" ca="1" si="20"/>
        <v>3.9015815935336595E-2</v>
      </c>
      <c r="AT57" s="20">
        <f t="shared" ca="1" si="20"/>
        <v>3.8741678309179531E-2</v>
      </c>
      <c r="AU57" s="20">
        <f t="shared" ca="1" si="20"/>
        <v>3.8482270306906499E-2</v>
      </c>
      <c r="AV57" s="20">
        <f t="shared" ca="1" si="20"/>
        <v>3.8236967121359565E-2</v>
      </c>
    </row>
  </sheetData>
  <dataConsolidate/>
  <phoneticPr fontId="3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/>
  <sheetData/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14</vt:i4>
      </vt:variant>
    </vt:vector>
  </HeadingPairs>
  <TitlesOfParts>
    <vt:vector size="18" baseType="lpstr">
      <vt:lpstr>問題5.6-5.7</vt:lpstr>
      <vt:lpstr>問題5.6-5.7解答例</vt:lpstr>
      <vt:lpstr>Sheet2</vt:lpstr>
      <vt:lpstr>Sheet3</vt:lpstr>
      <vt:lpstr>'問題5.6-5.7'!a</vt:lpstr>
      <vt:lpstr>'問題5.6-5.7解答例'!a</vt:lpstr>
      <vt:lpstr>'問題5.6-5.7'!b</vt:lpstr>
      <vt:lpstr>'問題5.6-5.7解答例'!b</vt:lpstr>
      <vt:lpstr>'問題5.6-5.7'!dt</vt:lpstr>
      <vt:lpstr>'問題5.6-5.7解答例'!dt</vt:lpstr>
      <vt:lpstr>'問題5.6-5.7'!lambda</vt:lpstr>
      <vt:lpstr>'問題5.6-5.7解答例'!lambda</vt:lpstr>
      <vt:lpstr>'問題5.6-5.7'!rbar</vt:lpstr>
      <vt:lpstr>rbar</vt:lpstr>
      <vt:lpstr>'問題5.6-5.7'!sigma</vt:lpstr>
      <vt:lpstr>'問題5.6-5.7解答例'!sigma</vt:lpstr>
      <vt:lpstr>'問題5.6-5.7'!uho</vt:lpstr>
      <vt:lpstr>uho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KJ</cp:lastModifiedBy>
  <dcterms:created xsi:type="dcterms:W3CDTF">2010-05-19T05:18:57Z</dcterms:created>
  <dcterms:modified xsi:type="dcterms:W3CDTF">2013-01-27T02:03:23Z</dcterms:modified>
</cp:coreProperties>
</file>