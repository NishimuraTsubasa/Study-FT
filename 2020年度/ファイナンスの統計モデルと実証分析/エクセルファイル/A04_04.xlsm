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40" yWindow="1215" windowWidth="19110" windowHeight="16440" firstSheet="2" activeTab="2"/>
  </bookViews>
  <sheets>
    <sheet name="BOJ" sheetId="19" r:id="rId1"/>
    <sheet name="RussellNomura_return" sheetId="14" r:id="rId2"/>
    <sheet name="インプライドリターン推定ワークシート" sheetId="21" r:id="rId3"/>
    <sheet name="2004年6月（インプライドリターン推定解答例）" sheetId="20" r:id="rId4"/>
    <sheet name="2004年6月（理論株価算出解答例）" sheetId="18" r:id="rId5"/>
  </sheets>
  <definedNames>
    <definedName name="Sheet" localSheetId="3">'2004年6月（インプライドリターン推定解答例）'!$A$11:$C$42</definedName>
    <definedName name="Sheet" localSheetId="4">'2004年6月（理論株価算出解答例）'!$A$11:$C$42</definedName>
    <definedName name="Sheet" localSheetId="2">インプライドリターン推定ワークシート!$A$11:$C$42</definedName>
    <definedName name="Sheet">#REF!</definedName>
    <definedName name="solver_adj" localSheetId="3" hidden="1">'2004年6月（インプライドリターン推定解答例）'!$T$2</definedName>
    <definedName name="solver_adj" localSheetId="4" hidden="1">'2004年6月（理論株価算出解答例）'!$T$2</definedName>
    <definedName name="solver_adj" localSheetId="2" hidden="1">インプライドリターン推定ワークシート!$T$2</definedName>
    <definedName name="solver_cvg" localSheetId="3" hidden="1">0.0001</definedName>
    <definedName name="solver_cvg" localSheetId="4" hidden="1">0.0001</definedName>
    <definedName name="solver_cvg" localSheetId="2" hidden="1">0.0001</definedName>
    <definedName name="solver_drv" localSheetId="3" hidden="1">1</definedName>
    <definedName name="solver_drv" localSheetId="4" hidden="1">1</definedName>
    <definedName name="solver_drv" localSheetId="2" hidden="1">1</definedName>
    <definedName name="solver_est" localSheetId="3" hidden="1">1</definedName>
    <definedName name="solver_est" localSheetId="4" hidden="1">1</definedName>
    <definedName name="solver_est" localSheetId="2" hidden="1">1</definedName>
    <definedName name="solver_itr" localSheetId="3" hidden="1">100</definedName>
    <definedName name="solver_itr" localSheetId="4" hidden="1">100</definedName>
    <definedName name="solver_itr" localSheetId="2" hidden="1">100</definedName>
    <definedName name="solver_lin" localSheetId="3" hidden="1">2</definedName>
    <definedName name="solver_lin" localSheetId="4" hidden="1">2</definedName>
    <definedName name="solver_lin" localSheetId="2" hidden="1">2</definedName>
    <definedName name="solver_neg" localSheetId="3" hidden="1">2</definedName>
    <definedName name="solver_neg" localSheetId="4" hidden="1">2</definedName>
    <definedName name="solver_neg" localSheetId="2" hidden="1">2</definedName>
    <definedName name="solver_num" localSheetId="3" hidden="1">0</definedName>
    <definedName name="solver_num" localSheetId="4" hidden="1">0</definedName>
    <definedName name="solver_num" localSheetId="2" hidden="1">0</definedName>
    <definedName name="solver_nwt" localSheetId="3" hidden="1">1</definedName>
    <definedName name="solver_nwt" localSheetId="4" hidden="1">1</definedName>
    <definedName name="solver_nwt" localSheetId="2" hidden="1">1</definedName>
    <definedName name="solver_opt" localSheetId="3" hidden="1">'2004年6月（インプライドリターン推定解答例）'!#REF!</definedName>
    <definedName name="solver_opt" localSheetId="4" hidden="1">'2004年6月（理論株価算出解答例）'!#REF!</definedName>
    <definedName name="solver_opt" localSheetId="2" hidden="1">インプライドリターン推定ワークシート!#REF!</definedName>
    <definedName name="solver_pre" localSheetId="3" hidden="1">0.000001</definedName>
    <definedName name="solver_pre" localSheetId="4" hidden="1">0.000001</definedName>
    <definedName name="solver_pre" localSheetId="2" hidden="1">0.000001</definedName>
    <definedName name="solver_scl" localSheetId="3" hidden="1">1</definedName>
    <definedName name="solver_scl" localSheetId="4" hidden="1">1</definedName>
    <definedName name="solver_scl" localSheetId="2" hidden="1">1</definedName>
    <definedName name="solver_sho" localSheetId="3" hidden="1">2</definedName>
    <definedName name="solver_sho" localSheetId="4" hidden="1">2</definedName>
    <definedName name="solver_sho" localSheetId="2" hidden="1">2</definedName>
    <definedName name="solver_tim" localSheetId="3" hidden="1">100</definedName>
    <definedName name="solver_tim" localSheetId="4" hidden="1">100</definedName>
    <definedName name="solver_tim" localSheetId="2" hidden="1">100</definedName>
    <definedName name="solver_tol" localSheetId="3" hidden="1">0.05</definedName>
    <definedName name="solver_tol" localSheetId="4" hidden="1">0.05</definedName>
    <definedName name="solver_tol" localSheetId="2" hidden="1">0.05</definedName>
    <definedName name="solver_typ" localSheetId="3" hidden="1">2</definedName>
    <definedName name="solver_typ" localSheetId="4" hidden="1">2</definedName>
    <definedName name="solver_typ" localSheetId="2" hidden="1">2</definedName>
    <definedName name="solver_val" localSheetId="3" hidden="1">0</definedName>
    <definedName name="solver_val" localSheetId="4" hidden="1">0</definedName>
    <definedName name="solver_val" localSheetId="2" hidden="1">0</definedName>
  </definedNames>
  <calcPr calcId="145621"/>
</workbook>
</file>

<file path=xl/calcChain.xml><?xml version="1.0" encoding="utf-8"?>
<calcChain xmlns="http://schemas.openxmlformats.org/spreadsheetml/2006/main">
  <c r="AA46" i="21" l="1"/>
  <c r="Q46" i="21"/>
  <c r="P46" i="21"/>
  <c r="G46" i="21"/>
  <c r="Z46" i="21" s="1"/>
  <c r="F46" i="21"/>
  <c r="AA45" i="21"/>
  <c r="P45" i="21"/>
  <c r="F45" i="21"/>
  <c r="Q45" i="21" s="1"/>
  <c r="AA44" i="21"/>
  <c r="P44" i="21"/>
  <c r="F44" i="21"/>
  <c r="Q44" i="21" s="1"/>
  <c r="AA43" i="21"/>
  <c r="R43" i="21"/>
  <c r="Q43" i="21"/>
  <c r="P43" i="21"/>
  <c r="G43" i="21"/>
  <c r="Z43" i="21" s="1"/>
  <c r="F43" i="21"/>
  <c r="AA42" i="21"/>
  <c r="P42" i="21"/>
  <c r="F42" i="21"/>
  <c r="AA41" i="21"/>
  <c r="Q41" i="21"/>
  <c r="P41" i="21"/>
  <c r="F41" i="21"/>
  <c r="G41" i="21" s="1"/>
  <c r="AA40" i="21"/>
  <c r="R40" i="21"/>
  <c r="Q40" i="21"/>
  <c r="Y40" i="21" s="1"/>
  <c r="P40" i="21"/>
  <c r="F40" i="21"/>
  <c r="G40" i="21" s="1"/>
  <c r="Z40" i="21" s="1"/>
  <c r="AA39" i="21"/>
  <c r="P39" i="21"/>
  <c r="G39" i="21"/>
  <c r="R39" i="21" s="1"/>
  <c r="F39" i="21"/>
  <c r="Q39" i="21" s="1"/>
  <c r="AA38" i="21"/>
  <c r="Q38" i="21"/>
  <c r="P38" i="21"/>
  <c r="G38" i="21"/>
  <c r="Z38" i="21" s="1"/>
  <c r="F38" i="21"/>
  <c r="AA37" i="21"/>
  <c r="P37" i="21"/>
  <c r="F37" i="21"/>
  <c r="Q37" i="21" s="1"/>
  <c r="AA36" i="21"/>
  <c r="P36" i="21"/>
  <c r="F36" i="21"/>
  <c r="Q36" i="21" s="1"/>
  <c r="AA35" i="21"/>
  <c r="X35" i="21"/>
  <c r="R35" i="21"/>
  <c r="Q35" i="21"/>
  <c r="Y35" i="21" s="1"/>
  <c r="P35" i="21"/>
  <c r="G35" i="21"/>
  <c r="Z35" i="21" s="1"/>
  <c r="F35" i="21"/>
  <c r="AA34" i="21"/>
  <c r="P34" i="21"/>
  <c r="F34" i="21"/>
  <c r="AA33" i="21"/>
  <c r="Q33" i="21"/>
  <c r="P33" i="21"/>
  <c r="F33" i="21"/>
  <c r="G33" i="21" s="1"/>
  <c r="AA32" i="21"/>
  <c r="R32" i="21"/>
  <c r="Y32" i="21" s="1"/>
  <c r="Q32" i="21"/>
  <c r="P32" i="21"/>
  <c r="F32" i="21"/>
  <c r="G32" i="21" s="1"/>
  <c r="Z32" i="21" s="1"/>
  <c r="AA31" i="21"/>
  <c r="P31" i="21"/>
  <c r="F31" i="21"/>
  <c r="Q31" i="21" s="1"/>
  <c r="AA30" i="21"/>
  <c r="Z30" i="21"/>
  <c r="R30" i="21"/>
  <c r="Q30" i="21"/>
  <c r="Y30" i="21" s="1"/>
  <c r="P30" i="21"/>
  <c r="G30" i="21"/>
  <c r="F30" i="21"/>
  <c r="AA29" i="21"/>
  <c r="P29" i="21"/>
  <c r="F29" i="21"/>
  <c r="AA28" i="21"/>
  <c r="Q28" i="21"/>
  <c r="P28" i="21"/>
  <c r="F28" i="21"/>
  <c r="G28" i="21" s="1"/>
  <c r="AA27" i="21"/>
  <c r="R27" i="21"/>
  <c r="Q27" i="21"/>
  <c r="Y27" i="21" s="1"/>
  <c r="P27" i="21"/>
  <c r="G27" i="21"/>
  <c r="Z27" i="21" s="1"/>
  <c r="F27" i="21"/>
  <c r="AA26" i="21"/>
  <c r="P26" i="21"/>
  <c r="F26" i="21"/>
  <c r="Q26" i="21" s="1"/>
  <c r="AA25" i="21"/>
  <c r="P25" i="21"/>
  <c r="F25" i="21"/>
  <c r="Q25" i="21" s="1"/>
  <c r="AA24" i="21"/>
  <c r="Q24" i="21"/>
  <c r="P24" i="21"/>
  <c r="F24" i="21"/>
  <c r="G24" i="21" s="1"/>
  <c r="Z24" i="21" s="1"/>
  <c r="AA23" i="21"/>
  <c r="P23" i="21"/>
  <c r="F23" i="21"/>
  <c r="Q23" i="21" s="1"/>
  <c r="AA22" i="21"/>
  <c r="Z22" i="21"/>
  <c r="R22" i="21"/>
  <c r="Q22" i="21"/>
  <c r="P22" i="21"/>
  <c r="G22" i="21"/>
  <c r="F22" i="21"/>
  <c r="AA21" i="21"/>
  <c r="P21" i="21"/>
  <c r="F21" i="21"/>
  <c r="AA20" i="21"/>
  <c r="P20" i="21"/>
  <c r="F20" i="21"/>
  <c r="Q20" i="21" s="1"/>
  <c r="AA19" i="21"/>
  <c r="R19" i="21"/>
  <c r="Y19" i="21" s="1"/>
  <c r="Q19" i="21"/>
  <c r="P19" i="21"/>
  <c r="G19" i="21"/>
  <c r="Z19" i="21" s="1"/>
  <c r="F19" i="21"/>
  <c r="AA18" i="21"/>
  <c r="P18" i="21"/>
  <c r="F18" i="21"/>
  <c r="Q18" i="21" s="1"/>
  <c r="AA17" i="21"/>
  <c r="P17" i="21"/>
  <c r="F17" i="21"/>
  <c r="Q17" i="21" s="1"/>
  <c r="AA16" i="21"/>
  <c r="Q16" i="21"/>
  <c r="P16" i="21"/>
  <c r="F16" i="21"/>
  <c r="G16" i="21" s="1"/>
  <c r="Z16" i="21" s="1"/>
  <c r="AA15" i="21"/>
  <c r="P15" i="21"/>
  <c r="F15" i="21"/>
  <c r="Q15" i="21" s="1"/>
  <c r="AA14" i="21"/>
  <c r="P14" i="21"/>
  <c r="F14" i="21"/>
  <c r="Q14" i="21" s="1"/>
  <c r="AA13" i="21"/>
  <c r="P13" i="21"/>
  <c r="F13" i="21"/>
  <c r="G13" i="21" s="1"/>
  <c r="Z13" i="21" s="1"/>
  <c r="AA12" i="21"/>
  <c r="P12" i="21"/>
  <c r="F12" i="21"/>
  <c r="G12" i="21" s="1"/>
  <c r="X32" i="21" l="1"/>
  <c r="R33" i="21"/>
  <c r="Y33" i="21" s="1"/>
  <c r="Z33" i="21"/>
  <c r="R28" i="21"/>
  <c r="Y28" i="21" s="1"/>
  <c r="Z28" i="21"/>
  <c r="R12" i="21"/>
  <c r="Z12" i="21"/>
  <c r="X39" i="21"/>
  <c r="Y39" i="21"/>
  <c r="R41" i="21"/>
  <c r="Z41" i="21"/>
  <c r="X19" i="21"/>
  <c r="X27" i="21"/>
  <c r="X22" i="21"/>
  <c r="X30" i="21"/>
  <c r="G36" i="21"/>
  <c r="X40" i="21"/>
  <c r="Q12" i="21"/>
  <c r="G14" i="21"/>
  <c r="G17" i="21"/>
  <c r="Q21" i="21"/>
  <c r="G21" i="21"/>
  <c r="G20" i="21"/>
  <c r="G23" i="21"/>
  <c r="G25" i="21"/>
  <c r="G26" i="21"/>
  <c r="Q29" i="21"/>
  <c r="G29" i="21"/>
  <c r="Y41" i="21"/>
  <c r="X41" i="21"/>
  <c r="Q13" i="21"/>
  <c r="G15" i="21"/>
  <c r="G18" i="21"/>
  <c r="Q34" i="21"/>
  <c r="G34" i="21"/>
  <c r="R38" i="21"/>
  <c r="Y38" i="21" s="1"/>
  <c r="G44" i="21"/>
  <c r="R13" i="21"/>
  <c r="Z39" i="21"/>
  <c r="Q42" i="21"/>
  <c r="G42" i="21"/>
  <c r="R46" i="21"/>
  <c r="Y46" i="21" s="1"/>
  <c r="R16" i="21"/>
  <c r="Y16" i="21" s="1"/>
  <c r="G31" i="21"/>
  <c r="Y22" i="21"/>
  <c r="R24" i="21"/>
  <c r="Y24" i="21" s="1"/>
  <c r="Y43" i="21"/>
  <c r="G37" i="21"/>
  <c r="G45" i="21"/>
  <c r="T22" i="18"/>
  <c r="AA46" i="20"/>
  <c r="P46" i="20"/>
  <c r="F46" i="20"/>
  <c r="Q46" i="20" s="1"/>
  <c r="U46" i="20" s="1"/>
  <c r="AA31" i="20"/>
  <c r="P31" i="20"/>
  <c r="F31" i="20"/>
  <c r="Q31" i="20" s="1"/>
  <c r="AA21" i="20"/>
  <c r="P21" i="20"/>
  <c r="F21" i="20"/>
  <c r="Q21" i="20" s="1"/>
  <c r="AA20" i="20"/>
  <c r="P20" i="20"/>
  <c r="F20" i="20"/>
  <c r="Q20" i="20" s="1"/>
  <c r="AA16" i="20"/>
  <c r="P16" i="20"/>
  <c r="F16" i="20"/>
  <c r="Q16" i="20" s="1"/>
  <c r="AA13" i="20"/>
  <c r="P13" i="20"/>
  <c r="F13" i="20"/>
  <c r="G13" i="20" s="1"/>
  <c r="AA45" i="20"/>
  <c r="P45" i="20"/>
  <c r="F45" i="20"/>
  <c r="G45" i="20" s="1"/>
  <c r="AA44" i="20"/>
  <c r="P44" i="20"/>
  <c r="F44" i="20"/>
  <c r="Q44" i="20" s="1"/>
  <c r="AA43" i="20"/>
  <c r="P43" i="20"/>
  <c r="F43" i="20"/>
  <c r="G43" i="20" s="1"/>
  <c r="AA42" i="20"/>
  <c r="P42" i="20"/>
  <c r="F42" i="20"/>
  <c r="Q42" i="20" s="1"/>
  <c r="AA41" i="20"/>
  <c r="P41" i="20"/>
  <c r="F41" i="20"/>
  <c r="G41" i="20" s="1"/>
  <c r="AA40" i="20"/>
  <c r="P40" i="20"/>
  <c r="F40" i="20"/>
  <c r="Q40" i="20" s="1"/>
  <c r="AA39" i="20"/>
  <c r="P39" i="20"/>
  <c r="F39" i="20"/>
  <c r="G39" i="20" s="1"/>
  <c r="AA38" i="20"/>
  <c r="P38" i="20"/>
  <c r="F38" i="20"/>
  <c r="Q38" i="20" s="1"/>
  <c r="AA37" i="20"/>
  <c r="P37" i="20"/>
  <c r="F37" i="20"/>
  <c r="G37" i="20" s="1"/>
  <c r="AA36" i="20"/>
  <c r="P36" i="20"/>
  <c r="F36" i="20"/>
  <c r="Q36" i="20" s="1"/>
  <c r="AA35" i="20"/>
  <c r="P35" i="20"/>
  <c r="F35" i="20"/>
  <c r="Q35" i="20" s="1"/>
  <c r="AA34" i="20"/>
  <c r="P34" i="20"/>
  <c r="F34" i="20"/>
  <c r="Q34" i="20" s="1"/>
  <c r="U34" i="20" s="1"/>
  <c r="AA33" i="20"/>
  <c r="P33" i="20"/>
  <c r="F33" i="20"/>
  <c r="G33" i="20" s="1"/>
  <c r="AA32" i="20"/>
  <c r="P32" i="20"/>
  <c r="F32" i="20"/>
  <c r="Q32" i="20" s="1"/>
  <c r="AA30" i="20"/>
  <c r="P30" i="20"/>
  <c r="F30" i="20"/>
  <c r="G30" i="20" s="1"/>
  <c r="AA29" i="20"/>
  <c r="P29" i="20"/>
  <c r="F29" i="20"/>
  <c r="G29" i="20" s="1"/>
  <c r="R29" i="20" s="1"/>
  <c r="AA28" i="20"/>
  <c r="P28" i="20"/>
  <c r="F28" i="20"/>
  <c r="Q28" i="20" s="1"/>
  <c r="AA27" i="20"/>
  <c r="P27" i="20"/>
  <c r="F27" i="20"/>
  <c r="Q27" i="20" s="1"/>
  <c r="AA26" i="20"/>
  <c r="P26" i="20"/>
  <c r="F26" i="20"/>
  <c r="G26" i="20" s="1"/>
  <c r="AA25" i="20"/>
  <c r="P25" i="20"/>
  <c r="F25" i="20"/>
  <c r="G25" i="20" s="1"/>
  <c r="AA24" i="20"/>
  <c r="P24" i="20"/>
  <c r="F24" i="20"/>
  <c r="Q24" i="20" s="1"/>
  <c r="AA23" i="20"/>
  <c r="P23" i="20"/>
  <c r="F23" i="20"/>
  <c r="G23" i="20" s="1"/>
  <c r="AA22" i="20"/>
  <c r="P22" i="20"/>
  <c r="F22" i="20"/>
  <c r="G22" i="20" s="1"/>
  <c r="R22" i="20" s="1"/>
  <c r="AA19" i="20"/>
  <c r="P19" i="20"/>
  <c r="F19" i="20"/>
  <c r="Q19" i="20" s="1"/>
  <c r="AA18" i="20"/>
  <c r="P18" i="20"/>
  <c r="F18" i="20"/>
  <c r="G18" i="20" s="1"/>
  <c r="AA17" i="20"/>
  <c r="P17" i="20"/>
  <c r="F17" i="20"/>
  <c r="Q17" i="20" s="1"/>
  <c r="AA15" i="20"/>
  <c r="P15" i="20"/>
  <c r="F15" i="20"/>
  <c r="Q15" i="20" s="1"/>
  <c r="AA14" i="20"/>
  <c r="P14" i="20"/>
  <c r="F14" i="20"/>
  <c r="G14" i="20" s="1"/>
  <c r="AA12" i="20"/>
  <c r="P12" i="20"/>
  <c r="F12" i="20"/>
  <c r="Q12" i="20" s="1"/>
  <c r="X16" i="21" l="1"/>
  <c r="Y12" i="21"/>
  <c r="X43" i="21"/>
  <c r="X45" i="21"/>
  <c r="R23" i="21"/>
  <c r="Z23" i="21"/>
  <c r="X25" i="21"/>
  <c r="Y34" i="21"/>
  <c r="R44" i="21"/>
  <c r="Y44" i="21" s="1"/>
  <c r="Z44" i="21"/>
  <c r="R25" i="21"/>
  <c r="Y25" i="21" s="1"/>
  <c r="Z25" i="21"/>
  <c r="X44" i="21"/>
  <c r="R42" i="21"/>
  <c r="Z42" i="21"/>
  <c r="R34" i="21"/>
  <c r="Z34" i="21"/>
  <c r="R20" i="21"/>
  <c r="Y20" i="21" s="1"/>
  <c r="Z20" i="21"/>
  <c r="X28" i="21"/>
  <c r="Y42" i="21"/>
  <c r="X33" i="21"/>
  <c r="R31" i="21"/>
  <c r="Z31" i="21"/>
  <c r="R18" i="21"/>
  <c r="Y18" i="21" s="1"/>
  <c r="Z18" i="21"/>
  <c r="Z21" i="21"/>
  <c r="R21" i="21"/>
  <c r="X38" i="21"/>
  <c r="R15" i="21"/>
  <c r="Z15" i="21"/>
  <c r="Z29" i="21"/>
  <c r="R29" i="21"/>
  <c r="Y21" i="21"/>
  <c r="Z45" i="21"/>
  <c r="R45" i="21"/>
  <c r="Y45" i="21" s="1"/>
  <c r="X46" i="21"/>
  <c r="Y13" i="21"/>
  <c r="X13" i="21"/>
  <c r="Y29" i="21"/>
  <c r="X29" i="21"/>
  <c r="R17" i="21"/>
  <c r="Y17" i="21" s="1"/>
  <c r="Z17" i="21"/>
  <c r="R36" i="21"/>
  <c r="Y36" i="21" s="1"/>
  <c r="Z36" i="21"/>
  <c r="X24" i="21"/>
  <c r="Z37" i="21"/>
  <c r="R37" i="21"/>
  <c r="Y37" i="21" s="1"/>
  <c r="X36" i="21"/>
  <c r="R26" i="21"/>
  <c r="Z26" i="21"/>
  <c r="R14" i="21"/>
  <c r="Y14" i="21" s="1"/>
  <c r="Z14" i="21"/>
  <c r="Z13" i="20"/>
  <c r="R13" i="20"/>
  <c r="Q26" i="20"/>
  <c r="U26" i="20" s="1"/>
  <c r="Q13" i="20"/>
  <c r="V13" i="20" s="1"/>
  <c r="G46" i="20"/>
  <c r="Z46" i="20" s="1"/>
  <c r="Q22" i="20"/>
  <c r="V22" i="20" s="1"/>
  <c r="G34" i="20"/>
  <c r="Z34" i="20" s="1"/>
  <c r="G12" i="20"/>
  <c r="R12" i="20" s="1"/>
  <c r="V12" i="20" s="1"/>
  <c r="Z45" i="20"/>
  <c r="R45" i="20"/>
  <c r="Q18" i="20"/>
  <c r="U18" i="20" s="1"/>
  <c r="G36" i="20"/>
  <c r="R36" i="20" s="1"/>
  <c r="V36" i="20" s="1"/>
  <c r="Q29" i="20"/>
  <c r="U29" i="20" s="1"/>
  <c r="G42" i="20"/>
  <c r="R42" i="20" s="1"/>
  <c r="V42" i="20" s="1"/>
  <c r="G27" i="20"/>
  <c r="Q45" i="20"/>
  <c r="U45" i="20" s="1"/>
  <c r="Q33" i="20"/>
  <c r="U33" i="20" s="1"/>
  <c r="G40" i="20"/>
  <c r="G20" i="20"/>
  <c r="Z20" i="20" s="1"/>
  <c r="G17" i="20"/>
  <c r="Q25" i="20"/>
  <c r="U25" i="20" s="1"/>
  <c r="R34" i="20"/>
  <c r="V34" i="20" s="1"/>
  <c r="X34" i="20" s="1"/>
  <c r="R46" i="20"/>
  <c r="V46" i="20" s="1"/>
  <c r="Q39" i="20"/>
  <c r="U39" i="20" s="1"/>
  <c r="R30" i="20"/>
  <c r="Z30" i="20"/>
  <c r="R43" i="20"/>
  <c r="Z43" i="20"/>
  <c r="U31" i="20"/>
  <c r="R23" i="20"/>
  <c r="Z23" i="20"/>
  <c r="U15" i="20"/>
  <c r="U28" i="20"/>
  <c r="U32" i="20"/>
  <c r="U24" i="20"/>
  <c r="R37" i="20"/>
  <c r="Z37" i="20"/>
  <c r="Y13" i="20"/>
  <c r="U19" i="20"/>
  <c r="R41" i="20"/>
  <c r="Z41" i="20"/>
  <c r="U17" i="20"/>
  <c r="Z33" i="20"/>
  <c r="R33" i="20"/>
  <c r="U35" i="20"/>
  <c r="U21" i="20"/>
  <c r="Z26" i="20"/>
  <c r="R26" i="20"/>
  <c r="V26" i="20" s="1"/>
  <c r="R14" i="20"/>
  <c r="Z14" i="20"/>
  <c r="Z25" i="20"/>
  <c r="R25" i="20"/>
  <c r="Z39" i="20"/>
  <c r="R39" i="20"/>
  <c r="U44" i="20"/>
  <c r="R18" i="20"/>
  <c r="Z18" i="20"/>
  <c r="U38" i="20"/>
  <c r="U16" i="20"/>
  <c r="Q41" i="20"/>
  <c r="U27" i="20"/>
  <c r="U40" i="20"/>
  <c r="U13" i="20"/>
  <c r="X13" i="20" s="1"/>
  <c r="G21" i="20"/>
  <c r="G19" i="20"/>
  <c r="G28" i="20"/>
  <c r="G35" i="20"/>
  <c r="G16" i="20"/>
  <c r="Z22" i="20"/>
  <c r="Z29" i="20"/>
  <c r="Z42" i="20"/>
  <c r="Q14" i="20"/>
  <c r="G15" i="20"/>
  <c r="Q23" i="20"/>
  <c r="G24" i="20"/>
  <c r="Q30" i="20"/>
  <c r="G32" i="20"/>
  <c r="Q37" i="20"/>
  <c r="G38" i="20"/>
  <c r="Q43" i="20"/>
  <c r="G44" i="20"/>
  <c r="G31" i="20"/>
  <c r="U12" i="20"/>
  <c r="U36" i="20"/>
  <c r="U42" i="20"/>
  <c r="U20" i="20"/>
  <c r="X17" i="21" l="1"/>
  <c r="X20" i="21"/>
  <c r="X21" i="21"/>
  <c r="X42" i="21"/>
  <c r="X23" i="21"/>
  <c r="Y23" i="21"/>
  <c r="Y15" i="21"/>
  <c r="X15" i="21"/>
  <c r="Y31" i="21"/>
  <c r="X31" i="21"/>
  <c r="X18" i="21"/>
  <c r="X37" i="21"/>
  <c r="Y26" i="21"/>
  <c r="X26" i="21"/>
  <c r="X14" i="21"/>
  <c r="X34" i="21"/>
  <c r="X12" i="21"/>
  <c r="R20" i="20"/>
  <c r="V20" i="20" s="1"/>
  <c r="U22" i="20"/>
  <c r="V18" i="20"/>
  <c r="X18" i="20" s="1"/>
  <c r="X12" i="20"/>
  <c r="V39" i="20"/>
  <c r="X39" i="20" s="1"/>
  <c r="Z36" i="20"/>
  <c r="V25" i="20"/>
  <c r="Y25" i="20" s="1"/>
  <c r="Z12" i="20"/>
  <c r="Y36" i="20"/>
  <c r="Z27" i="20"/>
  <c r="R27" i="20"/>
  <c r="V27" i="20" s="1"/>
  <c r="X27" i="20"/>
  <c r="X46" i="20"/>
  <c r="V45" i="20"/>
  <c r="V33" i="20"/>
  <c r="V29" i="20"/>
  <c r="X29" i="20" s="1"/>
  <c r="Y46" i="20"/>
  <c r="Z17" i="20"/>
  <c r="R17" i="20"/>
  <c r="V17" i="20" s="1"/>
  <c r="Y17" i="20" s="1"/>
  <c r="X36" i="20"/>
  <c r="X22" i="20"/>
  <c r="Z40" i="20"/>
  <c r="R40" i="20"/>
  <c r="V40" i="20" s="1"/>
  <c r="Y20" i="20"/>
  <c r="R21" i="20"/>
  <c r="V21" i="20" s="1"/>
  <c r="X21" i="20" s="1"/>
  <c r="Z21" i="20"/>
  <c r="Y26" i="20"/>
  <c r="Z38" i="20"/>
  <c r="R38" i="20"/>
  <c r="V38" i="20" s="1"/>
  <c r="V41" i="20"/>
  <c r="U41" i="20"/>
  <c r="Z31" i="20"/>
  <c r="R31" i="20"/>
  <c r="V31" i="20" s="1"/>
  <c r="V37" i="20"/>
  <c r="U37" i="20"/>
  <c r="Z16" i="20"/>
  <c r="R16" i="20"/>
  <c r="V16" i="20" s="1"/>
  <c r="X16" i="20" s="1"/>
  <c r="X26" i="20"/>
  <c r="V14" i="20"/>
  <c r="U14" i="20"/>
  <c r="Y22" i="20"/>
  <c r="R32" i="20"/>
  <c r="V32" i="20" s="1"/>
  <c r="Z32" i="20"/>
  <c r="R35" i="20"/>
  <c r="V35" i="20" s="1"/>
  <c r="X35" i="20" s="1"/>
  <c r="Z35" i="20"/>
  <c r="X28" i="20"/>
  <c r="X17" i="20"/>
  <c r="Y29" i="20"/>
  <c r="X20" i="20"/>
  <c r="V30" i="20"/>
  <c r="U30" i="20"/>
  <c r="R28" i="20"/>
  <c r="V28" i="20" s="1"/>
  <c r="Z28" i="20"/>
  <c r="Y12" i="20"/>
  <c r="Y18" i="20"/>
  <c r="Z44" i="20"/>
  <c r="R44" i="20"/>
  <c r="V44" i="20" s="1"/>
  <c r="V43" i="20"/>
  <c r="U43" i="20"/>
  <c r="X43" i="20" s="1"/>
  <c r="X42" i="20"/>
  <c r="Z24" i="20"/>
  <c r="R24" i="20"/>
  <c r="V24" i="20" s="1"/>
  <c r="X24" i="20" s="1"/>
  <c r="R19" i="20"/>
  <c r="V19" i="20" s="1"/>
  <c r="X19" i="20" s="1"/>
  <c r="Z19" i="20"/>
  <c r="Z15" i="20"/>
  <c r="R15" i="20"/>
  <c r="V15" i="20" s="1"/>
  <c r="Y34" i="20"/>
  <c r="Y42" i="20"/>
  <c r="V23" i="20"/>
  <c r="U23" i="20"/>
  <c r="Y39" i="20"/>
  <c r="X41" i="20" l="1"/>
  <c r="X37" i="20"/>
  <c r="X25" i="20"/>
  <c r="Y45" i="20"/>
  <c r="Y33" i="20"/>
  <c r="Y40" i="20"/>
  <c r="X45" i="20"/>
  <c r="X33" i="20"/>
  <c r="X40" i="20"/>
  <c r="Y27" i="20"/>
  <c r="X15" i="20"/>
  <c r="Y44" i="20"/>
  <c r="Y28" i="20"/>
  <c r="Y32" i="20"/>
  <c r="Y16" i="20"/>
  <c r="X23" i="20"/>
  <c r="X30" i="20"/>
  <c r="Y37" i="20"/>
  <c r="X44" i="20"/>
  <c r="Y30" i="20"/>
  <c r="Y31" i="20"/>
  <c r="Y21" i="20"/>
  <c r="Y14" i="20"/>
  <c r="Y38" i="20"/>
  <c r="Y35" i="20"/>
  <c r="Y23" i="20"/>
  <c r="Y41" i="20"/>
  <c r="Y19" i="20"/>
  <c r="X31" i="20"/>
  <c r="X38" i="20"/>
  <c r="Y43" i="20"/>
  <c r="Y15" i="20"/>
  <c r="Y24" i="20"/>
  <c r="X14" i="20"/>
  <c r="X32" i="20"/>
  <c r="T23" i="18" l="1"/>
  <c r="T24" i="18"/>
  <c r="T25" i="18"/>
  <c r="T27" i="18"/>
  <c r="T28" i="18"/>
  <c r="T35" i="18"/>
  <c r="T36" i="18"/>
  <c r="T37" i="18"/>
  <c r="T38" i="18"/>
  <c r="T41" i="18"/>
  <c r="T20" i="18"/>
  <c r="T21" i="18"/>
  <c r="T31" i="18"/>
  <c r="T12" i="18"/>
  <c r="T34" i="18"/>
  <c r="T13" i="18"/>
  <c r="T16" i="18"/>
  <c r="F27" i="18"/>
  <c r="G27" i="18" s="1"/>
  <c r="F12" i="18"/>
  <c r="G12" i="18" s="1"/>
  <c r="T14" i="18"/>
  <c r="T15" i="18"/>
  <c r="T17" i="18"/>
  <c r="T18" i="18"/>
  <c r="T19" i="18"/>
  <c r="T26" i="18"/>
  <c r="T29" i="18"/>
  <c r="T30" i="18"/>
  <c r="T32" i="18"/>
  <c r="T33" i="18"/>
  <c r="T39" i="18"/>
  <c r="T40" i="18"/>
  <c r="T42" i="18"/>
  <c r="T43" i="18"/>
  <c r="T44" i="18"/>
  <c r="T45" i="18"/>
  <c r="T46" i="18"/>
  <c r="AA12" i="18"/>
  <c r="AK343" i="14"/>
  <c r="AO343" i="14" s="1"/>
  <c r="AJ343" i="14"/>
  <c r="AN343" i="14" s="1"/>
  <c r="AI343" i="14"/>
  <c r="AM343" i="14"/>
  <c r="AH343" i="14"/>
  <c r="AK342" i="14"/>
  <c r="AO342" i="14"/>
  <c r="AJ342" i="14"/>
  <c r="AN342" i="14" s="1"/>
  <c r="AI342" i="14"/>
  <c r="AM342" i="14" s="1"/>
  <c r="AH342" i="14"/>
  <c r="AK341" i="14"/>
  <c r="AO341" i="14"/>
  <c r="AJ341" i="14"/>
  <c r="AN341" i="14"/>
  <c r="AI341" i="14"/>
  <c r="AM341" i="14" s="1"/>
  <c r="AH341" i="14"/>
  <c r="AK340" i="14"/>
  <c r="AO340" i="14" s="1"/>
  <c r="AJ340" i="14"/>
  <c r="AN340" i="14" s="1"/>
  <c r="AI340" i="14"/>
  <c r="AM340" i="14" s="1"/>
  <c r="AH340" i="14"/>
  <c r="AK339" i="14"/>
  <c r="AO339" i="14"/>
  <c r="AJ339" i="14"/>
  <c r="AN339" i="14" s="1"/>
  <c r="AI339" i="14"/>
  <c r="AM339" i="14"/>
  <c r="AH339" i="14"/>
  <c r="AK338" i="14"/>
  <c r="AO338" i="14" s="1"/>
  <c r="AJ338" i="14"/>
  <c r="AN338" i="14" s="1"/>
  <c r="AI338" i="14"/>
  <c r="AM338" i="14" s="1"/>
  <c r="AH338" i="14"/>
  <c r="AK337" i="14"/>
  <c r="AO337" i="14"/>
  <c r="AJ337" i="14"/>
  <c r="AN337" i="14"/>
  <c r="AI337" i="14"/>
  <c r="AM337" i="14"/>
  <c r="AH337" i="14"/>
  <c r="AK336" i="14"/>
  <c r="AO336" i="14" s="1"/>
  <c r="AJ336" i="14"/>
  <c r="AN336" i="14" s="1"/>
  <c r="AI336" i="14"/>
  <c r="AM336" i="14" s="1"/>
  <c r="AH336" i="14"/>
  <c r="AK335" i="14"/>
  <c r="AO335" i="14"/>
  <c r="AJ335" i="14"/>
  <c r="AN335" i="14"/>
  <c r="AI335" i="14"/>
  <c r="AM335" i="14"/>
  <c r="AH335" i="14"/>
  <c r="AK334" i="14"/>
  <c r="AO334" i="14" s="1"/>
  <c r="AJ334" i="14"/>
  <c r="AN334" i="14"/>
  <c r="AI334" i="14"/>
  <c r="AM334" i="14"/>
  <c r="AH334" i="14"/>
  <c r="AK333" i="14"/>
  <c r="AO333" i="14"/>
  <c r="AJ333" i="14"/>
  <c r="AN333" i="14"/>
  <c r="AI333" i="14"/>
  <c r="AM333" i="14"/>
  <c r="AH333" i="14"/>
  <c r="AK332" i="14"/>
  <c r="AO332" i="14"/>
  <c r="AJ332" i="14"/>
  <c r="AN332" i="14"/>
  <c r="AI332" i="14"/>
  <c r="AM332" i="14" s="1"/>
  <c r="AH332" i="14"/>
  <c r="AK331" i="14"/>
  <c r="AO331" i="14"/>
  <c r="AJ331" i="14"/>
  <c r="AN331" i="14"/>
  <c r="AI331" i="14"/>
  <c r="AM331" i="14"/>
  <c r="AH331" i="14"/>
  <c r="AK330" i="14"/>
  <c r="AO330" i="14" s="1"/>
  <c r="AJ330" i="14"/>
  <c r="AN330" i="14" s="1"/>
  <c r="AI330" i="14"/>
  <c r="AM330" i="14" s="1"/>
  <c r="AH330" i="14"/>
  <c r="AK329" i="14"/>
  <c r="AO329" i="14"/>
  <c r="AJ329" i="14"/>
  <c r="AN329" i="14"/>
  <c r="AI329" i="14"/>
  <c r="AM329" i="14" s="1"/>
  <c r="AH329" i="14"/>
  <c r="AK328" i="14"/>
  <c r="AO328" i="14" s="1"/>
  <c r="AJ328" i="14"/>
  <c r="AN328" i="14" s="1"/>
  <c r="AI328" i="14"/>
  <c r="AM328" i="14" s="1"/>
  <c r="AH328" i="14"/>
  <c r="AK327" i="14"/>
  <c r="AO327" i="14"/>
  <c r="AJ327" i="14"/>
  <c r="AN327" i="14" s="1"/>
  <c r="AI327" i="14"/>
  <c r="AM327" i="14"/>
  <c r="AH327" i="14"/>
  <c r="AK326" i="14"/>
  <c r="AO326" i="14" s="1"/>
  <c r="AJ326" i="14"/>
  <c r="AN326" i="14" s="1"/>
  <c r="AI326" i="14"/>
  <c r="AM326" i="14" s="1"/>
  <c r="AH326" i="14"/>
  <c r="AK325" i="14"/>
  <c r="AO325" i="14"/>
  <c r="AJ325" i="14"/>
  <c r="AN325" i="14"/>
  <c r="AI325" i="14"/>
  <c r="AM325" i="14"/>
  <c r="AH325" i="14"/>
  <c r="AK324" i="14"/>
  <c r="AO324" i="14" s="1"/>
  <c r="AJ324" i="14"/>
  <c r="AN324" i="14" s="1"/>
  <c r="AI324" i="14"/>
  <c r="AM324" i="14"/>
  <c r="AH324" i="14"/>
  <c r="AK323" i="14"/>
  <c r="AO323" i="14"/>
  <c r="AJ323" i="14"/>
  <c r="AN323" i="14"/>
  <c r="AI323" i="14"/>
  <c r="AM323" i="14"/>
  <c r="AH323" i="14"/>
  <c r="AK322" i="14"/>
  <c r="AO322" i="14" s="1"/>
  <c r="AJ322" i="14"/>
  <c r="AN322" i="14"/>
  <c r="AI322" i="14"/>
  <c r="AM322" i="14"/>
  <c r="AH322" i="14"/>
  <c r="AK321" i="14"/>
  <c r="AO321" i="14"/>
  <c r="AJ321" i="14"/>
  <c r="AN321" i="14"/>
  <c r="AI321" i="14"/>
  <c r="AM321" i="14"/>
  <c r="AH321" i="14"/>
  <c r="AK320" i="14"/>
  <c r="AO320" i="14"/>
  <c r="AJ320" i="14"/>
  <c r="AN320" i="14"/>
  <c r="AI320" i="14"/>
  <c r="AM320" i="14" s="1"/>
  <c r="AH320" i="14"/>
  <c r="AA28" i="18"/>
  <c r="AA46" i="18"/>
  <c r="AA31" i="18"/>
  <c r="AA21" i="18"/>
  <c r="P21" i="18"/>
  <c r="F20" i="18"/>
  <c r="G20" i="18" s="1"/>
  <c r="AA16" i="18"/>
  <c r="AA13" i="18"/>
  <c r="F13" i="18"/>
  <c r="G13" i="18" s="1"/>
  <c r="AA44" i="18"/>
  <c r="F44" i="18"/>
  <c r="G44" i="18" s="1"/>
  <c r="AA43" i="18"/>
  <c r="F43" i="18"/>
  <c r="AA42" i="18"/>
  <c r="AA41" i="18"/>
  <c r="AA40" i="18"/>
  <c r="P38" i="18"/>
  <c r="P36" i="18"/>
  <c r="AA35" i="18"/>
  <c r="AA34" i="18"/>
  <c r="AA33" i="18"/>
  <c r="AA32" i="18"/>
  <c r="F32" i="18"/>
  <c r="AA30" i="18"/>
  <c r="F30" i="18"/>
  <c r="AA26" i="18"/>
  <c r="AA24" i="18"/>
  <c r="P24" i="18"/>
  <c r="AA23" i="18"/>
  <c r="F23" i="18"/>
  <c r="G23" i="18" s="1"/>
  <c r="AA22" i="18"/>
  <c r="AA18" i="18"/>
  <c r="F18" i="18"/>
  <c r="AA15" i="18"/>
  <c r="F15" i="18"/>
  <c r="AA14" i="18"/>
  <c r="AK4" i="14"/>
  <c r="AO4" i="14" s="1"/>
  <c r="AH4" i="14"/>
  <c r="AI4" i="14"/>
  <c r="AM4" i="14"/>
  <c r="AJ4" i="14"/>
  <c r="AN4" i="14"/>
  <c r="AH5" i="14"/>
  <c r="AI5" i="14"/>
  <c r="AM5" i="14"/>
  <c r="AJ5" i="14"/>
  <c r="AN5" i="14" s="1"/>
  <c r="AK5" i="14"/>
  <c r="AO5" i="14" s="1"/>
  <c r="AH6" i="14"/>
  <c r="AI6" i="14"/>
  <c r="AM6" i="14" s="1"/>
  <c r="AJ6" i="14"/>
  <c r="AN6" i="14"/>
  <c r="AK6" i="14"/>
  <c r="AO6" i="14" s="1"/>
  <c r="AH7" i="14"/>
  <c r="AI7" i="14"/>
  <c r="AM7" i="14" s="1"/>
  <c r="AJ7" i="14"/>
  <c r="AN7" i="14" s="1"/>
  <c r="AK7" i="14"/>
  <c r="AO7" i="14"/>
  <c r="AH8" i="14"/>
  <c r="AI8" i="14"/>
  <c r="AM8" i="14" s="1"/>
  <c r="AJ8" i="14"/>
  <c r="AN8" i="14" s="1"/>
  <c r="AK8" i="14"/>
  <c r="AO8" i="14" s="1"/>
  <c r="AH9" i="14"/>
  <c r="AI9" i="14"/>
  <c r="AM9" i="14" s="1"/>
  <c r="AJ9" i="14"/>
  <c r="AN9" i="14"/>
  <c r="AK9" i="14"/>
  <c r="AO9" i="14"/>
  <c r="AH10" i="14"/>
  <c r="AI10" i="14"/>
  <c r="AM10" i="14" s="1"/>
  <c r="AJ10" i="14"/>
  <c r="AN10" i="14" s="1"/>
  <c r="AK10" i="14"/>
  <c r="AO10" i="14" s="1"/>
  <c r="AH11" i="14"/>
  <c r="AI11" i="14"/>
  <c r="AM11" i="14"/>
  <c r="AJ11" i="14"/>
  <c r="AN11" i="14" s="1"/>
  <c r="AN345" i="14" s="1"/>
  <c r="AN348" i="14" s="1"/>
  <c r="AK11" i="14"/>
  <c r="AO11" i="14"/>
  <c r="AH12" i="14"/>
  <c r="AI12" i="14"/>
  <c r="AM12" i="14" s="1"/>
  <c r="AJ12" i="14"/>
  <c r="AN12" i="14" s="1"/>
  <c r="AK12" i="14"/>
  <c r="AO12" i="14" s="1"/>
  <c r="AH13" i="14"/>
  <c r="AI13" i="14"/>
  <c r="AM13" i="14"/>
  <c r="AJ13" i="14"/>
  <c r="AN13" i="14"/>
  <c r="AK13" i="14"/>
  <c r="AO13" i="14"/>
  <c r="AH14" i="14"/>
  <c r="AI14" i="14"/>
  <c r="AM14" i="14" s="1"/>
  <c r="AJ14" i="14"/>
  <c r="AN14" i="14" s="1"/>
  <c r="AK14" i="14"/>
  <c r="AO14" i="14" s="1"/>
  <c r="AH15" i="14"/>
  <c r="AI15" i="14"/>
  <c r="AM15" i="14"/>
  <c r="AJ15" i="14"/>
  <c r="AN15" i="14"/>
  <c r="AK15" i="14"/>
  <c r="AO15" i="14"/>
  <c r="AH16" i="14"/>
  <c r="AI16" i="14"/>
  <c r="AM16" i="14" s="1"/>
  <c r="AJ16" i="14"/>
  <c r="AN16" i="14"/>
  <c r="AK16" i="14"/>
  <c r="AO16" i="14" s="1"/>
  <c r="AH17" i="14"/>
  <c r="AI17" i="14"/>
  <c r="AM17" i="14"/>
  <c r="AJ17" i="14"/>
  <c r="AN17" i="14" s="1"/>
  <c r="AK17" i="14"/>
  <c r="AO17" i="14" s="1"/>
  <c r="AH18" i="14"/>
  <c r="AI18" i="14"/>
  <c r="AM18" i="14"/>
  <c r="AJ18" i="14"/>
  <c r="AN18" i="14"/>
  <c r="AK18" i="14"/>
  <c r="AO18" i="14" s="1"/>
  <c r="AH19" i="14"/>
  <c r="AI19" i="14"/>
  <c r="AM19" i="14" s="1"/>
  <c r="AJ19" i="14"/>
  <c r="AN19" i="14" s="1"/>
  <c r="AK19" i="14"/>
  <c r="AO19" i="14"/>
  <c r="AH20" i="14"/>
  <c r="AI20" i="14"/>
  <c r="AM20" i="14" s="1"/>
  <c r="AJ20" i="14"/>
  <c r="AN20" i="14" s="1"/>
  <c r="AK20" i="14"/>
  <c r="AO20" i="14" s="1"/>
  <c r="AH21" i="14"/>
  <c r="AI21" i="14"/>
  <c r="AM21" i="14" s="1"/>
  <c r="AJ21" i="14"/>
  <c r="AN21" i="14"/>
  <c r="AK21" i="14"/>
  <c r="AO21" i="14"/>
  <c r="AH22" i="14"/>
  <c r="AI22" i="14"/>
  <c r="AM22" i="14" s="1"/>
  <c r="AJ22" i="14"/>
  <c r="AN22" i="14" s="1"/>
  <c r="AK22" i="14"/>
  <c r="AO22" i="14" s="1"/>
  <c r="AH23" i="14"/>
  <c r="AI23" i="14"/>
  <c r="AM23" i="14"/>
  <c r="AJ23" i="14"/>
  <c r="AN23" i="14" s="1"/>
  <c r="AK23" i="14"/>
  <c r="AO23" i="14" s="1"/>
  <c r="AH24" i="14"/>
  <c r="AI24" i="14"/>
  <c r="AM24" i="14" s="1"/>
  <c r="AJ24" i="14"/>
  <c r="AN24" i="14" s="1"/>
  <c r="AK24" i="14"/>
  <c r="AO24" i="14" s="1"/>
  <c r="AH25" i="14"/>
  <c r="AI25" i="14"/>
  <c r="AM25" i="14" s="1"/>
  <c r="AJ25" i="14"/>
  <c r="AN25" i="14" s="1"/>
  <c r="AK25" i="14"/>
  <c r="AO25" i="14"/>
  <c r="AH26" i="14"/>
  <c r="AI26" i="14"/>
  <c r="AM26" i="14" s="1"/>
  <c r="AJ26" i="14"/>
  <c r="AN26" i="14" s="1"/>
  <c r="AK26" i="14"/>
  <c r="AO26" i="14"/>
  <c r="AH27" i="14"/>
  <c r="AI27" i="14"/>
  <c r="AM27" i="14" s="1"/>
  <c r="AJ27" i="14"/>
  <c r="AN27" i="14"/>
  <c r="AK27" i="14"/>
  <c r="AO27" i="14"/>
  <c r="AH28" i="14"/>
  <c r="AI28" i="14"/>
  <c r="AM28" i="14" s="1"/>
  <c r="AJ28" i="14"/>
  <c r="AN28" i="14"/>
  <c r="AK28" i="14"/>
  <c r="AO28" i="14"/>
  <c r="AH29" i="14"/>
  <c r="AI29" i="14"/>
  <c r="AM29" i="14"/>
  <c r="AJ29" i="14"/>
  <c r="AN29" i="14" s="1"/>
  <c r="AK29" i="14"/>
  <c r="AO29" i="14" s="1"/>
  <c r="AH30" i="14"/>
  <c r="AI30" i="14"/>
  <c r="AM30" i="14"/>
  <c r="AJ30" i="14"/>
  <c r="AN30" i="14"/>
  <c r="AK30" i="14"/>
  <c r="AO30" i="14" s="1"/>
  <c r="AH31" i="14"/>
  <c r="AI31" i="14"/>
  <c r="AM31" i="14" s="1"/>
  <c r="AJ31" i="14"/>
  <c r="AN31" i="14" s="1"/>
  <c r="AK31" i="14"/>
  <c r="AO31" i="14"/>
  <c r="AH32" i="14"/>
  <c r="AI32" i="14"/>
  <c r="AM32" i="14" s="1"/>
  <c r="AJ32" i="14"/>
  <c r="AN32" i="14" s="1"/>
  <c r="AK32" i="14"/>
  <c r="AO32" i="14" s="1"/>
  <c r="AH33" i="14"/>
  <c r="AI33" i="14"/>
  <c r="AM33" i="14" s="1"/>
  <c r="AJ33" i="14"/>
  <c r="AN33" i="14"/>
  <c r="AK33" i="14"/>
  <c r="AO33" i="14"/>
  <c r="AH34" i="14"/>
  <c r="AI34" i="14"/>
  <c r="AM34" i="14" s="1"/>
  <c r="AJ34" i="14"/>
  <c r="AN34" i="14" s="1"/>
  <c r="AK34" i="14"/>
  <c r="AO34" i="14" s="1"/>
  <c r="AH35" i="14"/>
  <c r="AI35" i="14"/>
  <c r="AM35" i="14"/>
  <c r="AJ35" i="14"/>
  <c r="AN35" i="14"/>
  <c r="AK35" i="14"/>
  <c r="AO35" i="14" s="1"/>
  <c r="AH36" i="14"/>
  <c r="AI36" i="14"/>
  <c r="AM36" i="14" s="1"/>
  <c r="AJ36" i="14"/>
  <c r="AN36" i="14" s="1"/>
  <c r="AK36" i="14"/>
  <c r="AO36" i="14" s="1"/>
  <c r="AH37" i="14"/>
  <c r="AI37" i="14"/>
  <c r="AM37" i="14"/>
  <c r="AJ37" i="14"/>
  <c r="AN37" i="14" s="1"/>
  <c r="AK37" i="14"/>
  <c r="AO37" i="14"/>
  <c r="AH38" i="14"/>
  <c r="AI38" i="14"/>
  <c r="AM38" i="14" s="1"/>
  <c r="AJ38" i="14"/>
  <c r="AN38" i="14" s="1"/>
  <c r="AK38" i="14"/>
  <c r="AO38" i="14" s="1"/>
  <c r="AH39" i="14"/>
  <c r="AI39" i="14"/>
  <c r="AM39" i="14"/>
  <c r="AJ39" i="14"/>
  <c r="AN39" i="14"/>
  <c r="AK39" i="14"/>
  <c r="AO39" i="14"/>
  <c r="AH40" i="14"/>
  <c r="AI40" i="14"/>
  <c r="AM40" i="14" s="1"/>
  <c r="AJ40" i="14"/>
  <c r="AN40" i="14" s="1"/>
  <c r="AK40" i="14"/>
  <c r="AO40" i="14" s="1"/>
  <c r="AH41" i="14"/>
  <c r="AI41" i="14"/>
  <c r="AM41" i="14"/>
  <c r="AJ41" i="14"/>
  <c r="AN41" i="14" s="1"/>
  <c r="AK41" i="14"/>
  <c r="AO41" i="14" s="1"/>
  <c r="AH42" i="14"/>
  <c r="AI42" i="14"/>
  <c r="AM42" i="14"/>
  <c r="AJ42" i="14"/>
  <c r="AN42" i="14" s="1"/>
  <c r="AK42" i="14"/>
  <c r="AO42" i="14" s="1"/>
  <c r="AH43" i="14"/>
  <c r="AI43" i="14"/>
  <c r="AM43" i="14" s="1"/>
  <c r="AJ43" i="14"/>
  <c r="AN43" i="14" s="1"/>
  <c r="AK43" i="14"/>
  <c r="AO43" i="14"/>
  <c r="AH44" i="14"/>
  <c r="AI44" i="14"/>
  <c r="AM44" i="14" s="1"/>
  <c r="AJ44" i="14"/>
  <c r="AN44" i="14" s="1"/>
  <c r="AK44" i="14"/>
  <c r="AO44" i="14" s="1"/>
  <c r="AH45" i="14"/>
  <c r="AI45" i="14"/>
  <c r="AM45" i="14" s="1"/>
  <c r="AJ45" i="14"/>
  <c r="AN45" i="14"/>
  <c r="AK45" i="14"/>
  <c r="AO45" i="14"/>
  <c r="AH46" i="14"/>
  <c r="AI46" i="14"/>
  <c r="AM46" i="14" s="1"/>
  <c r="AJ46" i="14"/>
  <c r="AN46" i="14" s="1"/>
  <c r="AK46" i="14"/>
  <c r="AO46" i="14" s="1"/>
  <c r="AH47" i="14"/>
  <c r="AI47" i="14"/>
  <c r="AM47" i="14"/>
  <c r="AJ47" i="14"/>
  <c r="AN47" i="14" s="1"/>
  <c r="AK47" i="14"/>
  <c r="AO47" i="14"/>
  <c r="AH48" i="14"/>
  <c r="AI48" i="14"/>
  <c r="AM48" i="14" s="1"/>
  <c r="AJ48" i="14"/>
  <c r="AN48" i="14" s="1"/>
  <c r="AK48" i="14"/>
  <c r="AO48" i="14" s="1"/>
  <c r="AH49" i="14"/>
  <c r="AI49" i="14"/>
  <c r="AM49" i="14" s="1"/>
  <c r="AJ49" i="14"/>
  <c r="AN49" i="14"/>
  <c r="AK49" i="14"/>
  <c r="AO49" i="14"/>
  <c r="AH50" i="14"/>
  <c r="AI50" i="14"/>
  <c r="AM50" i="14" s="1"/>
  <c r="AJ50" i="14"/>
  <c r="AN50" i="14" s="1"/>
  <c r="AK50" i="14"/>
  <c r="AO50" i="14"/>
  <c r="AH51" i="14"/>
  <c r="AI51" i="14"/>
  <c r="AM51" i="14" s="1"/>
  <c r="AJ51" i="14"/>
  <c r="AN51" i="14"/>
  <c r="AK51" i="14"/>
  <c r="AO51" i="14"/>
  <c r="AH52" i="14"/>
  <c r="AI52" i="14"/>
  <c r="AM52" i="14" s="1"/>
  <c r="AJ52" i="14"/>
  <c r="AN52" i="14" s="1"/>
  <c r="AK52" i="14"/>
  <c r="AO52" i="14" s="1"/>
  <c r="AH53" i="14"/>
  <c r="AI53" i="14"/>
  <c r="AM53" i="14"/>
  <c r="AJ53" i="14"/>
  <c r="AN53" i="14" s="1"/>
  <c r="AK53" i="14"/>
  <c r="AO53" i="14" s="1"/>
  <c r="AH54" i="14"/>
  <c r="AI54" i="14"/>
  <c r="AM54" i="14"/>
  <c r="AJ54" i="14"/>
  <c r="AN54" i="14"/>
  <c r="AK54" i="14"/>
  <c r="AO54" i="14" s="1"/>
  <c r="AH55" i="14"/>
  <c r="AI55" i="14"/>
  <c r="AM55" i="14" s="1"/>
  <c r="AJ55" i="14"/>
  <c r="AN55" i="14" s="1"/>
  <c r="AK55" i="14"/>
  <c r="AO55" i="14"/>
  <c r="AH56" i="14"/>
  <c r="AI56" i="14"/>
  <c r="AM56" i="14"/>
  <c r="AJ56" i="14"/>
  <c r="AN56" i="14" s="1"/>
  <c r="AK56" i="14"/>
  <c r="AO56" i="14" s="1"/>
  <c r="AH57" i="14"/>
  <c r="AI57" i="14"/>
  <c r="AM57" i="14" s="1"/>
  <c r="AJ57" i="14"/>
  <c r="AN57" i="14"/>
  <c r="AK57" i="14"/>
  <c r="AO57" i="14" s="1"/>
  <c r="AH58" i="14"/>
  <c r="AI58" i="14"/>
  <c r="AM58" i="14" s="1"/>
  <c r="AJ58" i="14"/>
  <c r="AN58" i="14" s="1"/>
  <c r="AK58" i="14"/>
  <c r="AO58" i="14" s="1"/>
  <c r="AH59" i="14"/>
  <c r="AI59" i="14"/>
  <c r="AM59" i="14"/>
  <c r="AJ59" i="14"/>
  <c r="AN59" i="14" s="1"/>
  <c r="AK59" i="14"/>
  <c r="AO59" i="14" s="1"/>
  <c r="AH60" i="14"/>
  <c r="AI60" i="14"/>
  <c r="AM60" i="14" s="1"/>
  <c r="AJ60" i="14"/>
  <c r="AN60" i="14" s="1"/>
  <c r="AK60" i="14"/>
  <c r="AO60" i="14" s="1"/>
  <c r="AH61" i="14"/>
  <c r="AI61" i="14"/>
  <c r="AM61" i="14" s="1"/>
  <c r="AJ61" i="14"/>
  <c r="AN61" i="14"/>
  <c r="AK61" i="14"/>
  <c r="AO61" i="14"/>
  <c r="AH62" i="14"/>
  <c r="AI62" i="14"/>
  <c r="AM62" i="14" s="1"/>
  <c r="AJ62" i="14"/>
  <c r="AN62" i="14" s="1"/>
  <c r="AK62" i="14"/>
  <c r="AO62" i="14"/>
  <c r="AH63" i="14"/>
  <c r="AI63" i="14"/>
  <c r="AM63" i="14" s="1"/>
  <c r="AJ63" i="14"/>
  <c r="AN63" i="14"/>
  <c r="AK63" i="14"/>
  <c r="AO63" i="14" s="1"/>
  <c r="AH64" i="14"/>
  <c r="AI64" i="14"/>
  <c r="AM64" i="14" s="1"/>
  <c r="AJ64" i="14"/>
  <c r="AN64" i="14"/>
  <c r="AK64" i="14"/>
  <c r="AO64" i="14"/>
  <c r="AH65" i="14"/>
  <c r="AI65" i="14"/>
  <c r="AM65" i="14"/>
  <c r="AJ65" i="14"/>
  <c r="AN65" i="14" s="1"/>
  <c r="AK65" i="14"/>
  <c r="AO65" i="14" s="1"/>
  <c r="AH66" i="14"/>
  <c r="AI66" i="14"/>
  <c r="AM66" i="14" s="1"/>
  <c r="AJ66" i="14"/>
  <c r="AN66" i="14"/>
  <c r="AK66" i="14"/>
  <c r="AO66" i="14" s="1"/>
  <c r="AH67" i="14"/>
  <c r="AI67" i="14"/>
  <c r="AM67" i="14"/>
  <c r="AJ67" i="14"/>
  <c r="AN67" i="14" s="1"/>
  <c r="AK67" i="14"/>
  <c r="AO67" i="14"/>
  <c r="AH68" i="14"/>
  <c r="AI68" i="14"/>
  <c r="AM68" i="14" s="1"/>
  <c r="AJ68" i="14"/>
  <c r="AN68" i="14" s="1"/>
  <c r="AK68" i="14"/>
  <c r="AO68" i="14" s="1"/>
  <c r="AH69" i="14"/>
  <c r="AI69" i="14"/>
  <c r="AM69" i="14" s="1"/>
  <c r="AJ69" i="14"/>
  <c r="AN69" i="14"/>
  <c r="AK69" i="14"/>
  <c r="AO69" i="14"/>
  <c r="AH70" i="14"/>
  <c r="AI70" i="14"/>
  <c r="AM70" i="14" s="1"/>
  <c r="AJ70" i="14"/>
  <c r="AN70" i="14" s="1"/>
  <c r="AK70" i="14"/>
  <c r="AO70" i="14" s="1"/>
  <c r="AH71" i="14"/>
  <c r="AI71" i="14"/>
  <c r="AM71" i="14"/>
  <c r="AJ71" i="14"/>
  <c r="AN71" i="14"/>
  <c r="AK71" i="14"/>
  <c r="AO71" i="14"/>
  <c r="AH72" i="14"/>
  <c r="AI72" i="14"/>
  <c r="AM72" i="14" s="1"/>
  <c r="AJ72" i="14"/>
  <c r="AN72" i="14" s="1"/>
  <c r="AK72" i="14"/>
  <c r="AO72" i="14" s="1"/>
  <c r="AH73" i="14"/>
  <c r="AI73" i="14"/>
  <c r="AM73" i="14"/>
  <c r="AJ73" i="14"/>
  <c r="AN73" i="14"/>
  <c r="AK73" i="14"/>
  <c r="AO73" i="14"/>
  <c r="AH74" i="14"/>
  <c r="AI74" i="14"/>
  <c r="AM74" i="14" s="1"/>
  <c r="AJ74" i="14"/>
  <c r="AN74" i="14" s="1"/>
  <c r="AK74" i="14"/>
  <c r="AO74" i="14"/>
  <c r="AH75" i="14"/>
  <c r="AI75" i="14"/>
  <c r="AM75" i="14"/>
  <c r="AJ75" i="14"/>
  <c r="AN75" i="14"/>
  <c r="AK75" i="14"/>
  <c r="AO75" i="14"/>
  <c r="AH76" i="14"/>
  <c r="AI76" i="14"/>
  <c r="AM76" i="14" s="1"/>
  <c r="AJ76" i="14"/>
  <c r="AN76" i="14" s="1"/>
  <c r="AK76" i="14"/>
  <c r="AO76" i="14" s="1"/>
  <c r="AH77" i="14"/>
  <c r="AI77" i="14"/>
  <c r="AM77" i="14"/>
  <c r="AJ77" i="14"/>
  <c r="AN77" i="14" s="1"/>
  <c r="AK77" i="14"/>
  <c r="AO77" i="14" s="1"/>
  <c r="AH78" i="14"/>
  <c r="AI78" i="14"/>
  <c r="AM78" i="14"/>
  <c r="AJ78" i="14"/>
  <c r="AN78" i="14" s="1"/>
  <c r="AK78" i="14"/>
  <c r="AO78" i="14" s="1"/>
  <c r="AH79" i="14"/>
  <c r="AI79" i="14"/>
  <c r="AM79" i="14"/>
  <c r="AJ79" i="14"/>
  <c r="AN79" i="14" s="1"/>
  <c r="AK79" i="14"/>
  <c r="AO79" i="14"/>
  <c r="AH80" i="14"/>
  <c r="AI80" i="14"/>
  <c r="AM80" i="14" s="1"/>
  <c r="AJ80" i="14"/>
  <c r="AN80" i="14" s="1"/>
  <c r="AK80" i="14"/>
  <c r="AO80" i="14" s="1"/>
  <c r="AH81" i="14"/>
  <c r="AI81" i="14"/>
  <c r="AM81" i="14" s="1"/>
  <c r="AJ81" i="14"/>
  <c r="AN81" i="14"/>
  <c r="AK81" i="14"/>
  <c r="AO81" i="14"/>
  <c r="AH82" i="14"/>
  <c r="AI82" i="14"/>
  <c r="AM82" i="14" s="1"/>
  <c r="AJ82" i="14"/>
  <c r="AN82" i="14" s="1"/>
  <c r="AK82" i="14"/>
  <c r="AO82" i="14" s="1"/>
  <c r="AH83" i="14"/>
  <c r="AI83" i="14"/>
  <c r="AM83" i="14"/>
  <c r="AJ83" i="14"/>
  <c r="AN83" i="14" s="1"/>
  <c r="AK83" i="14"/>
  <c r="AO83" i="14" s="1"/>
  <c r="AH84" i="14"/>
  <c r="AI84" i="14"/>
  <c r="AM84" i="14" s="1"/>
  <c r="AJ84" i="14"/>
  <c r="AN84" i="14" s="1"/>
  <c r="AK84" i="14"/>
  <c r="AO84" i="14" s="1"/>
  <c r="AH85" i="14"/>
  <c r="AI85" i="14"/>
  <c r="AM85" i="14" s="1"/>
  <c r="AJ85" i="14"/>
  <c r="AN85" i="14" s="1"/>
  <c r="AK85" i="14"/>
  <c r="AO85" i="14"/>
  <c r="AH86" i="14"/>
  <c r="AI86" i="14"/>
  <c r="AM86" i="14" s="1"/>
  <c r="AJ86" i="14"/>
  <c r="AN86" i="14" s="1"/>
  <c r="AK86" i="14"/>
  <c r="AO86" i="14"/>
  <c r="AH87" i="14"/>
  <c r="AI87" i="14"/>
  <c r="AM87" i="14" s="1"/>
  <c r="AJ87" i="14"/>
  <c r="AN87" i="14"/>
  <c r="AK87" i="14"/>
  <c r="AO87" i="14"/>
  <c r="AH88" i="14"/>
  <c r="AI88" i="14"/>
  <c r="AM88" i="14" s="1"/>
  <c r="AJ88" i="14"/>
  <c r="AN88" i="14"/>
  <c r="AK88" i="14"/>
  <c r="AO88" i="14"/>
  <c r="AH89" i="14"/>
  <c r="AI89" i="14"/>
  <c r="AM89" i="14"/>
  <c r="AJ89" i="14"/>
  <c r="AN89" i="14" s="1"/>
  <c r="AK89" i="14"/>
  <c r="AO89" i="14"/>
  <c r="AH90" i="14"/>
  <c r="AI90" i="14"/>
  <c r="AM90" i="14"/>
  <c r="AJ90" i="14"/>
  <c r="AN90" i="14"/>
  <c r="AK90" i="14"/>
  <c r="AO90" i="14" s="1"/>
  <c r="AH91" i="14"/>
  <c r="AI91" i="14"/>
  <c r="AM91" i="14"/>
  <c r="AJ91" i="14"/>
  <c r="AN91" i="14" s="1"/>
  <c r="AK91" i="14"/>
  <c r="AO91" i="14"/>
  <c r="AH92" i="14"/>
  <c r="AI92" i="14"/>
  <c r="AM92" i="14"/>
  <c r="AJ92" i="14"/>
  <c r="AN92" i="14" s="1"/>
  <c r="AK92" i="14"/>
  <c r="AO92" i="14" s="1"/>
  <c r="AH93" i="14"/>
  <c r="AI93" i="14"/>
  <c r="AM93" i="14" s="1"/>
  <c r="AJ93" i="14"/>
  <c r="AN93" i="14"/>
  <c r="AK93" i="14"/>
  <c r="AO93" i="14" s="1"/>
  <c r="AH94" i="14"/>
  <c r="AI94" i="14"/>
  <c r="AM94" i="14" s="1"/>
  <c r="AJ94" i="14"/>
  <c r="AN94" i="14" s="1"/>
  <c r="AK94" i="14"/>
  <c r="AO94" i="14" s="1"/>
  <c r="AH95" i="14"/>
  <c r="AI95" i="14"/>
  <c r="AM95" i="14"/>
  <c r="AJ95" i="14"/>
  <c r="AN95" i="14" s="1"/>
  <c r="AK95" i="14"/>
  <c r="AO95" i="14" s="1"/>
  <c r="AH96" i="14"/>
  <c r="AI96" i="14"/>
  <c r="AM96" i="14" s="1"/>
  <c r="AJ96" i="14"/>
  <c r="AN96" i="14" s="1"/>
  <c r="AK96" i="14"/>
  <c r="AO96" i="14" s="1"/>
  <c r="AH97" i="14"/>
  <c r="AI97" i="14"/>
  <c r="AM97" i="14"/>
  <c r="AJ97" i="14"/>
  <c r="AN97" i="14"/>
  <c r="AK97" i="14"/>
  <c r="AO97" i="14"/>
  <c r="AH98" i="14"/>
  <c r="AI98" i="14"/>
  <c r="AM98" i="14" s="1"/>
  <c r="AJ98" i="14"/>
  <c r="AN98" i="14" s="1"/>
  <c r="AK98" i="14"/>
  <c r="AO98" i="14"/>
  <c r="AH99" i="14"/>
  <c r="AI99" i="14"/>
  <c r="AM99" i="14"/>
  <c r="AJ99" i="14"/>
  <c r="AN99" i="14"/>
  <c r="AK99" i="14"/>
  <c r="AO99" i="14"/>
  <c r="AH100" i="14"/>
  <c r="AI100" i="14"/>
  <c r="AM100" i="14" s="1"/>
  <c r="AJ100" i="14"/>
  <c r="AN100" i="14" s="1"/>
  <c r="AK100" i="14"/>
  <c r="AO100" i="14"/>
  <c r="AH101" i="14"/>
  <c r="AI101" i="14"/>
  <c r="AM101" i="14"/>
  <c r="AJ101" i="14"/>
  <c r="AN101" i="14" s="1"/>
  <c r="AK101" i="14"/>
  <c r="AO101" i="14"/>
  <c r="AH102" i="14"/>
  <c r="AI102" i="14"/>
  <c r="AM102" i="14"/>
  <c r="AJ102" i="14"/>
  <c r="AN102" i="14"/>
  <c r="AK102" i="14"/>
  <c r="AO102" i="14" s="1"/>
  <c r="AH103" i="14"/>
  <c r="AI103" i="14"/>
  <c r="AM103" i="14" s="1"/>
  <c r="AJ103" i="14"/>
  <c r="AN103" i="14" s="1"/>
  <c r="AK103" i="14"/>
  <c r="AO103" i="14"/>
  <c r="AH104" i="14"/>
  <c r="AI104" i="14"/>
  <c r="AM104" i="14" s="1"/>
  <c r="AJ104" i="14"/>
  <c r="AN104" i="14" s="1"/>
  <c r="AK104" i="14"/>
  <c r="AO104" i="14" s="1"/>
  <c r="AH105" i="14"/>
  <c r="AI105" i="14"/>
  <c r="AM105" i="14" s="1"/>
  <c r="AJ105" i="14"/>
  <c r="AN105" i="14"/>
  <c r="AK105" i="14"/>
  <c r="AO105" i="14"/>
  <c r="AH106" i="14"/>
  <c r="AI106" i="14"/>
  <c r="AM106" i="14" s="1"/>
  <c r="AJ106" i="14"/>
  <c r="AN106" i="14" s="1"/>
  <c r="AK106" i="14"/>
  <c r="AO106" i="14" s="1"/>
  <c r="AH107" i="14"/>
  <c r="AI107" i="14"/>
  <c r="AM107" i="14"/>
  <c r="AJ107" i="14"/>
  <c r="AN107" i="14" s="1"/>
  <c r="AK107" i="14"/>
  <c r="AO107" i="14"/>
  <c r="AH108" i="14"/>
  <c r="AI108" i="14"/>
  <c r="AM108" i="14" s="1"/>
  <c r="AJ108" i="14"/>
  <c r="AN108" i="14" s="1"/>
  <c r="AK108" i="14"/>
  <c r="AO108" i="14" s="1"/>
  <c r="AH109" i="14"/>
  <c r="AI109" i="14"/>
  <c r="AM109" i="14" s="1"/>
  <c r="AJ109" i="14"/>
  <c r="AN109" i="14"/>
  <c r="AK109" i="14"/>
  <c r="AO109" i="14"/>
  <c r="AH110" i="14"/>
  <c r="AI110" i="14"/>
  <c r="AM110" i="14" s="1"/>
  <c r="AJ110" i="14"/>
  <c r="AN110" i="14" s="1"/>
  <c r="AK110" i="14"/>
  <c r="AO110" i="14" s="1"/>
  <c r="AH111" i="14"/>
  <c r="AI111" i="14"/>
  <c r="AM111" i="14" s="1"/>
  <c r="AJ111" i="14"/>
  <c r="AN111" i="14"/>
  <c r="AK111" i="14"/>
  <c r="AO111" i="14"/>
  <c r="AH112" i="14"/>
  <c r="AI112" i="14"/>
  <c r="AM112" i="14" s="1"/>
  <c r="AJ112" i="14"/>
  <c r="AN112" i="14"/>
  <c r="AK112" i="14"/>
  <c r="AO112" i="14" s="1"/>
  <c r="AH113" i="14"/>
  <c r="AI113" i="14"/>
  <c r="AM113" i="14"/>
  <c r="AJ113" i="14"/>
  <c r="AN113" i="14"/>
  <c r="AK113" i="14"/>
  <c r="AO113" i="14"/>
  <c r="AH114" i="14"/>
  <c r="AI114" i="14"/>
  <c r="AM114" i="14"/>
  <c r="AJ114" i="14"/>
  <c r="AN114" i="14" s="1"/>
  <c r="AK114" i="14"/>
  <c r="AO114" i="14" s="1"/>
  <c r="AH115" i="14"/>
  <c r="AI115" i="14"/>
  <c r="AM115" i="14"/>
  <c r="AJ115" i="14"/>
  <c r="AN115" i="14"/>
  <c r="AK115" i="14"/>
  <c r="AO115" i="14"/>
  <c r="AH116" i="14"/>
  <c r="AI116" i="14"/>
  <c r="AM116" i="14" s="1"/>
  <c r="AJ116" i="14"/>
  <c r="AN116" i="14" s="1"/>
  <c r="AK116" i="14"/>
  <c r="AO116" i="14" s="1"/>
  <c r="AH117" i="14"/>
  <c r="AI117" i="14"/>
  <c r="AM117" i="14"/>
  <c r="AJ117" i="14"/>
  <c r="AN117" i="14"/>
  <c r="AK117" i="14"/>
  <c r="AO117" i="14" s="1"/>
  <c r="AH118" i="14"/>
  <c r="AI118" i="14"/>
  <c r="AM118" i="14" s="1"/>
  <c r="AJ118" i="14"/>
  <c r="AN118" i="14" s="1"/>
  <c r="AK118" i="14"/>
  <c r="AO118" i="14" s="1"/>
  <c r="AH119" i="14"/>
  <c r="AI119" i="14"/>
  <c r="AM119" i="14"/>
  <c r="AJ119" i="14"/>
  <c r="AN119" i="14"/>
  <c r="AK119" i="14"/>
  <c r="AO119" i="14"/>
  <c r="AH120" i="14"/>
  <c r="AI120" i="14"/>
  <c r="AM120" i="14" s="1"/>
  <c r="AJ120" i="14"/>
  <c r="AN120" i="14" s="1"/>
  <c r="AK120" i="14"/>
  <c r="AO120" i="14" s="1"/>
  <c r="AH121" i="14"/>
  <c r="AI121" i="14"/>
  <c r="AM121" i="14" s="1"/>
  <c r="AJ121" i="14"/>
  <c r="AN121" i="14"/>
  <c r="AK121" i="14"/>
  <c r="AO121" i="14"/>
  <c r="AH122" i="14"/>
  <c r="AI122" i="14"/>
  <c r="AM122" i="14" s="1"/>
  <c r="AJ122" i="14"/>
  <c r="AN122" i="14" s="1"/>
  <c r="AK122" i="14"/>
  <c r="AO122" i="14" s="1"/>
  <c r="AH123" i="14"/>
  <c r="AI123" i="14"/>
  <c r="AM123" i="14" s="1"/>
  <c r="AJ123" i="14"/>
  <c r="AN123" i="14"/>
  <c r="AK123" i="14"/>
  <c r="AO123" i="14"/>
  <c r="AH124" i="14"/>
  <c r="AI124" i="14"/>
  <c r="AM124" i="14" s="1"/>
  <c r="AJ124" i="14"/>
  <c r="AN124" i="14"/>
  <c r="AK124" i="14"/>
  <c r="AO124" i="14" s="1"/>
  <c r="AH125" i="14"/>
  <c r="AI125" i="14"/>
  <c r="AM125" i="14"/>
  <c r="AJ125" i="14"/>
  <c r="AN125" i="14"/>
  <c r="AK125" i="14"/>
  <c r="AO125" i="14"/>
  <c r="AH126" i="14"/>
  <c r="AI126" i="14"/>
  <c r="AM126" i="14"/>
  <c r="AJ126" i="14"/>
  <c r="AN126" i="14" s="1"/>
  <c r="AK126" i="14"/>
  <c r="AO126" i="14" s="1"/>
  <c r="AH127" i="14"/>
  <c r="AI127" i="14"/>
  <c r="AM127" i="14"/>
  <c r="AJ127" i="14"/>
  <c r="AN127" i="14"/>
  <c r="AK127" i="14"/>
  <c r="AO127" i="14"/>
  <c r="AH128" i="14"/>
  <c r="AI128" i="14"/>
  <c r="AM128" i="14" s="1"/>
  <c r="AJ128" i="14"/>
  <c r="AN128" i="14" s="1"/>
  <c r="AK128" i="14"/>
  <c r="AO128" i="14" s="1"/>
  <c r="AH129" i="14"/>
  <c r="AI129" i="14"/>
  <c r="AM129" i="14"/>
  <c r="AJ129" i="14"/>
  <c r="AN129" i="14"/>
  <c r="AK129" i="14"/>
  <c r="AO129" i="14"/>
  <c r="AH130" i="14"/>
  <c r="AI130" i="14"/>
  <c r="AM130" i="14" s="1"/>
  <c r="AJ130" i="14"/>
  <c r="AN130" i="14" s="1"/>
  <c r="AK130" i="14"/>
  <c r="AO130" i="14" s="1"/>
  <c r="AH131" i="14"/>
  <c r="AI131" i="14"/>
  <c r="AM131" i="14"/>
  <c r="AJ131" i="14"/>
  <c r="AN131" i="14" s="1"/>
  <c r="AK131" i="14"/>
  <c r="AO131" i="14"/>
  <c r="AH132" i="14"/>
  <c r="AI132" i="14"/>
  <c r="AM132" i="14" s="1"/>
  <c r="AJ132" i="14"/>
  <c r="AN132" i="14" s="1"/>
  <c r="AK132" i="14"/>
  <c r="AO132" i="14" s="1"/>
  <c r="AH133" i="14"/>
  <c r="AI133" i="14"/>
  <c r="AM133" i="14" s="1"/>
  <c r="AJ133" i="14"/>
  <c r="AN133" i="14"/>
  <c r="AK133" i="14"/>
  <c r="AO133" i="14"/>
  <c r="AH134" i="14"/>
  <c r="AI134" i="14"/>
  <c r="AM134" i="14" s="1"/>
  <c r="AJ134" i="14"/>
  <c r="AN134" i="14" s="1"/>
  <c r="AK134" i="14"/>
  <c r="AO134" i="14" s="1"/>
  <c r="AH135" i="14"/>
  <c r="AI135" i="14"/>
  <c r="AM135" i="14" s="1"/>
  <c r="AJ135" i="14"/>
  <c r="AN135" i="14"/>
  <c r="AK135" i="14"/>
  <c r="AO135" i="14"/>
  <c r="AH136" i="14"/>
  <c r="AI136" i="14"/>
  <c r="AM136" i="14" s="1"/>
  <c r="AJ136" i="14"/>
  <c r="AN136" i="14"/>
  <c r="AK136" i="14"/>
  <c r="AO136" i="14" s="1"/>
  <c r="AH137" i="14"/>
  <c r="AI137" i="14"/>
  <c r="AM137" i="14"/>
  <c r="AJ137" i="14"/>
  <c r="AN137" i="14"/>
  <c r="AK137" i="14"/>
  <c r="AO137" i="14"/>
  <c r="AH138" i="14"/>
  <c r="AI138" i="14"/>
  <c r="AM138" i="14"/>
  <c r="AJ138" i="14"/>
  <c r="AN138" i="14" s="1"/>
  <c r="AK138" i="14"/>
  <c r="AO138" i="14" s="1"/>
  <c r="AH139" i="14"/>
  <c r="AI139" i="14"/>
  <c r="AM139" i="14"/>
  <c r="AJ139" i="14"/>
  <c r="AN139" i="14"/>
  <c r="AK139" i="14"/>
  <c r="AO139" i="14"/>
  <c r="AH140" i="14"/>
  <c r="AI140" i="14"/>
  <c r="AM140" i="14" s="1"/>
  <c r="AJ140" i="14"/>
  <c r="AN140" i="14" s="1"/>
  <c r="AK140" i="14"/>
  <c r="AO140" i="14" s="1"/>
  <c r="AH141" i="14"/>
  <c r="AI141" i="14"/>
  <c r="AM141" i="14"/>
  <c r="AJ141" i="14"/>
  <c r="AN141" i="14"/>
  <c r="AK141" i="14"/>
  <c r="AO141" i="14" s="1"/>
  <c r="AH142" i="14"/>
  <c r="AI142" i="14"/>
  <c r="AM142" i="14" s="1"/>
  <c r="AJ142" i="14"/>
  <c r="AN142" i="14" s="1"/>
  <c r="AK142" i="14"/>
  <c r="AO142" i="14" s="1"/>
  <c r="AH143" i="14"/>
  <c r="AI143" i="14"/>
  <c r="AM143" i="14"/>
  <c r="AJ143" i="14"/>
  <c r="AN143" i="14"/>
  <c r="AK143" i="14"/>
  <c r="AO143" i="14"/>
  <c r="AH144" i="14"/>
  <c r="AI144" i="14"/>
  <c r="AM144" i="14" s="1"/>
  <c r="AJ144" i="14"/>
  <c r="AN144" i="14" s="1"/>
  <c r="AK144" i="14"/>
  <c r="AO144" i="14" s="1"/>
  <c r="AH145" i="14"/>
  <c r="AI145" i="14"/>
  <c r="AM145" i="14" s="1"/>
  <c r="AJ145" i="14"/>
  <c r="AN145" i="14"/>
  <c r="AK145" i="14"/>
  <c r="AO145" i="14"/>
  <c r="AH146" i="14"/>
  <c r="AI146" i="14"/>
  <c r="AM146" i="14" s="1"/>
  <c r="AJ146" i="14"/>
  <c r="AN146" i="14" s="1"/>
  <c r="AK146" i="14"/>
  <c r="AO146" i="14" s="1"/>
  <c r="AH147" i="14"/>
  <c r="AI147" i="14"/>
  <c r="AM147" i="14" s="1"/>
  <c r="AJ147" i="14"/>
  <c r="AN147" i="14"/>
  <c r="AK147" i="14"/>
  <c r="AO147" i="14"/>
  <c r="AH148" i="14"/>
  <c r="AI148" i="14"/>
  <c r="AM148" i="14" s="1"/>
  <c r="AJ148" i="14"/>
  <c r="AN148" i="14"/>
  <c r="AK148" i="14"/>
  <c r="AO148" i="14" s="1"/>
  <c r="AH149" i="14"/>
  <c r="AI149" i="14"/>
  <c r="AM149" i="14"/>
  <c r="AJ149" i="14"/>
  <c r="AN149" i="14"/>
  <c r="AK149" i="14"/>
  <c r="AO149" i="14"/>
  <c r="AH150" i="14"/>
  <c r="AI150" i="14"/>
  <c r="AM150" i="14"/>
  <c r="AJ150" i="14"/>
  <c r="AN150" i="14" s="1"/>
  <c r="AK150" i="14"/>
  <c r="AO150" i="14" s="1"/>
  <c r="AH151" i="14"/>
  <c r="AI151" i="14"/>
  <c r="AM151" i="14"/>
  <c r="AJ151" i="14"/>
  <c r="AN151" i="14"/>
  <c r="AK151" i="14"/>
  <c r="AO151" i="14"/>
  <c r="AH152" i="14"/>
  <c r="AI152" i="14"/>
  <c r="AM152" i="14" s="1"/>
  <c r="AJ152" i="14"/>
  <c r="AN152" i="14" s="1"/>
  <c r="AK152" i="14"/>
  <c r="AO152" i="14" s="1"/>
  <c r="AH153" i="14"/>
  <c r="AI153" i="14"/>
  <c r="AM153" i="14"/>
  <c r="AJ153" i="14"/>
  <c r="AN153" i="14"/>
  <c r="AK153" i="14"/>
  <c r="AO153" i="14"/>
  <c r="AH154" i="14"/>
  <c r="AI154" i="14"/>
  <c r="AM154" i="14" s="1"/>
  <c r="AJ154" i="14"/>
  <c r="AN154" i="14" s="1"/>
  <c r="AK154" i="14"/>
  <c r="AO154" i="14" s="1"/>
  <c r="AH155" i="14"/>
  <c r="AI155" i="14"/>
  <c r="AM155" i="14"/>
  <c r="AJ155" i="14"/>
  <c r="AN155" i="14" s="1"/>
  <c r="AK155" i="14"/>
  <c r="AO155" i="14"/>
  <c r="AH156" i="14"/>
  <c r="AI156" i="14"/>
  <c r="AM156" i="14" s="1"/>
  <c r="AJ156" i="14"/>
  <c r="AN156" i="14" s="1"/>
  <c r="AK156" i="14"/>
  <c r="AO156" i="14" s="1"/>
  <c r="AH157" i="14"/>
  <c r="AI157" i="14"/>
  <c r="AM157" i="14" s="1"/>
  <c r="AJ157" i="14"/>
  <c r="AN157" i="14"/>
  <c r="AK157" i="14"/>
  <c r="AO157" i="14"/>
  <c r="AH158" i="14"/>
  <c r="AI158" i="14"/>
  <c r="AM158" i="14" s="1"/>
  <c r="AJ158" i="14"/>
  <c r="AN158" i="14" s="1"/>
  <c r="AK158" i="14"/>
  <c r="AO158" i="14" s="1"/>
  <c r="AH159" i="14"/>
  <c r="AI159" i="14"/>
  <c r="AM159" i="14" s="1"/>
  <c r="AJ159" i="14"/>
  <c r="AN159" i="14"/>
  <c r="AK159" i="14"/>
  <c r="AO159" i="14" s="1"/>
  <c r="AH160" i="14"/>
  <c r="AI160" i="14"/>
  <c r="AM160" i="14" s="1"/>
  <c r="AJ160" i="14"/>
  <c r="AN160" i="14" s="1"/>
  <c r="AK160" i="14"/>
  <c r="AO160" i="14" s="1"/>
  <c r="AH161" i="14"/>
  <c r="AI161" i="14"/>
  <c r="AM161" i="14"/>
  <c r="AJ161" i="14"/>
  <c r="AN161" i="14" s="1"/>
  <c r="AK161" i="14"/>
  <c r="AO161" i="14" s="1"/>
  <c r="AH162" i="14"/>
  <c r="AI162" i="14"/>
  <c r="AM162" i="14" s="1"/>
  <c r="AJ162" i="14"/>
  <c r="AN162" i="14" s="1"/>
  <c r="AK162" i="14"/>
  <c r="AO162" i="14" s="1"/>
  <c r="AH163" i="14"/>
  <c r="AI163" i="14"/>
  <c r="AM163" i="14" s="1"/>
  <c r="AJ163" i="14"/>
  <c r="AN163" i="14" s="1"/>
  <c r="AK163" i="14"/>
  <c r="AO163" i="14"/>
  <c r="AH164" i="14"/>
  <c r="AI164" i="14"/>
  <c r="AM164" i="14"/>
  <c r="AJ164" i="14"/>
  <c r="AN164" i="14" s="1"/>
  <c r="AK164" i="14"/>
  <c r="AO164" i="14" s="1"/>
  <c r="AH165" i="14"/>
  <c r="AI165" i="14"/>
  <c r="AM165" i="14" s="1"/>
  <c r="AJ165" i="14"/>
  <c r="AN165" i="14"/>
  <c r="AK165" i="14"/>
  <c r="AO165" i="14" s="1"/>
  <c r="AH166" i="14"/>
  <c r="AI166" i="14"/>
  <c r="AM166" i="14" s="1"/>
  <c r="AJ166" i="14"/>
  <c r="AN166" i="14" s="1"/>
  <c r="AK166" i="14"/>
  <c r="AO166" i="14"/>
  <c r="AH167" i="14"/>
  <c r="AI167" i="14"/>
  <c r="AM167" i="14"/>
  <c r="AJ167" i="14"/>
  <c r="AN167" i="14" s="1"/>
  <c r="AK167" i="14"/>
  <c r="AO167" i="14" s="1"/>
  <c r="AH168" i="14"/>
  <c r="AI168" i="14"/>
  <c r="AM168" i="14" s="1"/>
  <c r="AJ168" i="14"/>
  <c r="AN168" i="14"/>
  <c r="AK168" i="14"/>
  <c r="AO168" i="14" s="1"/>
  <c r="AH169" i="14"/>
  <c r="AI169" i="14"/>
  <c r="AM169" i="14"/>
  <c r="AJ169" i="14"/>
  <c r="AN169" i="14" s="1"/>
  <c r="AK169" i="14"/>
  <c r="AO169" i="14"/>
  <c r="AH170" i="14"/>
  <c r="AI170" i="14"/>
  <c r="AM170" i="14"/>
  <c r="AJ170" i="14"/>
  <c r="AN170" i="14" s="1"/>
  <c r="AK170" i="14"/>
  <c r="AO170" i="14"/>
  <c r="AH171" i="14"/>
  <c r="AI171" i="14"/>
  <c r="AM171" i="14" s="1"/>
  <c r="AJ171" i="14"/>
  <c r="AN171" i="14"/>
  <c r="AK171" i="14"/>
  <c r="AO171" i="14" s="1"/>
  <c r="AH172" i="14"/>
  <c r="AI172" i="14"/>
  <c r="AM172" i="14" s="1"/>
  <c r="AJ172" i="14"/>
  <c r="AN172" i="14"/>
  <c r="AK172" i="14"/>
  <c r="AO172" i="14" s="1"/>
  <c r="AH173" i="14"/>
  <c r="AI173" i="14"/>
  <c r="AM173" i="14"/>
  <c r="AJ173" i="14"/>
  <c r="AN173" i="14" s="1"/>
  <c r="AK173" i="14"/>
  <c r="AO173" i="14" s="1"/>
  <c r="AH174" i="14"/>
  <c r="AI174" i="14"/>
  <c r="AM174" i="14"/>
  <c r="AJ174" i="14"/>
  <c r="AN174" i="14"/>
  <c r="AK174" i="14"/>
  <c r="AO174" i="14" s="1"/>
  <c r="AH175" i="14"/>
  <c r="AI175" i="14"/>
  <c r="AM175" i="14" s="1"/>
  <c r="AJ175" i="14"/>
  <c r="AN175" i="14" s="1"/>
  <c r="AK175" i="14"/>
  <c r="AO175" i="14"/>
  <c r="AH176" i="14"/>
  <c r="AI176" i="14"/>
  <c r="AM176" i="14"/>
  <c r="AJ176" i="14"/>
  <c r="AN176" i="14" s="1"/>
  <c r="AK176" i="14"/>
  <c r="AO176" i="14" s="1"/>
  <c r="AH177" i="14"/>
  <c r="AI177" i="14"/>
  <c r="AM177" i="14" s="1"/>
  <c r="AJ177" i="14"/>
  <c r="AN177" i="14"/>
  <c r="AK177" i="14"/>
  <c r="AO177" i="14" s="1"/>
  <c r="AH178" i="14"/>
  <c r="AI178" i="14"/>
  <c r="AM178" i="14" s="1"/>
  <c r="AJ178" i="14"/>
  <c r="AN178" i="14" s="1"/>
  <c r="AK178" i="14"/>
  <c r="AO178" i="14"/>
  <c r="AH179" i="14"/>
  <c r="AI179" i="14"/>
  <c r="AM179" i="14"/>
  <c r="AJ179" i="14"/>
  <c r="AN179" i="14" s="1"/>
  <c r="AK179" i="14"/>
  <c r="AO179" i="14" s="1"/>
  <c r="AH180" i="14"/>
  <c r="AI180" i="14"/>
  <c r="AM180" i="14" s="1"/>
  <c r="AJ180" i="14"/>
  <c r="AN180" i="14"/>
  <c r="AK180" i="14"/>
  <c r="AO180" i="14" s="1"/>
  <c r="AH181" i="14"/>
  <c r="AI181" i="14"/>
  <c r="AM181" i="14" s="1"/>
  <c r="AJ181" i="14"/>
  <c r="AN181" i="14" s="1"/>
  <c r="AK181" i="14"/>
  <c r="AO181" i="14"/>
  <c r="AH182" i="14"/>
  <c r="AI182" i="14"/>
  <c r="AM182" i="14"/>
  <c r="AJ182" i="14"/>
  <c r="AN182" i="14" s="1"/>
  <c r="AK182" i="14"/>
  <c r="AO182" i="14" s="1"/>
  <c r="AH183" i="14"/>
  <c r="AI183" i="14"/>
  <c r="AM183" i="14" s="1"/>
  <c r="AJ183" i="14"/>
  <c r="AN183" i="14"/>
  <c r="AK183" i="14"/>
  <c r="AO183" i="14" s="1"/>
  <c r="AH184" i="14"/>
  <c r="AI184" i="14"/>
  <c r="AM184" i="14" s="1"/>
  <c r="AJ184" i="14"/>
  <c r="AN184" i="14"/>
  <c r="AK184" i="14"/>
  <c r="AO184" i="14" s="1"/>
  <c r="AH185" i="14"/>
  <c r="AI185" i="14"/>
  <c r="AM185" i="14"/>
  <c r="AJ185" i="14"/>
  <c r="AN185" i="14" s="1"/>
  <c r="AK185" i="14"/>
  <c r="AO185" i="14" s="1"/>
  <c r="AH186" i="14"/>
  <c r="AI186" i="14"/>
  <c r="AM186" i="14"/>
  <c r="AJ186" i="14"/>
  <c r="AN186" i="14"/>
  <c r="AK186" i="14"/>
  <c r="AO186" i="14" s="1"/>
  <c r="AH187" i="14"/>
  <c r="AI187" i="14"/>
  <c r="AM187" i="14" s="1"/>
  <c r="AJ187" i="14"/>
  <c r="AN187" i="14" s="1"/>
  <c r="AK187" i="14"/>
  <c r="AO187" i="14"/>
  <c r="AH188" i="14"/>
  <c r="AI188" i="14"/>
  <c r="AM188" i="14" s="1"/>
  <c r="AJ188" i="14"/>
  <c r="AN188" i="14" s="1"/>
  <c r="AK188" i="14"/>
  <c r="AO188" i="14" s="1"/>
  <c r="AH189" i="14"/>
  <c r="AI189" i="14"/>
  <c r="AM189" i="14" s="1"/>
  <c r="AJ189" i="14"/>
  <c r="AN189" i="14"/>
  <c r="AK189" i="14"/>
  <c r="AO189" i="14"/>
  <c r="AH190" i="14"/>
  <c r="AI190" i="14"/>
  <c r="AM190" i="14" s="1"/>
  <c r="AJ190" i="14"/>
  <c r="AN190" i="14" s="1"/>
  <c r="AK190" i="14"/>
  <c r="AO190" i="14"/>
  <c r="AH191" i="14"/>
  <c r="AI191" i="14"/>
  <c r="AM191" i="14"/>
  <c r="AJ191" i="14"/>
  <c r="AN191" i="14" s="1"/>
  <c r="AK191" i="14"/>
  <c r="AO191" i="14"/>
  <c r="AH192" i="14"/>
  <c r="AI192" i="14"/>
  <c r="AM192" i="14" s="1"/>
  <c r="AJ192" i="14"/>
  <c r="AN192" i="14"/>
  <c r="AK192" i="14"/>
  <c r="AO192" i="14" s="1"/>
  <c r="AH193" i="14"/>
  <c r="AI193" i="14"/>
  <c r="AM193" i="14"/>
  <c r="AJ193" i="14"/>
  <c r="AN193" i="14" s="1"/>
  <c r="AK193" i="14"/>
  <c r="AO193" i="14"/>
  <c r="AH194" i="14"/>
  <c r="AI194" i="14"/>
  <c r="AM194" i="14"/>
  <c r="AJ194" i="14"/>
  <c r="AN194" i="14" s="1"/>
  <c r="AK194" i="14"/>
  <c r="AO194" i="14" s="1"/>
  <c r="AH195" i="14"/>
  <c r="AI195" i="14"/>
  <c r="AM195" i="14"/>
  <c r="AJ195" i="14"/>
  <c r="AN195" i="14"/>
  <c r="AK195" i="14"/>
  <c r="AO195" i="14" s="1"/>
  <c r="AH196" i="14"/>
  <c r="AI196" i="14"/>
  <c r="AM196" i="14" s="1"/>
  <c r="AJ196" i="14"/>
  <c r="AN196" i="14" s="1"/>
  <c r="AK196" i="14"/>
  <c r="AO196" i="14" s="1"/>
  <c r="AH197" i="14"/>
  <c r="AI197" i="14"/>
  <c r="AM197" i="14"/>
  <c r="AJ197" i="14"/>
  <c r="AN197" i="14" s="1"/>
  <c r="AK197" i="14"/>
  <c r="AO197" i="14" s="1"/>
  <c r="AH198" i="14"/>
  <c r="AI198" i="14"/>
  <c r="AM198" i="14"/>
  <c r="AJ198" i="14"/>
  <c r="AN198" i="14" s="1"/>
  <c r="AK198" i="14"/>
  <c r="AO198" i="14" s="1"/>
  <c r="AH199" i="14"/>
  <c r="AI199" i="14"/>
  <c r="AM199" i="14" s="1"/>
  <c r="AJ199" i="14"/>
  <c r="AN199" i="14" s="1"/>
  <c r="AK199" i="14"/>
  <c r="AO199" i="14"/>
  <c r="AH200" i="14"/>
  <c r="AI200" i="14"/>
  <c r="AM200" i="14" s="1"/>
  <c r="AJ200" i="14"/>
  <c r="AN200" i="14" s="1"/>
  <c r="AK200" i="14"/>
  <c r="AO200" i="14" s="1"/>
  <c r="AH201" i="14"/>
  <c r="AI201" i="14"/>
  <c r="AM201" i="14" s="1"/>
  <c r="AJ201" i="14"/>
  <c r="AN201" i="14"/>
  <c r="AK201" i="14"/>
  <c r="AO201" i="14"/>
  <c r="AH202" i="14"/>
  <c r="AI202" i="14"/>
  <c r="AM202" i="14" s="1"/>
  <c r="AJ202" i="14"/>
  <c r="AN202" i="14" s="1"/>
  <c r="AK202" i="14"/>
  <c r="AO202" i="14"/>
  <c r="AH203" i="14"/>
  <c r="AI203" i="14"/>
  <c r="AM203" i="14"/>
  <c r="AJ203" i="14"/>
  <c r="AN203" i="14"/>
  <c r="AK203" i="14"/>
  <c r="AO203" i="14"/>
  <c r="AH204" i="14"/>
  <c r="AI204" i="14"/>
  <c r="AM204" i="14" s="1"/>
  <c r="AJ204" i="14"/>
  <c r="AN204" i="14"/>
  <c r="AK204" i="14"/>
  <c r="AO204" i="14" s="1"/>
  <c r="AH205" i="14"/>
  <c r="AI205" i="14"/>
  <c r="AM205" i="14"/>
  <c r="AJ205" i="14"/>
  <c r="AN205" i="14"/>
  <c r="AK205" i="14"/>
  <c r="AO205" i="14"/>
  <c r="AH206" i="14"/>
  <c r="AI206" i="14"/>
  <c r="AM206" i="14" s="1"/>
  <c r="AJ206" i="14"/>
  <c r="AN206" i="14" s="1"/>
  <c r="AK206" i="14"/>
  <c r="AO206" i="14"/>
  <c r="AH207" i="14"/>
  <c r="AI207" i="14"/>
  <c r="AM207" i="14"/>
  <c r="AJ207" i="14"/>
  <c r="AN207" i="14"/>
  <c r="AK207" i="14"/>
  <c r="AO207" i="14" s="1"/>
  <c r="AH208" i="14"/>
  <c r="AI208" i="14"/>
  <c r="AM208" i="14" s="1"/>
  <c r="AJ208" i="14"/>
  <c r="AN208" i="14"/>
  <c r="AK208" i="14"/>
  <c r="AO208" i="14"/>
  <c r="AH209" i="14"/>
  <c r="AI209" i="14"/>
  <c r="AM209" i="14"/>
  <c r="AJ209" i="14"/>
  <c r="AN209" i="14" s="1"/>
  <c r="AK209" i="14"/>
  <c r="AO209" i="14" s="1"/>
  <c r="AH210" i="14"/>
  <c r="AI210" i="14"/>
  <c r="AM210" i="14" s="1"/>
  <c r="AJ210" i="14"/>
  <c r="AN210" i="14"/>
  <c r="AK210" i="14"/>
  <c r="AO210" i="14" s="1"/>
  <c r="AH211" i="14"/>
  <c r="AI211" i="14"/>
  <c r="AM211" i="14" s="1"/>
  <c r="AJ211" i="14"/>
  <c r="AN211" i="14" s="1"/>
  <c r="AK211" i="14"/>
  <c r="AO211" i="14"/>
  <c r="AH212" i="14"/>
  <c r="AI212" i="14"/>
  <c r="AM212" i="14"/>
  <c r="AJ212" i="14"/>
  <c r="AN212" i="14" s="1"/>
  <c r="AK212" i="14"/>
  <c r="AO212" i="14" s="1"/>
  <c r="AH213" i="14"/>
  <c r="AI213" i="14"/>
  <c r="AM213" i="14" s="1"/>
  <c r="AJ213" i="14"/>
  <c r="AN213" i="14"/>
  <c r="AK213" i="14"/>
  <c r="AO213" i="14"/>
  <c r="AH214" i="14"/>
  <c r="AI214" i="14"/>
  <c r="AM214" i="14" s="1"/>
  <c r="AJ214" i="14"/>
  <c r="AN214" i="14" s="1"/>
  <c r="AK214" i="14"/>
  <c r="AO214" i="14" s="1"/>
  <c r="AH215" i="14"/>
  <c r="AI215" i="14"/>
  <c r="AM215" i="14"/>
  <c r="AJ215" i="14"/>
  <c r="AN215" i="14"/>
  <c r="AK215" i="14"/>
  <c r="AO215" i="14" s="1"/>
  <c r="AH216" i="14"/>
  <c r="AI216" i="14"/>
  <c r="AM216" i="14" s="1"/>
  <c r="AJ216" i="14"/>
  <c r="AN216" i="14" s="1"/>
  <c r="AK216" i="14"/>
  <c r="AO216" i="14" s="1"/>
  <c r="AH217" i="14"/>
  <c r="AI217" i="14"/>
  <c r="AM217" i="14" s="1"/>
  <c r="AJ217" i="14"/>
  <c r="AN217" i="14" s="1"/>
  <c r="AK217" i="14"/>
  <c r="AO217" i="14"/>
  <c r="AH218" i="14"/>
  <c r="AI218" i="14"/>
  <c r="AM218" i="14" s="1"/>
  <c r="AJ218" i="14"/>
  <c r="AN218" i="14" s="1"/>
  <c r="AK218" i="14"/>
  <c r="AO218" i="14"/>
  <c r="AH219" i="14"/>
  <c r="AI219" i="14"/>
  <c r="AM219" i="14"/>
  <c r="AJ219" i="14"/>
  <c r="AN219" i="14"/>
  <c r="AK219" i="14"/>
  <c r="AO219" i="14" s="1"/>
  <c r="AH220" i="14"/>
  <c r="AI220" i="14"/>
  <c r="AM220" i="14" s="1"/>
  <c r="AJ220" i="14"/>
  <c r="AN220" i="14" s="1"/>
  <c r="AK220" i="14"/>
  <c r="AO220" i="14"/>
  <c r="AH221" i="14"/>
  <c r="AI221" i="14"/>
  <c r="AM221" i="14"/>
  <c r="AJ221" i="14"/>
  <c r="AN221" i="14" s="1"/>
  <c r="AK221" i="14"/>
  <c r="AO221" i="14" s="1"/>
  <c r="AH222" i="14"/>
  <c r="AI222" i="14"/>
  <c r="AM222" i="14" s="1"/>
  <c r="AJ222" i="14"/>
  <c r="AN222" i="14" s="1"/>
  <c r="AK222" i="14"/>
  <c r="AO222" i="14" s="1"/>
  <c r="AH223" i="14"/>
  <c r="AI223" i="14"/>
  <c r="AM223" i="14" s="1"/>
  <c r="AJ223" i="14"/>
  <c r="AN223" i="14" s="1"/>
  <c r="AK223" i="14"/>
  <c r="AO223" i="14"/>
  <c r="AH224" i="14"/>
  <c r="AI224" i="14"/>
  <c r="AM224" i="14" s="1"/>
  <c r="AJ224" i="14"/>
  <c r="AN224" i="14" s="1"/>
  <c r="AK224" i="14"/>
  <c r="AO224" i="14" s="1"/>
  <c r="AH225" i="14"/>
  <c r="AI225" i="14"/>
  <c r="AM225" i="14" s="1"/>
  <c r="AJ225" i="14"/>
  <c r="AN225" i="14"/>
  <c r="AK225" i="14"/>
  <c r="AO225" i="14"/>
  <c r="AH226" i="14"/>
  <c r="AI226" i="14"/>
  <c r="AM226" i="14" s="1"/>
  <c r="AJ226" i="14"/>
  <c r="AN226" i="14" s="1"/>
  <c r="AK226" i="14"/>
  <c r="AO226" i="14" s="1"/>
  <c r="AH227" i="14"/>
  <c r="AI227" i="14"/>
  <c r="AM227" i="14"/>
  <c r="AJ227" i="14"/>
  <c r="AN227" i="14"/>
  <c r="AK227" i="14"/>
  <c r="AO227" i="14"/>
  <c r="AH228" i="14"/>
  <c r="AI228" i="14"/>
  <c r="AM228" i="14" s="1"/>
  <c r="AJ228" i="14"/>
  <c r="AN228" i="14" s="1"/>
  <c r="AK228" i="14"/>
  <c r="AO228" i="14" s="1"/>
  <c r="AH229" i="14"/>
  <c r="AI229" i="14"/>
  <c r="AM229" i="14"/>
  <c r="AJ229" i="14"/>
  <c r="AN229" i="14"/>
  <c r="AK229" i="14"/>
  <c r="AO229" i="14"/>
  <c r="AH230" i="14"/>
  <c r="AI230" i="14"/>
  <c r="AM230" i="14" s="1"/>
  <c r="AJ230" i="14"/>
  <c r="AN230" i="14" s="1"/>
  <c r="AK230" i="14"/>
  <c r="AO230" i="14"/>
  <c r="AH231" i="14"/>
  <c r="AI231" i="14"/>
  <c r="AM231" i="14"/>
  <c r="AJ231" i="14"/>
  <c r="AN231" i="14"/>
  <c r="AK231" i="14"/>
  <c r="AO231" i="14"/>
  <c r="AH232" i="14"/>
  <c r="AI232" i="14"/>
  <c r="AM232" i="14" s="1"/>
  <c r="AJ232" i="14"/>
  <c r="AN232" i="14" s="1"/>
  <c r="AK232" i="14"/>
  <c r="AO232" i="14" s="1"/>
  <c r="AH233" i="14"/>
  <c r="AI233" i="14"/>
  <c r="AM233" i="14"/>
  <c r="AJ233" i="14"/>
  <c r="AN233" i="14"/>
  <c r="AK233" i="14"/>
  <c r="AO233" i="14"/>
  <c r="AH234" i="14"/>
  <c r="AI234" i="14"/>
  <c r="AM234" i="14" s="1"/>
  <c r="AJ234" i="14"/>
  <c r="AN234" i="14" s="1"/>
  <c r="AK234" i="14"/>
  <c r="AO234" i="14" s="1"/>
  <c r="AH235" i="14"/>
  <c r="AI235" i="14"/>
  <c r="AM235" i="14"/>
  <c r="AJ235" i="14"/>
  <c r="AN235" i="14" s="1"/>
  <c r="AK235" i="14"/>
  <c r="AO235" i="14"/>
  <c r="AH236" i="14"/>
  <c r="AI236" i="14"/>
  <c r="AM236" i="14" s="1"/>
  <c r="AJ236" i="14"/>
  <c r="AN236" i="14" s="1"/>
  <c r="AK236" i="14"/>
  <c r="AO236" i="14" s="1"/>
  <c r="AH237" i="14"/>
  <c r="AI237" i="14"/>
  <c r="AM237" i="14" s="1"/>
  <c r="AJ237" i="14"/>
  <c r="AN237" i="14"/>
  <c r="AK237" i="14"/>
  <c r="AO237" i="14" s="1"/>
  <c r="AH238" i="14"/>
  <c r="AI238" i="14"/>
  <c r="AM238" i="14" s="1"/>
  <c r="AJ238" i="14"/>
  <c r="AN238" i="14" s="1"/>
  <c r="AK238" i="14"/>
  <c r="AO238" i="14" s="1"/>
  <c r="AH239" i="14"/>
  <c r="AI239" i="14"/>
  <c r="AM239" i="14"/>
  <c r="AJ239" i="14"/>
  <c r="AN239" i="14" s="1"/>
  <c r="AK239" i="14"/>
  <c r="AO239" i="14"/>
  <c r="AH240" i="14"/>
  <c r="AI240" i="14"/>
  <c r="AM240" i="14" s="1"/>
  <c r="AJ240" i="14"/>
  <c r="AN240" i="14" s="1"/>
  <c r="AK240" i="14"/>
  <c r="AO240" i="14" s="1"/>
  <c r="AH241" i="14"/>
  <c r="AI241" i="14"/>
  <c r="AM241" i="14" s="1"/>
  <c r="AJ241" i="14"/>
  <c r="AN241" i="14"/>
  <c r="AK241" i="14"/>
  <c r="AO241" i="14"/>
  <c r="AH242" i="14"/>
  <c r="AI242" i="14"/>
  <c r="AM242" i="14" s="1"/>
  <c r="AJ242" i="14"/>
  <c r="AN242" i="14" s="1"/>
  <c r="AK242" i="14"/>
  <c r="AO242" i="14"/>
  <c r="AH243" i="14"/>
  <c r="AI243" i="14"/>
  <c r="AM243" i="14" s="1"/>
  <c r="AJ243" i="14"/>
  <c r="AN243" i="14"/>
  <c r="AK243" i="14"/>
  <c r="AO243" i="14"/>
  <c r="AH244" i="14"/>
  <c r="AI244" i="14"/>
  <c r="AM244" i="14" s="1"/>
  <c r="AJ244" i="14"/>
  <c r="AN244" i="14"/>
  <c r="AK244" i="14"/>
  <c r="AO244" i="14" s="1"/>
  <c r="AH245" i="14"/>
  <c r="AI245" i="14"/>
  <c r="AM245" i="14" s="1"/>
  <c r="AJ245" i="14"/>
  <c r="AN245" i="14" s="1"/>
  <c r="AK245" i="14"/>
  <c r="AO245" i="14"/>
  <c r="AH246" i="14"/>
  <c r="AI246" i="14"/>
  <c r="AM246" i="14" s="1"/>
  <c r="AJ246" i="14"/>
  <c r="AN246" i="14"/>
  <c r="AK246" i="14"/>
  <c r="AO246" i="14"/>
  <c r="AH247" i="14"/>
  <c r="AI247" i="14"/>
  <c r="AM247" i="14" s="1"/>
  <c r="AJ247" i="14"/>
  <c r="AN247" i="14" s="1"/>
  <c r="AK247" i="14"/>
  <c r="AO247" i="14"/>
  <c r="AH248" i="14"/>
  <c r="AI248" i="14"/>
  <c r="AM248" i="14" s="1"/>
  <c r="AJ248" i="14"/>
  <c r="AN248" i="14"/>
  <c r="AK248" i="14"/>
  <c r="AO248" i="14" s="1"/>
  <c r="AH249" i="14"/>
  <c r="AI249" i="14"/>
  <c r="AM249" i="14"/>
  <c r="AJ249" i="14"/>
  <c r="AN249" i="14"/>
  <c r="AK249" i="14"/>
  <c r="AO249" i="14"/>
  <c r="AH250" i="14"/>
  <c r="AI250" i="14"/>
  <c r="AM250" i="14"/>
  <c r="AJ250" i="14"/>
  <c r="AN250" i="14" s="1"/>
  <c r="AK250" i="14"/>
  <c r="AO250" i="14" s="1"/>
  <c r="AH251" i="14"/>
  <c r="AI251" i="14"/>
  <c r="AM251" i="14"/>
  <c r="AJ251" i="14"/>
  <c r="AN251" i="14" s="1"/>
  <c r="AK251" i="14"/>
  <c r="AO251" i="14"/>
  <c r="AH252" i="14"/>
  <c r="AI252" i="14"/>
  <c r="AM252" i="14" s="1"/>
  <c r="AJ252" i="14"/>
  <c r="AN252" i="14" s="1"/>
  <c r="AK252" i="14"/>
  <c r="AO252" i="14" s="1"/>
  <c r="AH253" i="14"/>
  <c r="AI253" i="14"/>
  <c r="AM253" i="14" s="1"/>
  <c r="AJ253" i="14"/>
  <c r="AN253" i="14"/>
  <c r="AK253" i="14"/>
  <c r="AO253" i="14"/>
  <c r="AH254" i="14"/>
  <c r="AI254" i="14"/>
  <c r="AM254" i="14" s="1"/>
  <c r="AJ254" i="14"/>
  <c r="AN254" i="14" s="1"/>
  <c r="AK254" i="14"/>
  <c r="AO254" i="14" s="1"/>
  <c r="AH255" i="14"/>
  <c r="AI255" i="14"/>
  <c r="AM255" i="14" s="1"/>
  <c r="AJ255" i="14"/>
  <c r="AN255" i="14"/>
  <c r="AK255" i="14"/>
  <c r="AO255" i="14"/>
  <c r="AH256" i="14"/>
  <c r="AI256" i="14"/>
  <c r="AM256" i="14" s="1"/>
  <c r="AJ256" i="14"/>
  <c r="AN256" i="14"/>
  <c r="AK256" i="14"/>
  <c r="AO256" i="14" s="1"/>
  <c r="AH257" i="14"/>
  <c r="AI257" i="14"/>
  <c r="AM257" i="14" s="1"/>
  <c r="AJ257" i="14"/>
  <c r="AN257" i="14" s="1"/>
  <c r="AK257" i="14"/>
  <c r="AO257" i="14"/>
  <c r="AH258" i="14"/>
  <c r="AI258" i="14"/>
  <c r="AM258" i="14"/>
  <c r="AJ258" i="14"/>
  <c r="AN258" i="14" s="1"/>
  <c r="AK258" i="14"/>
  <c r="AO258" i="14" s="1"/>
  <c r="AH259" i="14"/>
  <c r="AI259" i="14"/>
  <c r="AM259" i="14" s="1"/>
  <c r="AJ259" i="14"/>
  <c r="AN259" i="14"/>
  <c r="AK259" i="14"/>
  <c r="AO259" i="14"/>
  <c r="AH260" i="14"/>
  <c r="AI260" i="14"/>
  <c r="AM260" i="14" s="1"/>
  <c r="AJ260" i="14"/>
  <c r="AN260" i="14" s="1"/>
  <c r="AK260" i="14"/>
  <c r="AO260" i="14"/>
  <c r="AH261" i="14"/>
  <c r="AI261" i="14"/>
  <c r="AM261" i="14"/>
  <c r="AJ261" i="14"/>
  <c r="AN261" i="14"/>
  <c r="AK261" i="14"/>
  <c r="AO261" i="14"/>
  <c r="AH262" i="14"/>
  <c r="AI262" i="14"/>
  <c r="AM262" i="14" s="1"/>
  <c r="AJ262" i="14"/>
  <c r="AN262" i="14"/>
  <c r="AK262" i="14"/>
  <c r="AO262" i="14"/>
  <c r="AH263" i="14"/>
  <c r="AI263" i="14"/>
  <c r="AM263" i="14"/>
  <c r="AJ263" i="14"/>
  <c r="AN263" i="14"/>
  <c r="AK263" i="14"/>
  <c r="AO263" i="14"/>
  <c r="AH264" i="14"/>
  <c r="AI264" i="14"/>
  <c r="AM264" i="14"/>
  <c r="AJ264" i="14"/>
  <c r="AN264" i="14"/>
  <c r="AK264" i="14"/>
  <c r="AO264" i="14" s="1"/>
  <c r="AH265" i="14"/>
  <c r="AI265" i="14"/>
  <c r="AM265" i="14"/>
  <c r="AJ265" i="14"/>
  <c r="AN265" i="14" s="1"/>
  <c r="AK265" i="14"/>
  <c r="AO265" i="14" s="1"/>
  <c r="AH266" i="14"/>
  <c r="AI266" i="14"/>
  <c r="AM266" i="14" s="1"/>
  <c r="AJ266" i="14"/>
  <c r="AN266" i="14" s="1"/>
  <c r="AK266" i="14"/>
  <c r="AO266" i="14"/>
  <c r="AH267" i="14"/>
  <c r="AI267" i="14"/>
  <c r="AM267" i="14"/>
  <c r="AJ267" i="14"/>
  <c r="AN267" i="14"/>
  <c r="AK267" i="14"/>
  <c r="AO267" i="14" s="1"/>
  <c r="AH268" i="14"/>
  <c r="AI268" i="14"/>
  <c r="AM268" i="14" s="1"/>
  <c r="AJ268" i="14"/>
  <c r="AN268" i="14"/>
  <c r="AK268" i="14"/>
  <c r="AO268" i="14"/>
  <c r="AH269" i="14"/>
  <c r="AI269" i="14"/>
  <c r="AM269" i="14" s="1"/>
  <c r="AJ269" i="14"/>
  <c r="AN269" i="14" s="1"/>
  <c r="AK269" i="14"/>
  <c r="AO269" i="14"/>
  <c r="AH270" i="14"/>
  <c r="AI270" i="14"/>
  <c r="AM270" i="14"/>
  <c r="AJ270" i="14"/>
  <c r="AN270" i="14"/>
  <c r="AK270" i="14"/>
  <c r="AO270" i="14"/>
  <c r="AH271" i="14"/>
  <c r="AI271" i="14"/>
  <c r="AM271" i="14" s="1"/>
  <c r="AJ271" i="14"/>
  <c r="AN271" i="14"/>
  <c r="AK271" i="14"/>
  <c r="AO271" i="14"/>
  <c r="AH272" i="14"/>
  <c r="AI272" i="14"/>
  <c r="AM272" i="14"/>
  <c r="AJ272" i="14"/>
  <c r="AN272" i="14"/>
  <c r="AK272" i="14"/>
  <c r="AO272" i="14"/>
  <c r="AH273" i="14"/>
  <c r="AI273" i="14"/>
  <c r="AM273" i="14"/>
  <c r="AJ273" i="14"/>
  <c r="AN273" i="14"/>
  <c r="AK273" i="14"/>
  <c r="AO273" i="14" s="1"/>
  <c r="AH274" i="14"/>
  <c r="AI274" i="14"/>
  <c r="AM274" i="14"/>
  <c r="AJ274" i="14"/>
  <c r="AN274" i="14"/>
  <c r="AK274" i="14"/>
  <c r="AO274" i="14" s="1"/>
  <c r="AH275" i="14"/>
  <c r="AI275" i="14"/>
  <c r="AM275" i="14"/>
  <c r="AJ275" i="14"/>
  <c r="AN275" i="14"/>
  <c r="AK275" i="14"/>
  <c r="AO275" i="14"/>
  <c r="AH276" i="14"/>
  <c r="AI276" i="14"/>
  <c r="AM276" i="14"/>
  <c r="AJ276" i="14"/>
  <c r="AN276" i="14" s="1"/>
  <c r="AK276" i="14"/>
  <c r="AO276" i="14" s="1"/>
  <c r="AH277" i="14"/>
  <c r="AI277" i="14"/>
  <c r="AM277" i="14"/>
  <c r="AJ277" i="14"/>
  <c r="AN277" i="14"/>
  <c r="AK277" i="14"/>
  <c r="AO277" i="14"/>
  <c r="AH278" i="14"/>
  <c r="AI278" i="14"/>
  <c r="AM278" i="14" s="1"/>
  <c r="AJ278" i="14"/>
  <c r="AN278" i="14" s="1"/>
  <c r="AK278" i="14"/>
  <c r="AO278" i="14" s="1"/>
  <c r="AH279" i="14"/>
  <c r="AI279" i="14"/>
  <c r="AM279" i="14" s="1"/>
  <c r="AJ279" i="14"/>
  <c r="AN279" i="14"/>
  <c r="AK279" i="14"/>
  <c r="AO279" i="14" s="1"/>
  <c r="AH280" i="14"/>
  <c r="AI280" i="14"/>
  <c r="AM280" i="14" s="1"/>
  <c r="AJ280" i="14"/>
  <c r="AN280" i="14"/>
  <c r="AK280" i="14"/>
  <c r="AO280" i="14"/>
  <c r="AH281" i="14"/>
  <c r="AI281" i="14"/>
  <c r="AM281" i="14" s="1"/>
  <c r="AJ281" i="14"/>
  <c r="AN281" i="14"/>
  <c r="AK281" i="14"/>
  <c r="AO281" i="14"/>
  <c r="AH282" i="14"/>
  <c r="AI282" i="14"/>
  <c r="AM282" i="14"/>
  <c r="AJ282" i="14"/>
  <c r="AN282" i="14"/>
  <c r="AK282" i="14"/>
  <c r="AO282" i="14"/>
  <c r="AH283" i="14"/>
  <c r="AI283" i="14"/>
  <c r="AM283" i="14"/>
  <c r="AJ283" i="14"/>
  <c r="AN283" i="14"/>
  <c r="AK283" i="14"/>
  <c r="AO283" i="14"/>
  <c r="AH284" i="14"/>
  <c r="AI284" i="14"/>
  <c r="AM284" i="14"/>
  <c r="AJ284" i="14"/>
  <c r="AN284" i="14"/>
  <c r="AK284" i="14"/>
  <c r="AO284" i="14"/>
  <c r="AH285" i="14"/>
  <c r="AI285" i="14"/>
  <c r="AM285" i="14"/>
  <c r="AJ285" i="14"/>
  <c r="AN285" i="14"/>
  <c r="AK285" i="14"/>
  <c r="AO285" i="14" s="1"/>
  <c r="AH286" i="14"/>
  <c r="AI286" i="14"/>
  <c r="AM286" i="14"/>
  <c r="AJ286" i="14"/>
  <c r="AN286" i="14" s="1"/>
  <c r="AK286" i="14"/>
  <c r="AO286" i="14" s="1"/>
  <c r="AH287" i="14"/>
  <c r="AI287" i="14"/>
  <c r="AM287" i="14"/>
  <c r="AJ287" i="14"/>
  <c r="AN287" i="14" s="1"/>
  <c r="AK287" i="14"/>
  <c r="AO287" i="14"/>
  <c r="AH288" i="14"/>
  <c r="AI288" i="14"/>
  <c r="AM288" i="14"/>
  <c r="AJ288" i="14"/>
  <c r="AN288" i="14" s="1"/>
  <c r="AK288" i="14"/>
  <c r="AO288" i="14" s="1"/>
  <c r="AH289" i="14"/>
  <c r="AI289" i="14"/>
  <c r="AM289" i="14"/>
  <c r="AJ289" i="14"/>
  <c r="AN289" i="14"/>
  <c r="AK289" i="14"/>
  <c r="AO289" i="14"/>
  <c r="AH290" i="14"/>
  <c r="AI290" i="14"/>
  <c r="AM290" i="14"/>
  <c r="AJ290" i="14"/>
  <c r="AN290" i="14" s="1"/>
  <c r="AK290" i="14"/>
  <c r="AO290" i="14" s="1"/>
  <c r="AH291" i="14"/>
  <c r="AI291" i="14"/>
  <c r="AM291" i="14" s="1"/>
  <c r="AJ291" i="14"/>
  <c r="AN291" i="14"/>
  <c r="AK291" i="14"/>
  <c r="AO291" i="14"/>
  <c r="AH292" i="14"/>
  <c r="AI292" i="14"/>
  <c r="AM292" i="14" s="1"/>
  <c r="AJ292" i="14"/>
  <c r="AN292" i="14"/>
  <c r="AK292" i="14"/>
  <c r="AO292" i="14" s="1"/>
  <c r="AH293" i="14"/>
  <c r="AI293" i="14"/>
  <c r="AM293" i="14"/>
  <c r="AJ293" i="14"/>
  <c r="AN293" i="14" s="1"/>
  <c r="AK293" i="14"/>
  <c r="AO293" i="14"/>
  <c r="AH294" i="14"/>
  <c r="AI294" i="14"/>
  <c r="AM294" i="14"/>
  <c r="AJ294" i="14"/>
  <c r="AN294" i="14" s="1"/>
  <c r="AK294" i="14"/>
  <c r="AO294" i="14" s="1"/>
  <c r="AH295" i="14"/>
  <c r="AI295" i="14"/>
  <c r="AM295" i="14"/>
  <c r="AJ295" i="14"/>
  <c r="AN295" i="14" s="1"/>
  <c r="AK295" i="14"/>
  <c r="AO295" i="14"/>
  <c r="AH296" i="14"/>
  <c r="AI296" i="14"/>
  <c r="AM296" i="14" s="1"/>
  <c r="AJ296" i="14"/>
  <c r="AN296" i="14" s="1"/>
  <c r="AK296" i="14"/>
  <c r="AO296" i="14"/>
  <c r="AH297" i="14"/>
  <c r="AI297" i="14"/>
  <c r="AM297" i="14"/>
  <c r="AJ297" i="14"/>
  <c r="AN297" i="14"/>
  <c r="AK297" i="14"/>
  <c r="AO297" i="14" s="1"/>
  <c r="AH298" i="14"/>
  <c r="AI298" i="14"/>
  <c r="AM298" i="14" s="1"/>
  <c r="AJ298" i="14"/>
  <c r="AN298" i="14"/>
  <c r="AK298" i="14"/>
  <c r="AO298" i="14"/>
  <c r="AH299" i="14"/>
  <c r="AI299" i="14"/>
  <c r="AM299" i="14"/>
  <c r="AJ299" i="14"/>
  <c r="AN299" i="14" s="1"/>
  <c r="AK299" i="14"/>
  <c r="AO299" i="14"/>
  <c r="AH300" i="14"/>
  <c r="AI300" i="14"/>
  <c r="AM300" i="14"/>
  <c r="AJ300" i="14"/>
  <c r="AN300" i="14"/>
  <c r="AK300" i="14"/>
  <c r="AO300" i="14" s="1"/>
  <c r="AH301" i="14"/>
  <c r="AI301" i="14"/>
  <c r="AM301" i="14"/>
  <c r="AJ301" i="14"/>
  <c r="AN301" i="14" s="1"/>
  <c r="AK301" i="14"/>
  <c r="AO301" i="14" s="1"/>
  <c r="AH302" i="14"/>
  <c r="AI302" i="14"/>
  <c r="AM302" i="14"/>
  <c r="AJ302" i="14"/>
  <c r="AN302" i="14" s="1"/>
  <c r="AK302" i="14"/>
  <c r="AO302" i="14"/>
  <c r="AH303" i="14"/>
  <c r="AI303" i="14"/>
  <c r="AM303" i="14" s="1"/>
  <c r="AJ303" i="14"/>
  <c r="AN303" i="14"/>
  <c r="AK303" i="14"/>
  <c r="AO303" i="14"/>
  <c r="AH304" i="14"/>
  <c r="AI304" i="14"/>
  <c r="AM304" i="14" s="1"/>
  <c r="AJ304" i="14"/>
  <c r="AN304" i="14"/>
  <c r="AK304" i="14"/>
  <c r="AO304" i="14" s="1"/>
  <c r="AH305" i="14"/>
  <c r="AI305" i="14"/>
  <c r="AM305" i="14" s="1"/>
  <c r="AJ305" i="14"/>
  <c r="AN305" i="14" s="1"/>
  <c r="AK305" i="14"/>
  <c r="AO305" i="14"/>
  <c r="AH306" i="14"/>
  <c r="AI306" i="14"/>
  <c r="AM306" i="14"/>
  <c r="AJ306" i="14"/>
  <c r="AN306" i="14" s="1"/>
  <c r="AK306" i="14"/>
  <c r="AO306" i="14" s="1"/>
  <c r="AH307" i="14"/>
  <c r="AI307" i="14"/>
  <c r="AM307" i="14" s="1"/>
  <c r="AJ307" i="14"/>
  <c r="AN307" i="14"/>
  <c r="AK307" i="14"/>
  <c r="AO307" i="14"/>
  <c r="AH308" i="14"/>
  <c r="AI308" i="14"/>
  <c r="AM308" i="14" s="1"/>
  <c r="AJ308" i="14"/>
  <c r="AN308" i="14" s="1"/>
  <c r="AK308" i="14"/>
  <c r="AO308" i="14"/>
  <c r="AH309" i="14"/>
  <c r="AI309" i="14"/>
  <c r="AM309" i="14"/>
  <c r="AJ309" i="14"/>
  <c r="AN309" i="14"/>
  <c r="AK309" i="14"/>
  <c r="AO309" i="14"/>
  <c r="AH310" i="14"/>
  <c r="AI310" i="14"/>
  <c r="AM310" i="14" s="1"/>
  <c r="AJ310" i="14"/>
  <c r="AN310" i="14"/>
  <c r="AK310" i="14"/>
  <c r="AO310" i="14"/>
  <c r="AH311" i="14"/>
  <c r="AI311" i="14"/>
  <c r="AM311" i="14"/>
  <c r="AJ311" i="14"/>
  <c r="AN311" i="14" s="1"/>
  <c r="AK311" i="14"/>
  <c r="AO311" i="14"/>
  <c r="AH312" i="14"/>
  <c r="AI312" i="14"/>
  <c r="AM312" i="14"/>
  <c r="AJ312" i="14"/>
  <c r="AN312" i="14"/>
  <c r="AK312" i="14"/>
  <c r="AO312" i="14" s="1"/>
  <c r="AH313" i="14"/>
  <c r="AI313" i="14"/>
  <c r="AM313" i="14"/>
  <c r="AJ313" i="14"/>
  <c r="AN313" i="14" s="1"/>
  <c r="AK313" i="14"/>
  <c r="AO313" i="14" s="1"/>
  <c r="AH314" i="14"/>
  <c r="AI314" i="14"/>
  <c r="AM314" i="14" s="1"/>
  <c r="AJ314" i="14"/>
  <c r="AN314" i="14" s="1"/>
  <c r="AK314" i="14"/>
  <c r="AO314" i="14"/>
  <c r="AH315" i="14"/>
  <c r="AI315" i="14"/>
  <c r="AM315" i="14" s="1"/>
  <c r="AJ315" i="14"/>
  <c r="AN315" i="14"/>
  <c r="AK315" i="14"/>
  <c r="AO315" i="14" s="1"/>
  <c r="AH316" i="14"/>
  <c r="AI316" i="14"/>
  <c r="AM316" i="14" s="1"/>
  <c r="AJ316" i="14"/>
  <c r="AN316" i="14"/>
  <c r="AK316" i="14"/>
  <c r="AO316" i="14"/>
  <c r="AH317" i="14"/>
  <c r="AI317" i="14"/>
  <c r="AM317" i="14" s="1"/>
  <c r="AJ317" i="14"/>
  <c r="AN317" i="14" s="1"/>
  <c r="AK317" i="14"/>
  <c r="AO317" i="14"/>
  <c r="AH318" i="14"/>
  <c r="AI318" i="14"/>
  <c r="AM318" i="14"/>
  <c r="AJ318" i="14"/>
  <c r="AN318" i="14" s="1"/>
  <c r="AK318" i="14"/>
  <c r="AO318" i="14"/>
  <c r="AH319" i="14"/>
  <c r="AI319" i="14"/>
  <c r="AM319" i="14" s="1"/>
  <c r="AJ319" i="14"/>
  <c r="AN319" i="14"/>
  <c r="AK319" i="14"/>
  <c r="AO319" i="14"/>
  <c r="F16" i="18"/>
  <c r="Q16" i="18" s="1"/>
  <c r="U16" i="18" s="1"/>
  <c r="F21" i="18"/>
  <c r="G21" i="18" s="1"/>
  <c r="P12" i="18"/>
  <c r="AA27" i="18"/>
  <c r="F34" i="18"/>
  <c r="AA37" i="18"/>
  <c r="P15" i="18"/>
  <c r="F36" i="18"/>
  <c r="G36" i="18" s="1"/>
  <c r="P19" i="18"/>
  <c r="P23" i="18"/>
  <c r="P25" i="18"/>
  <c r="P27" i="18"/>
  <c r="P30" i="18"/>
  <c r="P33" i="18"/>
  <c r="P37" i="18"/>
  <c r="P39" i="18"/>
  <c r="P41" i="18"/>
  <c r="P43" i="18"/>
  <c r="P45" i="18"/>
  <c r="Q13" i="18"/>
  <c r="P14" i="18"/>
  <c r="P17" i="18"/>
  <c r="P18" i="18"/>
  <c r="F19" i="18"/>
  <c r="Q19" i="18" s="1"/>
  <c r="P22" i="18"/>
  <c r="P26" i="18"/>
  <c r="P28" i="18"/>
  <c r="P29" i="18"/>
  <c r="AA29" i="18"/>
  <c r="P32" i="18"/>
  <c r="F33" i="18"/>
  <c r="Q33" i="18" s="1"/>
  <c r="P34" i="18"/>
  <c r="F35" i="18"/>
  <c r="G35" i="18" s="1"/>
  <c r="AA36" i="18"/>
  <c r="P40" i="18"/>
  <c r="F41" i="18"/>
  <c r="Q41" i="18" s="1"/>
  <c r="P42" i="18"/>
  <c r="P44" i="18"/>
  <c r="F45" i="18"/>
  <c r="Q45" i="18" s="1"/>
  <c r="P13" i="18"/>
  <c r="F14" i="18"/>
  <c r="G14" i="18" s="1"/>
  <c r="F17" i="18"/>
  <c r="Q17" i="18" s="1"/>
  <c r="F38" i="18"/>
  <c r="G38" i="18" s="1"/>
  <c r="R38" i="18" s="1"/>
  <c r="F40" i="18"/>
  <c r="Q40" i="18" s="1"/>
  <c r="P16" i="18"/>
  <c r="P31" i="18"/>
  <c r="P46" i="18"/>
  <c r="P20" i="18"/>
  <c r="U45" i="18" l="1"/>
  <c r="G19" i="18"/>
  <c r="R19" i="18" s="1"/>
  <c r="Z20" i="18"/>
  <c r="U17" i="18"/>
  <c r="Z44" i="18"/>
  <c r="Z14" i="18"/>
  <c r="U33" i="18"/>
  <c r="U19" i="18"/>
  <c r="U13" i="18"/>
  <c r="R36" i="18"/>
  <c r="Z36" i="18"/>
  <c r="G33" i="18"/>
  <c r="Z33" i="18" s="1"/>
  <c r="Q23" i="18"/>
  <c r="U23" i="18" s="1"/>
  <c r="Q44" i="18"/>
  <c r="U44" i="18" s="1"/>
  <c r="G16" i="18"/>
  <c r="Z16" i="18" s="1"/>
  <c r="Z38" i="18"/>
  <c r="Z27" i="18"/>
  <c r="R27" i="18"/>
  <c r="R12" i="18"/>
  <c r="Z12" i="18"/>
  <c r="Q21" i="18"/>
  <c r="U21" i="18" s="1"/>
  <c r="R20" i="18"/>
  <c r="G45" i="18"/>
  <c r="Z45" i="18" s="1"/>
  <c r="Q27" i="18"/>
  <c r="G17" i="18"/>
  <c r="G41" i="18"/>
  <c r="R41" i="18" s="1"/>
  <c r="V41" i="18" s="1"/>
  <c r="AM345" i="14"/>
  <c r="AM348" i="14" s="1"/>
  <c r="Q32" i="18"/>
  <c r="G32" i="18"/>
  <c r="Z35" i="18"/>
  <c r="R35" i="18"/>
  <c r="R21" i="18"/>
  <c r="Z21" i="18"/>
  <c r="AN346" i="14"/>
  <c r="R44" i="18"/>
  <c r="R14" i="18"/>
  <c r="Z23" i="18"/>
  <c r="R23" i="18"/>
  <c r="Q35" i="18"/>
  <c r="U35" i="18" s="1"/>
  <c r="Z19" i="18"/>
  <c r="F37" i="18"/>
  <c r="G37" i="18" s="1"/>
  <c r="Z37" i="18" s="1"/>
  <c r="AO346" i="14"/>
  <c r="G15" i="18"/>
  <c r="Q15" i="18"/>
  <c r="F24" i="18"/>
  <c r="F26" i="18"/>
  <c r="G26" i="18" s="1"/>
  <c r="G30" i="18"/>
  <c r="Q30" i="18"/>
  <c r="Q38" i="18"/>
  <c r="AA38" i="18"/>
  <c r="Q43" i="18"/>
  <c r="G43" i="18"/>
  <c r="U40" i="18"/>
  <c r="AM346" i="14"/>
  <c r="F31" i="18"/>
  <c r="F46" i="18"/>
  <c r="AA19" i="18"/>
  <c r="AA25" i="18"/>
  <c r="F25" i="18"/>
  <c r="G25" i="18" s="1"/>
  <c r="AA45" i="18"/>
  <c r="U41" i="18"/>
  <c r="AA17" i="18"/>
  <c r="F22" i="18"/>
  <c r="P35" i="18"/>
  <c r="Q36" i="18"/>
  <c r="R13" i="18"/>
  <c r="V13" i="18" s="1"/>
  <c r="Z13" i="18"/>
  <c r="AA20" i="18"/>
  <c r="Q20" i="18"/>
  <c r="AO345" i="14"/>
  <c r="AO348" i="14" s="1"/>
  <c r="G18" i="18"/>
  <c r="Q18" i="18"/>
  <c r="U18" i="18" s="1"/>
  <c r="AA39" i="18"/>
  <c r="F39" i="18"/>
  <c r="G39" i="18" s="1"/>
  <c r="V19" i="18"/>
  <c r="Q14" i="18"/>
  <c r="Q12" i="18"/>
  <c r="Q34" i="18"/>
  <c r="G34" i="18"/>
  <c r="F42" i="18"/>
  <c r="G40" i="18"/>
  <c r="Z40" i="18" s="1"/>
  <c r="F28" i="18"/>
  <c r="F29" i="18"/>
  <c r="R33" i="18" l="1"/>
  <c r="V33" i="18" s="1"/>
  <c r="V23" i="18"/>
  <c r="X23" i="18" s="1"/>
  <c r="X19" i="18"/>
  <c r="V44" i="18"/>
  <c r="X44" i="18" s="1"/>
  <c r="R16" i="18"/>
  <c r="V16" i="18" s="1"/>
  <c r="Y16" i="18" s="1"/>
  <c r="Z41" i="18"/>
  <c r="R37" i="18"/>
  <c r="Q37" i="18"/>
  <c r="V37" i="18" s="1"/>
  <c r="V21" i="18"/>
  <c r="V27" i="18"/>
  <c r="U27" i="18"/>
  <c r="Q39" i="18"/>
  <c r="U39" i="18" s="1"/>
  <c r="X41" i="18"/>
  <c r="R45" i="18"/>
  <c r="V45" i="18" s="1"/>
  <c r="R17" i="18"/>
  <c r="V17" i="18" s="1"/>
  <c r="Z17" i="18"/>
  <c r="Y13" i="18"/>
  <c r="X13" i="18"/>
  <c r="Q29" i="18"/>
  <c r="G29" i="18"/>
  <c r="U14" i="18"/>
  <c r="V14" i="18"/>
  <c r="G28" i="18"/>
  <c r="Q28" i="18"/>
  <c r="Y19" i="18"/>
  <c r="G24" i="18"/>
  <c r="Q24" i="18"/>
  <c r="X16" i="18"/>
  <c r="Z39" i="18"/>
  <c r="R39" i="18"/>
  <c r="Y41" i="18"/>
  <c r="G46" i="18"/>
  <c r="Q46" i="18"/>
  <c r="G22" i="18"/>
  <c r="Q22" i="18"/>
  <c r="U34" i="18"/>
  <c r="R40" i="18"/>
  <c r="V40" i="18" s="1"/>
  <c r="X40" i="18" s="1"/>
  <c r="Y33" i="18"/>
  <c r="U32" i="18"/>
  <c r="U15" i="18"/>
  <c r="Y44" i="18"/>
  <c r="R34" i="18"/>
  <c r="V34" i="18" s="1"/>
  <c r="Z34" i="18"/>
  <c r="R32" i="18"/>
  <c r="V32" i="18" s="1"/>
  <c r="Z32" i="18"/>
  <c r="R18" i="18"/>
  <c r="V18" i="18" s="1"/>
  <c r="Z18" i="18"/>
  <c r="Z25" i="18"/>
  <c r="R25" i="18"/>
  <c r="U30" i="18"/>
  <c r="V36" i="18"/>
  <c r="U36" i="18"/>
  <c r="R43" i="18"/>
  <c r="Z43" i="18"/>
  <c r="R15" i="18"/>
  <c r="V15" i="18" s="1"/>
  <c r="Z15" i="18"/>
  <c r="G31" i="18"/>
  <c r="Q31" i="18"/>
  <c r="U12" i="18"/>
  <c r="V12" i="18"/>
  <c r="Q25" i="18"/>
  <c r="Z30" i="18"/>
  <c r="R30" i="18"/>
  <c r="V30" i="18" s="1"/>
  <c r="V35" i="18"/>
  <c r="U38" i="18"/>
  <c r="V38" i="18"/>
  <c r="U20" i="18"/>
  <c r="V20" i="18"/>
  <c r="Z26" i="18"/>
  <c r="R26" i="18"/>
  <c r="Y23" i="18"/>
  <c r="X33" i="18"/>
  <c r="G42" i="18"/>
  <c r="Q42" i="18"/>
  <c r="V43" i="18"/>
  <c r="U43" i="18"/>
  <c r="Q26" i="18"/>
  <c r="Y37" i="18" l="1"/>
  <c r="U37" i="18"/>
  <c r="X37" i="18" s="1"/>
  <c r="X27" i="18"/>
  <c r="Y21" i="18"/>
  <c r="X43" i="18"/>
  <c r="V39" i="18"/>
  <c r="X12" i="18"/>
  <c r="X45" i="18"/>
  <c r="Y45" i="18"/>
  <c r="X21" i="18"/>
  <c r="Y17" i="18"/>
  <c r="X17" i="18"/>
  <c r="X30" i="18"/>
  <c r="X15" i="18"/>
  <c r="X20" i="18"/>
  <c r="Y27" i="18"/>
  <c r="Y34" i="18"/>
  <c r="Y18" i="18"/>
  <c r="U24" i="18"/>
  <c r="Y43" i="18"/>
  <c r="X38" i="18"/>
  <c r="X34" i="18"/>
  <c r="Z29" i="18"/>
  <c r="R29" i="18"/>
  <c r="V29" i="18" s="1"/>
  <c r="U26" i="18"/>
  <c r="V26" i="18"/>
  <c r="Y20" i="18"/>
  <c r="U31" i="18"/>
  <c r="Y30" i="18"/>
  <c r="U22" i="18"/>
  <c r="U29" i="18"/>
  <c r="Z22" i="18"/>
  <c r="R22" i="18"/>
  <c r="V22" i="18" s="1"/>
  <c r="U46" i="18"/>
  <c r="Y35" i="18"/>
  <c r="U28" i="18"/>
  <c r="Y38" i="18"/>
  <c r="Z24" i="18"/>
  <c r="R24" i="18"/>
  <c r="V24" i="18" s="1"/>
  <c r="U42" i="18"/>
  <c r="R42" i="18"/>
  <c r="V42" i="18" s="1"/>
  <c r="Z42" i="18"/>
  <c r="X35" i="18"/>
  <c r="Y40" i="18"/>
  <c r="Z28" i="18"/>
  <c r="R28" i="18"/>
  <c r="V28" i="18" s="1"/>
  <c r="Y15" i="18"/>
  <c r="Y32" i="18"/>
  <c r="X18" i="18"/>
  <c r="Z31" i="18"/>
  <c r="R31" i="18"/>
  <c r="V31" i="18" s="1"/>
  <c r="X32" i="18"/>
  <c r="U25" i="18"/>
  <c r="V25" i="18"/>
  <c r="Y25" i="18" s="1"/>
  <c r="X36" i="18"/>
  <c r="Y14" i="18"/>
  <c r="Z46" i="18"/>
  <c r="R46" i="18"/>
  <c r="V46" i="18" s="1"/>
  <c r="Y12" i="18"/>
  <c r="Y36" i="18"/>
  <c r="X14" i="18"/>
  <c r="Y39" i="18" l="1"/>
  <c r="X39" i="18"/>
  <c r="X46" i="18"/>
  <c r="X29" i="18"/>
  <c r="Y22" i="18"/>
  <c r="Y24" i="18"/>
  <c r="Y28" i="18"/>
  <c r="X42" i="18"/>
  <c r="Y42" i="18"/>
  <c r="Y26" i="18"/>
  <c r="Y31" i="18"/>
  <c r="X31" i="18"/>
  <c r="X24" i="18"/>
  <c r="Y29" i="18"/>
  <c r="X26" i="18"/>
  <c r="Y46" i="18"/>
  <c r="X28" i="18"/>
  <c r="X22" i="18"/>
  <c r="X25" i="18"/>
</calcChain>
</file>

<file path=xl/sharedStrings.xml><?xml version="1.0" encoding="utf-8"?>
<sst xmlns="http://schemas.openxmlformats.org/spreadsheetml/2006/main" count="346" uniqueCount="119">
  <si>
    <t>協和発酵　　　　　　　　　　　</t>
  </si>
  <si>
    <t>三共　　　　　　　　　　　　　</t>
  </si>
  <si>
    <t>武田薬品工業　　　　　　　　　</t>
  </si>
  <si>
    <t>アステラス製薬　　　　　　　　</t>
  </si>
  <si>
    <t>第一製薬　　　　　　　　　　　</t>
  </si>
  <si>
    <t>塩野義製薬　　　　　　　　　　</t>
  </si>
  <si>
    <t>三菱ウェルファーマ　　　　　　</t>
  </si>
  <si>
    <t>わかもと製薬　　　　　　　　　</t>
  </si>
  <si>
    <t>日本新薬　　　　　　　　　　　</t>
  </si>
  <si>
    <t>富山化学工業　　　　　　　　　</t>
  </si>
  <si>
    <t>中外製薬　　　　　　　　　　　</t>
  </si>
  <si>
    <t>科研製薬　　　　　　　　　　　</t>
  </si>
  <si>
    <t>エーザイ　　　　　　　　　　　</t>
  </si>
  <si>
    <t>ロート製薬　　　　　　　　　　</t>
  </si>
  <si>
    <t>小野薬品工業　　　　　　　　　</t>
  </si>
  <si>
    <t>久光製薬　　　　　　　　　　　</t>
  </si>
  <si>
    <t>持田製薬　　　　　　　　　　　</t>
  </si>
  <si>
    <t>大正製薬　　　　　　　　　　　</t>
  </si>
  <si>
    <t>参天製薬　　　　　　　　　　　</t>
  </si>
  <si>
    <t>エスエス製薬　　　　　　　　　</t>
  </si>
  <si>
    <t>扶桑薬品工業　　　　　　　　　</t>
  </si>
  <si>
    <t>日本ケミファ　　　　　　　　　</t>
  </si>
  <si>
    <t>ツムラ　　　　　　　　　　　　</t>
  </si>
  <si>
    <t>キッセイ薬品工業　　　　　　　</t>
  </si>
  <si>
    <t>鳥居薬品　　　　　　　　　　　</t>
  </si>
  <si>
    <t>藤沢薬品工業　　　　　　　　　</t>
  </si>
  <si>
    <t>予想配当</t>
    <rPh sb="0" eb="2">
      <t>ヨソウ</t>
    </rPh>
    <rPh sb="2" eb="4">
      <t>ハイトウ</t>
    </rPh>
    <phoneticPr fontId="2"/>
  </si>
  <si>
    <t>当期</t>
    <rPh sb="0" eb="2">
      <t>トウキ</t>
    </rPh>
    <phoneticPr fontId="2"/>
  </si>
  <si>
    <t>1期</t>
    <rPh sb="1" eb="2">
      <t>キ</t>
    </rPh>
    <phoneticPr fontId="2"/>
  </si>
  <si>
    <t>2期</t>
    <rPh sb="1" eb="2">
      <t>キ</t>
    </rPh>
    <phoneticPr fontId="2"/>
  </si>
  <si>
    <t>連結純利益</t>
    <rPh sb="0" eb="2">
      <t>レンケツ</t>
    </rPh>
    <rPh sb="2" eb="3">
      <t>ジュン</t>
    </rPh>
    <rPh sb="3" eb="5">
      <t>リエキ</t>
    </rPh>
    <phoneticPr fontId="2"/>
  </si>
  <si>
    <t>連結経常利益</t>
    <rPh sb="0" eb="2">
      <t>レンケツ</t>
    </rPh>
    <rPh sb="2" eb="4">
      <t>ケイジョウ</t>
    </rPh>
    <rPh sb="4" eb="6">
      <t>リエキ</t>
    </rPh>
    <phoneticPr fontId="2"/>
  </si>
  <si>
    <t>株主資本コスト</t>
    <rPh sb="0" eb="2">
      <t>カブヌシ</t>
    </rPh>
    <rPh sb="2" eb="4">
      <t>シホン</t>
    </rPh>
    <phoneticPr fontId="2"/>
  </si>
  <si>
    <t>V1</t>
    <phoneticPr fontId="2"/>
  </si>
  <si>
    <t>V2</t>
    <phoneticPr fontId="2"/>
  </si>
  <si>
    <t>価格（P)</t>
    <rPh sb="0" eb="2">
      <t>カカク</t>
    </rPh>
    <phoneticPr fontId="2"/>
  </si>
  <si>
    <t>理論株価</t>
    <rPh sb="0" eb="2">
      <t>リロン</t>
    </rPh>
    <rPh sb="2" eb="4">
      <t>カブカ</t>
    </rPh>
    <phoneticPr fontId="2"/>
  </si>
  <si>
    <t>DATE</t>
  </si>
  <si>
    <t>Total Market</t>
  </si>
  <si>
    <t>Large Cap</t>
  </si>
  <si>
    <t>Small Cap</t>
  </si>
  <si>
    <t>Top Cap</t>
  </si>
  <si>
    <t>Mid Cap</t>
  </si>
  <si>
    <t>MONTHEND</t>
  </si>
  <si>
    <t>Index Return(ALL)</t>
  </si>
  <si>
    <t>Total Return(ALL)</t>
  </si>
  <si>
    <t>Index Return(Value)</t>
  </si>
  <si>
    <t>Total Return(Value)</t>
  </si>
  <si>
    <t>Index Return(Growth)</t>
  </si>
  <si>
    <t>Total Return(Growth)</t>
  </si>
  <si>
    <t>HML</t>
    <phoneticPr fontId="2"/>
  </si>
  <si>
    <t>ＢＰＳ</t>
    <phoneticPr fontId="2"/>
  </si>
  <si>
    <t>純資産</t>
    <rPh sb="0" eb="3">
      <t>ジュンシサン</t>
    </rPh>
    <phoneticPr fontId="2"/>
  </si>
  <si>
    <t>ＮＥＰＳ</t>
    <phoneticPr fontId="2"/>
  </si>
  <si>
    <t>ＥＰＳ</t>
    <phoneticPr fontId="2"/>
  </si>
  <si>
    <t>ＤＩＶ</t>
    <phoneticPr fontId="2"/>
  </si>
  <si>
    <t>ＲＯＥ</t>
    <phoneticPr fontId="2"/>
  </si>
  <si>
    <t>１株当たり</t>
    <rPh sb="1" eb="2">
      <t>カブ</t>
    </rPh>
    <rPh sb="2" eb="3">
      <t>ア</t>
    </rPh>
    <phoneticPr fontId="2"/>
  </si>
  <si>
    <t>Ｒ＆Ｄ</t>
    <phoneticPr fontId="2"/>
  </si>
  <si>
    <t>コールレート</t>
  </si>
  <si>
    <t>有担保翌日（ａ）</t>
  </si>
  <si>
    <t>無担保</t>
  </si>
  <si>
    <t>単位　年％</t>
  </si>
  <si>
    <t>オーバーナイト</t>
  </si>
  <si>
    <t>１週間</t>
  </si>
  <si>
    <t>１か月</t>
  </si>
  <si>
    <t>２か月</t>
  </si>
  <si>
    <t>３か月</t>
  </si>
  <si>
    <t>月</t>
  </si>
  <si>
    <t>末値</t>
  </si>
  <si>
    <t>平均（ｂ）</t>
  </si>
  <si>
    <t>平均</t>
  </si>
  <si>
    <t xml:space="preserve">Call Rates </t>
  </si>
  <si>
    <t>Collateralized Overnight(a)</t>
  </si>
  <si>
    <t>Uncollateralized</t>
  </si>
  <si>
    <t>Percent per annum</t>
  </si>
  <si>
    <t>Overnight</t>
  </si>
  <si>
    <t>1 Week</t>
  </si>
  <si>
    <t>1 Month</t>
  </si>
  <si>
    <t>2 Months</t>
  </si>
  <si>
    <t>3 Months</t>
  </si>
  <si>
    <t>Month</t>
  </si>
  <si>
    <t>End of Month</t>
  </si>
  <si>
    <t>Average(b)</t>
  </si>
  <si>
    <t>Average</t>
  </si>
  <si>
    <t>Srate</t>
    <phoneticPr fontId="2"/>
  </si>
  <si>
    <t>短期金利</t>
    <rPh sb="0" eb="2">
      <t>タンキ</t>
    </rPh>
    <rPh sb="2" eb="4">
      <t>キンリ</t>
    </rPh>
    <phoneticPr fontId="2"/>
  </si>
  <si>
    <t>1ヶ月ラグ</t>
    <rPh sb="2" eb="3">
      <t>ゲツ</t>
    </rPh>
    <phoneticPr fontId="2"/>
  </si>
  <si>
    <t>MKT</t>
    <phoneticPr fontId="2"/>
  </si>
  <si>
    <t>MKT-ｒｆ</t>
    <phoneticPr fontId="2"/>
  </si>
  <si>
    <t>HML</t>
    <phoneticPr fontId="2"/>
  </si>
  <si>
    <t>SMB</t>
    <phoneticPr fontId="2"/>
  </si>
  <si>
    <t>平均</t>
    <rPh sb="0" eb="2">
      <t>ヘイキン</t>
    </rPh>
    <phoneticPr fontId="2"/>
  </si>
  <si>
    <t>0107-0406</t>
    <phoneticPr fontId="2"/>
  </si>
  <si>
    <t>MKT-rf</t>
    <phoneticPr fontId="2"/>
  </si>
  <si>
    <t>長期金利（ｒｆ）</t>
    <rPh sb="0" eb="2">
      <t>チョウキ</t>
    </rPh>
    <rPh sb="2" eb="4">
      <t>キンリ</t>
    </rPh>
    <phoneticPr fontId="2"/>
  </si>
  <si>
    <t>年率</t>
    <rPh sb="0" eb="2">
      <t>ネンリツ</t>
    </rPh>
    <phoneticPr fontId="2"/>
  </si>
  <si>
    <t>大日本住友製薬　　　　　　　　</t>
  </si>
  <si>
    <t>田辺三菱製薬　　　　　　　　　</t>
  </si>
  <si>
    <t>あすか製薬　　　　　　　　　　</t>
  </si>
  <si>
    <t>みらかホールディングス　　　　</t>
  </si>
  <si>
    <t>栄研化学　　　　　　　　　　　</t>
  </si>
  <si>
    <t>沢井製薬　　　　　　　　　　　</t>
  </si>
  <si>
    <t>ゼリア新薬工業　　　　　　　　</t>
  </si>
  <si>
    <t>興和創薬　　　　　　　　　　　</t>
  </si>
  <si>
    <t>杏林製薬　　　　　　　　　　　</t>
  </si>
  <si>
    <t>7001-0406</t>
    <phoneticPr fontId="2"/>
  </si>
  <si>
    <t>V1/P</t>
    <phoneticPr fontId="2"/>
  </si>
  <si>
    <t>V2/P</t>
    <phoneticPr fontId="2"/>
  </si>
  <si>
    <t>発行済株数（百万株）</t>
    <rPh sb="0" eb="1">
      <t>ハッコウ</t>
    </rPh>
    <rPh sb="1" eb="2">
      <t>ス</t>
    </rPh>
    <rPh sb="2" eb="4">
      <t>カブスウ</t>
    </rPh>
    <rPh sb="5" eb="7">
      <t>ヒャクマン</t>
    </rPh>
    <rPh sb="7" eb="8">
      <t>カブ</t>
    </rPh>
    <phoneticPr fontId="2"/>
  </si>
  <si>
    <t>←期待リターン（TOPIXリターンの過去平均，年率）</t>
    <rPh sb="1" eb="3">
      <t>キタイ</t>
    </rPh>
    <rPh sb="18" eb="20">
      <t>カコ</t>
    </rPh>
    <rPh sb="20" eb="22">
      <t>ヘイキン</t>
    </rPh>
    <rPh sb="23" eb="25">
      <t>ネンリツ</t>
    </rPh>
    <phoneticPr fontId="2"/>
  </si>
  <si>
    <t>←割引対象のCFが長期なので10年国債利回り</t>
    <rPh sb="1" eb="3">
      <t>ワリビキ</t>
    </rPh>
    <rPh sb="3" eb="5">
      <t>タイショウ</t>
    </rPh>
    <rPh sb="9" eb="11">
      <t>チョウキ</t>
    </rPh>
    <rPh sb="16" eb="17">
      <t>ネン</t>
    </rPh>
    <rPh sb="17" eb="19">
      <t>コクサイ</t>
    </rPh>
    <rPh sb="19" eb="21">
      <t>リマワ</t>
    </rPh>
    <phoneticPr fontId="2"/>
  </si>
  <si>
    <t>CAPM基準</t>
    <rPh sb="4" eb="6">
      <t>キジュン</t>
    </rPh>
    <phoneticPr fontId="2"/>
  </si>
  <si>
    <t>インプライドリターン</t>
    <phoneticPr fontId="2"/>
  </si>
  <si>
    <t>割高・割安指標</t>
    <rPh sb="0" eb="2">
      <t>ワリダカ</t>
    </rPh>
    <rPh sb="3" eb="5">
      <t>ワリヤス</t>
    </rPh>
    <rPh sb="5" eb="7">
      <t>シヒョウ</t>
    </rPh>
    <phoneticPr fontId="2"/>
  </si>
  <si>
    <t>B/P</t>
  </si>
  <si>
    <t>E/P</t>
  </si>
  <si>
    <t>投資尺度</t>
    <rPh sb="0" eb="2">
      <t>トウシ</t>
    </rPh>
    <rPh sb="2" eb="4">
      <t>シャクド</t>
    </rPh>
    <phoneticPr fontId="2"/>
  </si>
  <si>
    <t>ヒストリカルβ</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</si>
</sst>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_-* #,##0_-;\-* #,##0_-;_-* &quot;-&quot;_-;_-@_-"/>
    <numFmt numFmtId="177" formatCode="0.0%"/>
    <numFmt numFmtId="178" formatCode="_-* #,##0.00_-;\-* #,##0.00_-;_-* &quot;-&quot;_-;_-@_-"/>
    <numFmt numFmtId="179" formatCode="0.000%"/>
    <numFmt numFmtId="180" formatCode="0.000_ "/>
    <numFmt numFmtId="181" formatCode="0_ ;[Red]\-0\ "/>
    <numFmt numFmtId="182" formatCode="0.00000_ "/>
    <numFmt numFmtId="183" formatCode="_-* #,##0.000_-;\-* #,##0.000_-;_-* &quot;-&quot;_-;_-@_-"/>
  </numFmts>
  <fonts count="5">
    <font>
      <sz val="10"/>
      <name val="ＭＳ Ｐゴシック"/>
      <family val="3"/>
      <charset val="128"/>
    </font>
    <font>
      <sz val="10"/>
      <name val="ＭＳ Ｐゴシック"/>
      <family val="3"/>
      <charset val="128"/>
    </font>
    <font>
      <sz val="6"/>
      <name val="ＭＳ Ｐゴシック"/>
      <family val="3"/>
      <charset val="128"/>
    </font>
    <font>
      <sz val="11"/>
      <name val="ＭＳ Ｐゴシック"/>
      <family val="3"/>
      <charset val="128"/>
    </font>
    <font>
      <sz val="11"/>
      <color theme="1"/>
      <name val="ＭＳ Ｐゴシック"/>
      <family val="3"/>
      <charset val="128"/>
      <scheme val="minor"/>
    </font>
  </fonts>
  <fills count="7">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43"/>
        <bgColor indexed="64"/>
      </patternFill>
    </fill>
    <fill>
      <patternFill patternType="solid">
        <fgColor rgb="FFFFFF00"/>
        <bgColor indexed="64"/>
      </patternFill>
    </fill>
    <fill>
      <patternFill patternType="solid">
        <fgColor theme="0" tint="-0.249977111117893"/>
        <bgColor indexed="64"/>
      </patternFill>
    </fill>
  </fills>
  <borders count="2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s>
  <cellStyleXfs count="6">
    <xf numFmtId="0" fontId="0" fillId="0" borderId="0"/>
    <xf numFmtId="9" fontId="1" fillId="0" borderId="0" applyFont="0" applyFill="0" applyBorder="0" applyAlignment="0" applyProtection="0"/>
    <xf numFmtId="176" fontId="1" fillId="0" borderId="0" applyFont="0" applyFill="0" applyBorder="0" applyAlignment="0" applyProtection="0"/>
    <xf numFmtId="0" fontId="4" fillId="0" borderId="0">
      <alignment vertical="center"/>
    </xf>
    <xf numFmtId="0" fontId="4" fillId="0" borderId="0">
      <alignment vertical="center"/>
    </xf>
    <xf numFmtId="0" fontId="3" fillId="0" borderId="0">
      <alignment vertical="center"/>
    </xf>
  </cellStyleXfs>
  <cellXfs count="101">
    <xf numFmtId="0" fontId="0" fillId="0" borderId="0" xfId="0"/>
    <xf numFmtId="0" fontId="0" fillId="0" borderId="0" xfId="0" quotePrefix="1" applyNumberFormat="1"/>
    <xf numFmtId="0" fontId="0" fillId="0" borderId="0" xfId="0" applyNumberFormat="1"/>
    <xf numFmtId="10" fontId="0" fillId="0" borderId="0" xfId="1" applyNumberFormat="1" applyFont="1"/>
    <xf numFmtId="180" fontId="0" fillId="0" borderId="0" xfId="0" applyNumberFormat="1"/>
    <xf numFmtId="177" fontId="0" fillId="0" borderId="0" xfId="1" applyNumberFormat="1" applyFont="1"/>
    <xf numFmtId="0" fontId="0" fillId="0" borderId="0" xfId="0" applyFill="1"/>
    <xf numFmtId="0" fontId="0" fillId="0" borderId="0" xfId="0" quotePrefix="1" applyNumberFormat="1" applyFill="1"/>
    <xf numFmtId="0" fontId="0" fillId="0" borderId="0" xfId="0" applyNumberFormat="1" applyFill="1"/>
    <xf numFmtId="179" fontId="0" fillId="0" borderId="0" xfId="1" applyNumberFormat="1" applyFont="1" applyFill="1"/>
    <xf numFmtId="177" fontId="0" fillId="0" borderId="0" xfId="0" applyNumberFormat="1" applyFill="1"/>
    <xf numFmtId="177" fontId="1" fillId="0" borderId="0" xfId="1" applyNumberFormat="1" applyFill="1"/>
    <xf numFmtId="10" fontId="0" fillId="0" borderId="0" xfId="1" applyNumberFormat="1" applyFont="1" applyFill="1"/>
    <xf numFmtId="9" fontId="0" fillId="0" borderId="0" xfId="1" applyFont="1" applyFill="1"/>
    <xf numFmtId="177" fontId="0" fillId="0" borderId="0" xfId="1" applyNumberFormat="1" applyFont="1" applyFill="1"/>
    <xf numFmtId="176" fontId="1" fillId="0" borderId="0" xfId="2" applyFill="1"/>
    <xf numFmtId="0" fontId="3" fillId="0" borderId="0" xfId="5">
      <alignment vertical="center"/>
    </xf>
    <xf numFmtId="0" fontId="3" fillId="0" borderId="0" xfId="5" applyFill="1" applyBorder="1" applyAlignment="1">
      <alignment vertical="center"/>
    </xf>
    <xf numFmtId="0" fontId="3" fillId="2" borderId="0" xfId="5" applyFill="1">
      <alignment vertical="center"/>
    </xf>
    <xf numFmtId="0" fontId="3" fillId="3" borderId="0" xfId="5" applyFill="1">
      <alignment vertical="center"/>
    </xf>
    <xf numFmtId="0" fontId="3" fillId="0" borderId="0" xfId="5" applyFont="1">
      <alignment vertical="center"/>
    </xf>
    <xf numFmtId="0" fontId="3" fillId="0" borderId="0" xfId="5" applyBorder="1">
      <alignment vertical="center"/>
    </xf>
    <xf numFmtId="0" fontId="3" fillId="0" borderId="0" xfId="5" applyFont="1" applyFill="1" applyBorder="1" applyAlignment="1">
      <alignment horizontal="center" vertic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181" fontId="0" fillId="0" borderId="4" xfId="2" applyNumberFormat="1" applyFont="1" applyBorder="1"/>
    <xf numFmtId="181" fontId="0" fillId="0" borderId="0" xfId="2" applyNumberFormat="1" applyFont="1" applyBorder="1"/>
    <xf numFmtId="181" fontId="0" fillId="0" borderId="5" xfId="2" applyNumberFormat="1" applyFont="1" applyBorder="1"/>
    <xf numFmtId="177" fontId="1" fillId="0" borderId="4" xfId="1" applyNumberFormat="1" applyBorder="1"/>
    <xf numFmtId="177" fontId="1" fillId="0" borderId="0" xfId="1" applyNumberFormat="1" applyBorder="1"/>
    <xf numFmtId="177" fontId="1" fillId="0" borderId="5" xfId="1" applyNumberFormat="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2" xfId="0" applyBorder="1"/>
    <xf numFmtId="0" fontId="0" fillId="0" borderId="11" xfId="0" applyBorder="1"/>
    <xf numFmtId="0" fontId="0" fillId="0" borderId="13" xfId="0" applyBorder="1"/>
    <xf numFmtId="0" fontId="0" fillId="0" borderId="14" xfId="0" applyBorder="1"/>
    <xf numFmtId="176" fontId="0" fillId="0" borderId="11" xfId="2" applyFont="1" applyBorder="1"/>
    <xf numFmtId="178" fontId="1" fillId="0" borderId="9" xfId="2" applyNumberFormat="1" applyBorder="1"/>
    <xf numFmtId="178" fontId="1" fillId="0" borderId="10" xfId="2" applyNumberFormat="1" applyBorder="1"/>
    <xf numFmtId="176" fontId="1" fillId="4" borderId="10" xfId="2" applyNumberFormat="1" applyFill="1" applyBorder="1"/>
    <xf numFmtId="182" fontId="0" fillId="2" borderId="0" xfId="0" applyNumberFormat="1" applyFill="1"/>
    <xf numFmtId="0" fontId="0" fillId="0" borderId="0" xfId="0" applyAlignment="1">
      <alignment vertical="center"/>
    </xf>
    <xf numFmtId="10" fontId="0" fillId="4" borderId="0" xfId="1" applyNumberFormat="1" applyFont="1" applyFill="1"/>
    <xf numFmtId="176" fontId="0" fillId="0" borderId="9" xfId="2" applyFont="1" applyBorder="1"/>
    <xf numFmtId="0" fontId="4" fillId="0" borderId="0" xfId="3">
      <alignment vertical="center"/>
    </xf>
    <xf numFmtId="0" fontId="4" fillId="5" borderId="0" xfId="3" applyFill="1">
      <alignment vertical="center"/>
    </xf>
    <xf numFmtId="0" fontId="0" fillId="0" borderId="13" xfId="0" applyFill="1" applyBorder="1"/>
    <xf numFmtId="0" fontId="0" fillId="0" borderId="15" xfId="0" applyBorder="1"/>
    <xf numFmtId="176" fontId="0" fillId="0" borderId="4" xfId="2" applyFont="1" applyBorder="1"/>
    <xf numFmtId="177" fontId="1" fillId="0" borderId="14" xfId="1" applyNumberFormat="1" applyBorder="1"/>
    <xf numFmtId="177" fontId="1" fillId="0" borderId="13" xfId="1" applyNumberFormat="1" applyFill="1" applyBorder="1"/>
    <xf numFmtId="176" fontId="1" fillId="4" borderId="9" xfId="2" applyFill="1" applyBorder="1"/>
    <xf numFmtId="176" fontId="1" fillId="0" borderId="0" xfId="2" applyBorder="1"/>
    <xf numFmtId="0" fontId="0" fillId="0" borderId="0" xfId="0" applyFill="1" applyBorder="1"/>
    <xf numFmtId="10" fontId="0" fillId="0" borderId="0" xfId="1" applyNumberFormat="1" applyFont="1" applyFill="1" applyBorder="1"/>
    <xf numFmtId="182" fontId="0" fillId="0" borderId="0" xfId="0" applyNumberFormat="1" applyFill="1" applyBorder="1"/>
    <xf numFmtId="176" fontId="1" fillId="6" borderId="9" xfId="2" applyFill="1" applyBorder="1"/>
    <xf numFmtId="0" fontId="0" fillId="0" borderId="0" xfId="0" applyBorder="1" applyAlignment="1">
      <alignment vertical="center"/>
    </xf>
    <xf numFmtId="0" fontId="0" fillId="0" borderId="16" xfId="0" applyNumberFormat="1" applyBorder="1"/>
    <xf numFmtId="0" fontId="0" fillId="0" borderId="17" xfId="0" applyBorder="1"/>
    <xf numFmtId="0" fontId="0" fillId="0" borderId="17" xfId="0" applyBorder="1" applyAlignment="1">
      <alignment vertical="center"/>
    </xf>
    <xf numFmtId="0" fontId="0" fillId="0" borderId="18" xfId="0" applyBorder="1"/>
    <xf numFmtId="0" fontId="0" fillId="5" borderId="16" xfId="0" quotePrefix="1" applyNumberFormat="1" applyFill="1" applyBorder="1"/>
    <xf numFmtId="183" fontId="0" fillId="0" borderId="16" xfId="2" applyNumberFormat="1" applyFont="1" applyBorder="1" applyAlignment="1">
      <alignment vertical="center"/>
    </xf>
    <xf numFmtId="183" fontId="0" fillId="0" borderId="17" xfId="2" applyNumberFormat="1" applyFont="1" applyBorder="1" applyAlignment="1">
      <alignment vertical="center"/>
    </xf>
    <xf numFmtId="183" fontId="0" fillId="0" borderId="18" xfId="2" applyNumberFormat="1" applyFont="1" applyBorder="1" applyAlignment="1">
      <alignment vertical="center"/>
    </xf>
    <xf numFmtId="0" fontId="0" fillId="0" borderId="19" xfId="0" applyBorder="1"/>
    <xf numFmtId="0" fontId="0" fillId="0" borderId="20" xfId="0" applyBorder="1"/>
    <xf numFmtId="0" fontId="0" fillId="0" borderId="21" xfId="0" applyBorder="1"/>
    <xf numFmtId="0" fontId="0" fillId="0" borderId="4" xfId="0" quotePrefix="1" applyNumberFormat="1" applyBorder="1"/>
    <xf numFmtId="0" fontId="0" fillId="0" borderId="0" xfId="0" quotePrefix="1" applyNumberFormat="1" applyBorder="1"/>
    <xf numFmtId="177" fontId="1" fillId="0" borderId="6" xfId="1" applyNumberFormat="1" applyBorder="1"/>
    <xf numFmtId="0" fontId="0" fillId="0" borderId="4" xfId="0" applyBorder="1" applyAlignment="1">
      <alignment vertical="center"/>
    </xf>
    <xf numFmtId="176" fontId="0" fillId="0" borderId="0" xfId="2" applyFont="1" applyBorder="1" applyAlignment="1">
      <alignment vertical="center"/>
    </xf>
    <xf numFmtId="180" fontId="0" fillId="0" borderId="5" xfId="0" applyNumberFormat="1" applyBorder="1"/>
    <xf numFmtId="0" fontId="0" fillId="0" borderId="8" xfId="0" applyBorder="1" applyAlignment="1">
      <alignment vertical="center"/>
    </xf>
    <xf numFmtId="0" fontId="0" fillId="0" borderId="7" xfId="0" applyBorder="1" applyAlignment="1">
      <alignment vertical="center"/>
    </xf>
    <xf numFmtId="176" fontId="0" fillId="0" borderId="7" xfId="2" applyFont="1" applyBorder="1" applyAlignment="1">
      <alignment vertical="center"/>
    </xf>
    <xf numFmtId="181" fontId="0" fillId="0" borderId="8" xfId="2" applyNumberFormat="1" applyFont="1" applyBorder="1"/>
    <xf numFmtId="181" fontId="0" fillId="0" borderId="7" xfId="2" applyNumberFormat="1" applyFont="1" applyBorder="1"/>
    <xf numFmtId="181" fontId="0" fillId="0" borderId="6" xfId="2" applyNumberFormat="1" applyFont="1" applyBorder="1"/>
    <xf numFmtId="177" fontId="1" fillId="0" borderId="8" xfId="1" applyNumberFormat="1" applyBorder="1"/>
    <xf numFmtId="177" fontId="1" fillId="0" borderId="7" xfId="1" applyNumberFormat="1" applyBorder="1"/>
    <xf numFmtId="176" fontId="0" fillId="0" borderId="8" xfId="2" applyFont="1" applyBorder="1"/>
    <xf numFmtId="177" fontId="1" fillId="0" borderId="14" xfId="1" applyNumberFormat="1" applyFill="1" applyBorder="1"/>
    <xf numFmtId="176" fontId="1" fillId="4" borderId="11" xfId="2" applyFill="1" applyBorder="1"/>
    <xf numFmtId="176" fontId="1" fillId="4" borderId="12" xfId="2" applyNumberFormat="1" applyFill="1" applyBorder="1"/>
    <xf numFmtId="178" fontId="1" fillId="0" borderId="11" xfId="2" applyNumberFormat="1" applyBorder="1"/>
    <xf numFmtId="178" fontId="1" fillId="0" borderId="12" xfId="2" applyNumberFormat="1" applyBorder="1"/>
    <xf numFmtId="180" fontId="0" fillId="0" borderId="6" xfId="0" applyNumberFormat="1" applyBorder="1"/>
    <xf numFmtId="0" fontId="0" fillId="5" borderId="3" xfId="0" quotePrefix="1" applyNumberFormat="1" applyFill="1" applyBorder="1"/>
    <xf numFmtId="0" fontId="0" fillId="0" borderId="5" xfId="0" applyBorder="1" applyAlignment="1">
      <alignment vertical="center"/>
    </xf>
    <xf numFmtId="176" fontId="1" fillId="6" borderId="11" xfId="2" applyFill="1" applyBorder="1"/>
  </cellXfs>
  <cellStyles count="6">
    <cellStyle name="パーセント" xfId="1" builtinId="5"/>
    <cellStyle name="桁区切り" xfId="2" builtinId="6"/>
    <cellStyle name="標準" xfId="0" builtinId="0"/>
    <cellStyle name="標準 2" xfId="3"/>
    <cellStyle name="標準 3" xfId="4"/>
    <cellStyle name="標準_EX05_performance"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89880064"/>
        <c:axId val="89881600"/>
      </c:barChart>
      <c:catAx>
        <c:axId val="89880064"/>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ＭＳ Ｐゴシック"/>
                <a:ea typeface="ＭＳ Ｐゴシック"/>
                <a:cs typeface="ＭＳ Ｐゴシック"/>
              </a:defRPr>
            </a:pPr>
            <a:endParaRPr lang="ja-JP"/>
          </a:p>
        </c:txPr>
        <c:crossAx val="89881600"/>
        <c:crosses val="autoZero"/>
        <c:auto val="1"/>
        <c:lblAlgn val="ctr"/>
        <c:lblOffset val="100"/>
        <c:tickLblSkip val="1"/>
        <c:tickMarkSkip val="1"/>
        <c:noMultiLvlLbl val="0"/>
      </c:catAx>
      <c:valAx>
        <c:axId val="89881600"/>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ＭＳ Ｐゴシック"/>
                <a:ea typeface="ＭＳ Ｐゴシック"/>
                <a:cs typeface="ＭＳ Ｐゴシック"/>
              </a:defRPr>
            </a:pPr>
            <a:endParaRPr lang="ja-JP"/>
          </a:p>
        </c:txPr>
        <c:crossAx val="89880064"/>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8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2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ser>
        <c:dLbls>
          <c:showLegendKey val="0"/>
          <c:showVal val="0"/>
          <c:showCatName val="0"/>
          <c:showSerName val="0"/>
          <c:showPercent val="0"/>
          <c:showBubbleSize val="0"/>
        </c:dLbls>
        <c:gapWidth val="150"/>
        <c:axId val="90327296"/>
        <c:axId val="90370048"/>
      </c:barChart>
      <c:catAx>
        <c:axId val="90327296"/>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ＭＳ Ｐゴシック"/>
                <a:ea typeface="ＭＳ Ｐゴシック"/>
                <a:cs typeface="ＭＳ Ｐゴシック"/>
              </a:defRPr>
            </a:pPr>
            <a:endParaRPr lang="ja-JP"/>
          </a:p>
        </c:txPr>
        <c:crossAx val="90370048"/>
        <c:crosses val="autoZero"/>
        <c:auto val="1"/>
        <c:lblAlgn val="ctr"/>
        <c:lblOffset val="100"/>
        <c:tickLblSkip val="1"/>
        <c:tickMarkSkip val="1"/>
        <c:noMultiLvlLbl val="0"/>
      </c:catAx>
      <c:valAx>
        <c:axId val="90370048"/>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ＭＳ Ｐゴシック"/>
                <a:ea typeface="ＭＳ Ｐゴシック"/>
                <a:cs typeface="ＭＳ Ｐゴシック"/>
              </a:defRPr>
            </a:pPr>
            <a:endParaRPr lang="ja-JP"/>
          </a:p>
        </c:txPr>
        <c:crossAx val="9032729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5"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25"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102894976"/>
        <c:axId val="102896768"/>
      </c:barChart>
      <c:catAx>
        <c:axId val="102894976"/>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ＭＳ Ｐゴシック"/>
                <a:ea typeface="ＭＳ Ｐゴシック"/>
                <a:cs typeface="ＭＳ Ｐゴシック"/>
              </a:defRPr>
            </a:pPr>
            <a:endParaRPr lang="ja-JP"/>
          </a:p>
        </c:txPr>
        <c:crossAx val="102896768"/>
        <c:crosses val="autoZero"/>
        <c:auto val="1"/>
        <c:lblAlgn val="ctr"/>
        <c:lblOffset val="100"/>
        <c:tickLblSkip val="1"/>
        <c:tickMarkSkip val="1"/>
        <c:noMultiLvlLbl val="0"/>
      </c:catAx>
      <c:valAx>
        <c:axId val="102896768"/>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ＭＳ Ｐゴシック"/>
                <a:ea typeface="ＭＳ Ｐゴシック"/>
                <a:cs typeface="ＭＳ Ｐゴシック"/>
              </a:defRPr>
            </a:pPr>
            <a:endParaRPr lang="ja-JP"/>
          </a:p>
        </c:txPr>
        <c:crossAx val="10289497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6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143872768"/>
        <c:axId val="143896576"/>
      </c:barChart>
      <c:catAx>
        <c:axId val="143872768"/>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ＭＳ Ｐゴシック"/>
                <a:ea typeface="ＭＳ Ｐゴシック"/>
                <a:cs typeface="ＭＳ Ｐゴシック"/>
              </a:defRPr>
            </a:pPr>
            <a:endParaRPr lang="ja-JP"/>
          </a:p>
        </c:txPr>
        <c:crossAx val="143896576"/>
        <c:crosses val="autoZero"/>
        <c:auto val="1"/>
        <c:lblAlgn val="ctr"/>
        <c:lblOffset val="100"/>
        <c:tickLblSkip val="1"/>
        <c:tickMarkSkip val="1"/>
        <c:noMultiLvlLbl val="0"/>
      </c:catAx>
      <c:valAx>
        <c:axId val="143896576"/>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ＭＳ Ｐゴシック"/>
                <a:ea typeface="ＭＳ Ｐゴシック"/>
                <a:cs typeface="ＭＳ Ｐゴシック"/>
              </a:defRPr>
            </a:pPr>
            <a:endParaRPr lang="ja-JP"/>
          </a:p>
        </c:txPr>
        <c:crossAx val="143872768"/>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8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2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ser>
        <c:dLbls>
          <c:showLegendKey val="0"/>
          <c:showVal val="0"/>
          <c:showCatName val="0"/>
          <c:showSerName val="0"/>
          <c:showPercent val="0"/>
          <c:showBubbleSize val="0"/>
        </c:dLbls>
        <c:gapWidth val="150"/>
        <c:axId val="179236864"/>
        <c:axId val="259919872"/>
      </c:barChart>
      <c:catAx>
        <c:axId val="179236864"/>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ＭＳ Ｐゴシック"/>
                <a:ea typeface="ＭＳ Ｐゴシック"/>
                <a:cs typeface="ＭＳ Ｐゴシック"/>
              </a:defRPr>
            </a:pPr>
            <a:endParaRPr lang="ja-JP"/>
          </a:p>
        </c:txPr>
        <c:crossAx val="259919872"/>
        <c:crosses val="autoZero"/>
        <c:auto val="1"/>
        <c:lblAlgn val="ctr"/>
        <c:lblOffset val="100"/>
        <c:tickLblSkip val="1"/>
        <c:tickMarkSkip val="1"/>
        <c:noMultiLvlLbl val="0"/>
      </c:catAx>
      <c:valAx>
        <c:axId val="259919872"/>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ＭＳ Ｐゴシック"/>
                <a:ea typeface="ＭＳ Ｐゴシック"/>
                <a:cs typeface="ＭＳ Ｐゴシック"/>
              </a:defRPr>
            </a:pPr>
            <a:endParaRPr lang="ja-JP"/>
          </a:p>
        </c:txPr>
        <c:crossAx val="179236864"/>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5"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25"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289630848"/>
        <c:axId val="290181504"/>
      </c:barChart>
      <c:catAx>
        <c:axId val="289630848"/>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ＭＳ Ｐゴシック"/>
                <a:ea typeface="ＭＳ Ｐゴシック"/>
                <a:cs typeface="ＭＳ Ｐゴシック"/>
              </a:defRPr>
            </a:pPr>
            <a:endParaRPr lang="ja-JP"/>
          </a:p>
        </c:txPr>
        <c:crossAx val="290181504"/>
        <c:crosses val="autoZero"/>
        <c:auto val="1"/>
        <c:lblAlgn val="ctr"/>
        <c:lblOffset val="100"/>
        <c:tickLblSkip val="1"/>
        <c:tickMarkSkip val="1"/>
        <c:noMultiLvlLbl val="0"/>
      </c:catAx>
      <c:valAx>
        <c:axId val="290181504"/>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ＭＳ Ｐゴシック"/>
                <a:ea typeface="ＭＳ Ｐゴシック"/>
                <a:cs typeface="ＭＳ Ｐゴシック"/>
              </a:defRPr>
            </a:pPr>
            <a:endParaRPr lang="ja-JP"/>
          </a:p>
        </c:txPr>
        <c:crossAx val="289630848"/>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6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140480512"/>
        <c:axId val="140482432"/>
      </c:barChart>
      <c:catAx>
        <c:axId val="140480512"/>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ＭＳ Ｐゴシック"/>
                <a:ea typeface="ＭＳ Ｐゴシック"/>
                <a:cs typeface="ＭＳ Ｐゴシック"/>
              </a:defRPr>
            </a:pPr>
            <a:endParaRPr lang="ja-JP"/>
          </a:p>
        </c:txPr>
        <c:crossAx val="140482432"/>
        <c:crosses val="autoZero"/>
        <c:auto val="1"/>
        <c:lblAlgn val="ctr"/>
        <c:lblOffset val="100"/>
        <c:tickLblSkip val="1"/>
        <c:tickMarkSkip val="1"/>
        <c:noMultiLvlLbl val="0"/>
      </c:catAx>
      <c:valAx>
        <c:axId val="140482432"/>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ＭＳ Ｐゴシック"/>
                <a:ea typeface="ＭＳ Ｐゴシック"/>
                <a:cs typeface="ＭＳ Ｐゴシック"/>
              </a:defRPr>
            </a:pPr>
            <a:endParaRPr lang="ja-JP"/>
          </a:p>
        </c:txPr>
        <c:crossAx val="140480512"/>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8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2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ser>
        <c:dLbls>
          <c:showLegendKey val="0"/>
          <c:showVal val="0"/>
          <c:showCatName val="0"/>
          <c:showSerName val="0"/>
          <c:showPercent val="0"/>
          <c:showBubbleSize val="0"/>
        </c:dLbls>
        <c:gapWidth val="150"/>
        <c:axId val="140670464"/>
        <c:axId val="140672000"/>
      </c:barChart>
      <c:catAx>
        <c:axId val="140670464"/>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ＭＳ Ｐゴシック"/>
                <a:ea typeface="ＭＳ Ｐゴシック"/>
                <a:cs typeface="ＭＳ Ｐゴシック"/>
              </a:defRPr>
            </a:pPr>
            <a:endParaRPr lang="ja-JP"/>
          </a:p>
        </c:txPr>
        <c:crossAx val="140672000"/>
        <c:crosses val="autoZero"/>
        <c:auto val="1"/>
        <c:lblAlgn val="ctr"/>
        <c:lblOffset val="100"/>
        <c:tickLblSkip val="1"/>
        <c:tickMarkSkip val="1"/>
        <c:noMultiLvlLbl val="0"/>
      </c:catAx>
      <c:valAx>
        <c:axId val="140672000"/>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ＭＳ Ｐゴシック"/>
                <a:ea typeface="ＭＳ Ｐゴシック"/>
                <a:cs typeface="ＭＳ Ｐゴシック"/>
              </a:defRPr>
            </a:pPr>
            <a:endParaRPr lang="ja-JP"/>
          </a:p>
        </c:txPr>
        <c:crossAx val="140670464"/>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5"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25"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143686656"/>
        <c:axId val="143701888"/>
      </c:barChart>
      <c:catAx>
        <c:axId val="143686656"/>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ＭＳ Ｐゴシック"/>
                <a:ea typeface="ＭＳ Ｐゴシック"/>
                <a:cs typeface="ＭＳ Ｐゴシック"/>
              </a:defRPr>
            </a:pPr>
            <a:endParaRPr lang="ja-JP"/>
          </a:p>
        </c:txPr>
        <c:crossAx val="143701888"/>
        <c:crosses val="autoZero"/>
        <c:auto val="1"/>
        <c:lblAlgn val="ctr"/>
        <c:lblOffset val="100"/>
        <c:tickLblSkip val="1"/>
        <c:tickMarkSkip val="1"/>
        <c:noMultiLvlLbl val="0"/>
      </c:catAx>
      <c:valAx>
        <c:axId val="143701888"/>
        <c:scaling>
          <c:orientation val="minMax"/>
        </c:scaling>
        <c:delete val="0"/>
        <c:axPos val="l"/>
        <c:majorGridlines>
          <c:spPr>
            <a:ln w="3175">
              <a:solidFill>
                <a:srgbClr val="000000"/>
              </a:solidFill>
              <a:prstDash val="solid"/>
            </a:ln>
          </c:spPr>
        </c:majorGridlines>
        <c:numFmt formatCode="General" sourceLinked="1"/>
        <c:majorTickMark val="in"/>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ＭＳ Ｐゴシック"/>
                <a:ea typeface="ＭＳ Ｐゴシック"/>
                <a:cs typeface="ＭＳ Ｐゴシック"/>
              </a:defRPr>
            </a:pPr>
            <a:endParaRPr lang="ja-JP"/>
          </a:p>
        </c:txPr>
        <c:crossAx val="14368665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6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4</xdr:col>
      <xdr:colOff>228600</xdr:colOff>
      <xdr:row>11</xdr:row>
      <xdr:rowOff>0</xdr:rowOff>
    </xdr:from>
    <xdr:to>
      <xdr:col>17</xdr:col>
      <xdr:colOff>9525</xdr:colOff>
      <xdr:row>11</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0</xdr:colOff>
      <xdr:row>11</xdr:row>
      <xdr:rowOff>0</xdr:rowOff>
    </xdr:from>
    <xdr:to>
      <xdr:col>30</xdr:col>
      <xdr:colOff>0</xdr:colOff>
      <xdr:row>11</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95250</xdr:colOff>
      <xdr:row>11</xdr:row>
      <xdr:rowOff>0</xdr:rowOff>
    </xdr:from>
    <xdr:to>
      <xdr:col>16</xdr:col>
      <xdr:colOff>485775</xdr:colOff>
      <xdr:row>11</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342900</xdr:colOff>
      <xdr:row>48</xdr:row>
      <xdr:rowOff>142875</xdr:rowOff>
    </xdr:from>
    <xdr:to>
      <xdr:col>6</xdr:col>
      <xdr:colOff>600075</xdr:colOff>
      <xdr:row>53</xdr:row>
      <xdr:rowOff>123825</xdr:rowOff>
    </xdr:to>
    <xdr:sp macro="" textlink="">
      <xdr:nvSpPr>
        <xdr:cNvPr id="5" name="四角形吹き出し 4"/>
        <xdr:cNvSpPr/>
      </xdr:nvSpPr>
      <xdr:spPr>
        <a:xfrm>
          <a:off x="4467225" y="7458075"/>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一株当たり純資産は利益予想と内部留保率を反映して予測値を計算している</a:t>
          </a:r>
        </a:p>
      </xdr:txBody>
    </xdr:sp>
    <xdr:clientData/>
  </xdr:twoCellAnchor>
  <xdr:twoCellAnchor>
    <xdr:from>
      <xdr:col>7</xdr:col>
      <xdr:colOff>285750</xdr:colOff>
      <xdr:row>49</xdr:row>
      <xdr:rowOff>0</xdr:rowOff>
    </xdr:from>
    <xdr:to>
      <xdr:col>9</xdr:col>
      <xdr:colOff>542925</xdr:colOff>
      <xdr:row>53</xdr:row>
      <xdr:rowOff>133350</xdr:rowOff>
    </xdr:to>
    <xdr:sp macro="" textlink="">
      <xdr:nvSpPr>
        <xdr:cNvPr id="6" name="四角形吹き出し 5"/>
        <xdr:cNvSpPr/>
      </xdr:nvSpPr>
      <xdr:spPr>
        <a:xfrm>
          <a:off x="6238875" y="746760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一株当たり純利益は，直近決算実績とアナリスト予想の数値</a:t>
          </a:r>
        </a:p>
      </xdr:txBody>
    </xdr:sp>
    <xdr:clientData/>
  </xdr:twoCellAnchor>
  <xdr:twoCellAnchor>
    <xdr:from>
      <xdr:col>10</xdr:col>
      <xdr:colOff>333375</xdr:colOff>
      <xdr:row>49</xdr:row>
      <xdr:rowOff>19050</xdr:rowOff>
    </xdr:from>
    <xdr:to>
      <xdr:col>12</xdr:col>
      <xdr:colOff>590550</xdr:colOff>
      <xdr:row>54</xdr:row>
      <xdr:rowOff>0</xdr:rowOff>
    </xdr:to>
    <xdr:sp macro="" textlink="">
      <xdr:nvSpPr>
        <xdr:cNvPr id="7" name="四角形吹き出し 6"/>
        <xdr:cNvSpPr/>
      </xdr:nvSpPr>
      <xdr:spPr>
        <a:xfrm>
          <a:off x="8115300" y="748665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一株当たり</a:t>
          </a:r>
          <a:r>
            <a:rPr kumimoji="1" lang="ja-JP" altLang="en-US" sz="1100">
              <a:solidFill>
                <a:schemeClr val="lt1"/>
              </a:solidFill>
              <a:effectLst/>
              <a:latin typeface="+mn-lt"/>
              <a:ea typeface="+mn-ea"/>
              <a:cs typeface="+mn-cs"/>
            </a:rPr>
            <a:t>経常</a:t>
          </a:r>
          <a:r>
            <a:rPr kumimoji="1" lang="ja-JP" altLang="ja-JP" sz="1100">
              <a:solidFill>
                <a:schemeClr val="lt1"/>
              </a:solidFill>
              <a:effectLst/>
              <a:latin typeface="+mn-lt"/>
              <a:ea typeface="+mn-ea"/>
              <a:cs typeface="+mn-cs"/>
            </a:rPr>
            <a:t>利益は，直近決算実績とアナリスト予想の数値</a:t>
          </a:r>
          <a:endParaRPr lang="ja-JP" altLang="ja-JP">
            <a:effectLst/>
          </a:endParaRPr>
        </a:p>
      </xdr:txBody>
    </xdr:sp>
    <xdr:clientData/>
  </xdr:twoCellAnchor>
  <xdr:twoCellAnchor>
    <xdr:from>
      <xdr:col>13</xdr:col>
      <xdr:colOff>47625</xdr:colOff>
      <xdr:row>49</xdr:row>
      <xdr:rowOff>19050</xdr:rowOff>
    </xdr:from>
    <xdr:to>
      <xdr:col>15</xdr:col>
      <xdr:colOff>304800</xdr:colOff>
      <xdr:row>54</xdr:row>
      <xdr:rowOff>0</xdr:rowOff>
    </xdr:to>
    <xdr:sp macro="" textlink="">
      <xdr:nvSpPr>
        <xdr:cNvPr id="8" name="四角形吹き出し 7"/>
        <xdr:cNvSpPr/>
      </xdr:nvSpPr>
      <xdr:spPr>
        <a:xfrm>
          <a:off x="9658350" y="748665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ja-JP" altLang="en-US" sz="1100">
              <a:solidFill>
                <a:schemeClr val="lt1"/>
              </a:solidFill>
              <a:effectLst/>
              <a:latin typeface="+mn-lt"/>
              <a:ea typeface="+mn-ea"/>
              <a:cs typeface="+mn-cs"/>
            </a:rPr>
            <a:t>配当は実績値をそのまま予測値として利用</a:t>
          </a:r>
          <a:endParaRPr lang="ja-JP" altLang="ja-JP">
            <a:effectLst/>
          </a:endParaRPr>
        </a:p>
      </xdr:txBody>
    </xdr:sp>
    <xdr:clientData/>
  </xdr:twoCellAnchor>
  <xdr:twoCellAnchor>
    <xdr:from>
      <xdr:col>20</xdr:col>
      <xdr:colOff>180975</xdr:colOff>
      <xdr:row>49</xdr:row>
      <xdr:rowOff>19050</xdr:rowOff>
    </xdr:from>
    <xdr:to>
      <xdr:col>22</xdr:col>
      <xdr:colOff>381000</xdr:colOff>
      <xdr:row>54</xdr:row>
      <xdr:rowOff>0</xdr:rowOff>
    </xdr:to>
    <xdr:sp macro="" textlink="">
      <xdr:nvSpPr>
        <xdr:cNvPr id="9" name="四角形吹き出し 8"/>
        <xdr:cNvSpPr/>
      </xdr:nvSpPr>
      <xdr:spPr>
        <a:xfrm>
          <a:off x="14601825" y="748665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ja-JP">
              <a:effectLst/>
            </a:rPr>
            <a:t>Frankel</a:t>
          </a:r>
          <a:r>
            <a:rPr lang="ja-JP" altLang="en-US">
              <a:effectLst/>
            </a:rPr>
            <a:t>－</a:t>
          </a:r>
          <a:r>
            <a:rPr lang="en-US" altLang="ja-JP">
              <a:effectLst/>
            </a:rPr>
            <a:t>LEE</a:t>
          </a:r>
          <a:r>
            <a:rPr lang="ja-JP" altLang="en-US">
              <a:effectLst/>
            </a:rPr>
            <a:t>モデルにより，理論株価を計算する．</a:t>
          </a:r>
          <a:endParaRPr lang="ja-JP" altLang="ja-JP">
            <a:effectLst/>
          </a:endParaRPr>
        </a:p>
      </xdr:txBody>
    </xdr:sp>
    <xdr:clientData/>
  </xdr:twoCellAnchor>
  <xdr:twoCellAnchor>
    <xdr:from>
      <xdr:col>18</xdr:col>
      <xdr:colOff>114300</xdr:colOff>
      <xdr:row>48</xdr:row>
      <xdr:rowOff>57148</xdr:rowOff>
    </xdr:from>
    <xdr:to>
      <xdr:col>19</xdr:col>
      <xdr:colOff>742950</xdr:colOff>
      <xdr:row>67</xdr:row>
      <xdr:rowOff>76200</xdr:rowOff>
    </xdr:to>
    <xdr:sp macro="" textlink="">
      <xdr:nvSpPr>
        <xdr:cNvPr id="10" name="四角形吹き出し 9"/>
        <xdr:cNvSpPr/>
      </xdr:nvSpPr>
      <xdr:spPr>
        <a:xfrm>
          <a:off x="12763500" y="7372348"/>
          <a:ext cx="1476375" cy="2914652"/>
        </a:xfrm>
        <a:prstGeom prst="wedgeRectCallout">
          <a:avLst>
            <a:gd name="adj1" fmla="val 31425"/>
            <a:gd name="adj2" fmla="val -6668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ja-JP" altLang="en-US">
              <a:effectLst/>
            </a:rPr>
            <a:t>インプライドリターンの初期値を</a:t>
          </a:r>
          <a:r>
            <a:rPr lang="en-US" altLang="ja-JP">
              <a:effectLst/>
            </a:rPr>
            <a:t>5.0%</a:t>
          </a:r>
          <a:r>
            <a:rPr lang="ja-JP" altLang="en-US">
              <a:effectLst/>
            </a:rPr>
            <a:t>としている．</a:t>
          </a:r>
          <a:endParaRPr lang="en-US" altLang="ja-JP">
            <a:effectLst/>
          </a:endParaRPr>
        </a:p>
        <a:p>
          <a:endParaRPr lang="en-US" altLang="ja-JP">
            <a:effectLst/>
          </a:endParaRPr>
        </a:p>
        <a:p>
          <a:r>
            <a:rPr lang="ja-JP" altLang="en-US">
              <a:effectLst/>
            </a:rPr>
            <a:t>理論株価と実際の株価（</a:t>
          </a:r>
          <a:r>
            <a:rPr lang="en-US" altLang="ja-JP">
              <a:effectLst/>
            </a:rPr>
            <a:t>P)</a:t>
          </a:r>
          <a:r>
            <a:rPr lang="ja-JP" altLang="en-US">
              <a:effectLst/>
            </a:rPr>
            <a:t>が一致するようなインプライドリターンを求める．</a:t>
          </a:r>
          <a:endParaRPr lang="en-US" altLang="ja-JP">
            <a:effectLst/>
          </a:endParaRPr>
        </a:p>
        <a:p>
          <a:endParaRPr lang="en-US" altLang="ja-JP">
            <a:effectLst/>
          </a:endParaRPr>
        </a:p>
        <a:p>
          <a:r>
            <a:rPr lang="ja-JP" altLang="en-US">
              <a:effectLst/>
            </a:rPr>
            <a:t>推定にはゴールシークを使うとよい．</a:t>
          </a:r>
          <a:endParaRPr lang="en-US" altLang="ja-JP">
            <a:effectLst/>
          </a:endParaRPr>
        </a:p>
        <a:p>
          <a:endParaRPr lang="en-US" altLang="ja-JP">
            <a:effectLst/>
          </a:endParaRPr>
        </a:p>
        <a:p>
          <a:r>
            <a:rPr lang="ja-JP" altLang="en-US">
              <a:effectLst/>
            </a:rPr>
            <a:t>ゴールシークを使うマクロ（</a:t>
          </a:r>
          <a:r>
            <a:rPr lang="en-US" altLang="ja-JP">
              <a:effectLst/>
            </a:rPr>
            <a:t>ImpliedReturn</a:t>
          </a:r>
          <a:r>
            <a:rPr lang="ja-JP" altLang="en-US">
              <a:effectLst/>
            </a:rPr>
            <a:t>）を用意している．</a:t>
          </a:r>
          <a:endParaRPr lang="en-US" altLang="ja-JP">
            <a:effectLst/>
          </a:endParaRPr>
        </a:p>
        <a:p>
          <a:endParaRPr lang="en-US" altLang="ja-JP">
            <a:effectLst/>
          </a:endParaRPr>
        </a:p>
        <a:p>
          <a:endParaRPr lang="ja-JP" altLang="ja-JP">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228600</xdr:colOff>
      <xdr:row>11</xdr:row>
      <xdr:rowOff>0</xdr:rowOff>
    </xdr:from>
    <xdr:to>
      <xdr:col>17</xdr:col>
      <xdr:colOff>9525</xdr:colOff>
      <xdr:row>11</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0</xdr:colOff>
      <xdr:row>11</xdr:row>
      <xdr:rowOff>0</xdr:rowOff>
    </xdr:from>
    <xdr:to>
      <xdr:col>30</xdr:col>
      <xdr:colOff>0</xdr:colOff>
      <xdr:row>11</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95250</xdr:colOff>
      <xdr:row>11</xdr:row>
      <xdr:rowOff>0</xdr:rowOff>
    </xdr:from>
    <xdr:to>
      <xdr:col>16</xdr:col>
      <xdr:colOff>485775</xdr:colOff>
      <xdr:row>11</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342900</xdr:colOff>
      <xdr:row>48</xdr:row>
      <xdr:rowOff>142875</xdr:rowOff>
    </xdr:from>
    <xdr:to>
      <xdr:col>6</xdr:col>
      <xdr:colOff>600075</xdr:colOff>
      <xdr:row>53</xdr:row>
      <xdr:rowOff>123825</xdr:rowOff>
    </xdr:to>
    <xdr:sp macro="" textlink="">
      <xdr:nvSpPr>
        <xdr:cNvPr id="5" name="四角形吹き出し 4"/>
        <xdr:cNvSpPr/>
      </xdr:nvSpPr>
      <xdr:spPr>
        <a:xfrm>
          <a:off x="4467225" y="7477125"/>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一株当たり純資産は利益予想と内部留保率を反映して予測値を計算している</a:t>
          </a:r>
        </a:p>
      </xdr:txBody>
    </xdr:sp>
    <xdr:clientData/>
  </xdr:twoCellAnchor>
  <xdr:twoCellAnchor>
    <xdr:from>
      <xdr:col>7</xdr:col>
      <xdr:colOff>285750</xdr:colOff>
      <xdr:row>49</xdr:row>
      <xdr:rowOff>0</xdr:rowOff>
    </xdr:from>
    <xdr:to>
      <xdr:col>9</xdr:col>
      <xdr:colOff>542925</xdr:colOff>
      <xdr:row>53</xdr:row>
      <xdr:rowOff>133350</xdr:rowOff>
    </xdr:to>
    <xdr:sp macro="" textlink="">
      <xdr:nvSpPr>
        <xdr:cNvPr id="6" name="四角形吹き出し 5"/>
        <xdr:cNvSpPr/>
      </xdr:nvSpPr>
      <xdr:spPr>
        <a:xfrm>
          <a:off x="6238875" y="748665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一株当たり純利益は，直近決算実績とアナリスト予想の数値</a:t>
          </a:r>
        </a:p>
      </xdr:txBody>
    </xdr:sp>
    <xdr:clientData/>
  </xdr:twoCellAnchor>
  <xdr:twoCellAnchor>
    <xdr:from>
      <xdr:col>10</xdr:col>
      <xdr:colOff>333375</xdr:colOff>
      <xdr:row>49</xdr:row>
      <xdr:rowOff>19050</xdr:rowOff>
    </xdr:from>
    <xdr:to>
      <xdr:col>12</xdr:col>
      <xdr:colOff>590550</xdr:colOff>
      <xdr:row>54</xdr:row>
      <xdr:rowOff>0</xdr:rowOff>
    </xdr:to>
    <xdr:sp macro="" textlink="">
      <xdr:nvSpPr>
        <xdr:cNvPr id="7" name="四角形吹き出し 6"/>
        <xdr:cNvSpPr/>
      </xdr:nvSpPr>
      <xdr:spPr>
        <a:xfrm>
          <a:off x="8115300" y="750570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一株当たり</a:t>
          </a:r>
          <a:r>
            <a:rPr kumimoji="1" lang="ja-JP" altLang="en-US" sz="1100">
              <a:solidFill>
                <a:schemeClr val="lt1"/>
              </a:solidFill>
              <a:effectLst/>
              <a:latin typeface="+mn-lt"/>
              <a:ea typeface="+mn-ea"/>
              <a:cs typeface="+mn-cs"/>
            </a:rPr>
            <a:t>経常</a:t>
          </a:r>
          <a:r>
            <a:rPr kumimoji="1" lang="ja-JP" altLang="ja-JP" sz="1100">
              <a:solidFill>
                <a:schemeClr val="lt1"/>
              </a:solidFill>
              <a:effectLst/>
              <a:latin typeface="+mn-lt"/>
              <a:ea typeface="+mn-ea"/>
              <a:cs typeface="+mn-cs"/>
            </a:rPr>
            <a:t>利益は，直近決算実績とアナリスト予想の数値</a:t>
          </a:r>
          <a:endParaRPr lang="ja-JP" altLang="ja-JP">
            <a:effectLst/>
          </a:endParaRPr>
        </a:p>
      </xdr:txBody>
    </xdr:sp>
    <xdr:clientData/>
  </xdr:twoCellAnchor>
  <xdr:twoCellAnchor>
    <xdr:from>
      <xdr:col>13</xdr:col>
      <xdr:colOff>47625</xdr:colOff>
      <xdr:row>49</xdr:row>
      <xdr:rowOff>19050</xdr:rowOff>
    </xdr:from>
    <xdr:to>
      <xdr:col>15</xdr:col>
      <xdr:colOff>304800</xdr:colOff>
      <xdr:row>54</xdr:row>
      <xdr:rowOff>0</xdr:rowOff>
    </xdr:to>
    <xdr:sp macro="" textlink="">
      <xdr:nvSpPr>
        <xdr:cNvPr id="8" name="四角形吹き出し 7"/>
        <xdr:cNvSpPr/>
      </xdr:nvSpPr>
      <xdr:spPr>
        <a:xfrm>
          <a:off x="9658350" y="750570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ja-JP" altLang="en-US" sz="1100">
              <a:solidFill>
                <a:schemeClr val="lt1"/>
              </a:solidFill>
              <a:effectLst/>
              <a:latin typeface="+mn-lt"/>
              <a:ea typeface="+mn-ea"/>
              <a:cs typeface="+mn-cs"/>
            </a:rPr>
            <a:t>配当は実績値をそのまま予測値として利用</a:t>
          </a:r>
          <a:endParaRPr lang="ja-JP" altLang="ja-JP">
            <a:effectLst/>
          </a:endParaRPr>
        </a:p>
      </xdr:txBody>
    </xdr:sp>
    <xdr:clientData/>
  </xdr:twoCellAnchor>
  <xdr:twoCellAnchor>
    <xdr:from>
      <xdr:col>20</xdr:col>
      <xdr:colOff>180975</xdr:colOff>
      <xdr:row>49</xdr:row>
      <xdr:rowOff>19050</xdr:rowOff>
    </xdr:from>
    <xdr:to>
      <xdr:col>22</xdr:col>
      <xdr:colOff>381000</xdr:colOff>
      <xdr:row>54</xdr:row>
      <xdr:rowOff>0</xdr:rowOff>
    </xdr:to>
    <xdr:sp macro="" textlink="">
      <xdr:nvSpPr>
        <xdr:cNvPr id="9" name="四角形吹き出し 8"/>
        <xdr:cNvSpPr/>
      </xdr:nvSpPr>
      <xdr:spPr>
        <a:xfrm>
          <a:off x="14601825" y="750570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ja-JP">
              <a:effectLst/>
            </a:rPr>
            <a:t>Frankel</a:t>
          </a:r>
          <a:r>
            <a:rPr lang="ja-JP" altLang="en-US">
              <a:effectLst/>
            </a:rPr>
            <a:t>－</a:t>
          </a:r>
          <a:r>
            <a:rPr lang="en-US" altLang="ja-JP">
              <a:effectLst/>
            </a:rPr>
            <a:t>LEE</a:t>
          </a:r>
          <a:r>
            <a:rPr lang="ja-JP" altLang="en-US">
              <a:effectLst/>
            </a:rPr>
            <a:t>モデルで推定した理論株価</a:t>
          </a:r>
          <a:endParaRPr lang="ja-JP" altLang="ja-JP">
            <a:effectLst/>
          </a:endParaRPr>
        </a:p>
      </xdr:txBody>
    </xdr:sp>
    <xdr:clientData/>
  </xdr:twoCellAnchor>
  <xdr:twoCellAnchor>
    <xdr:from>
      <xdr:col>18</xdr:col>
      <xdr:colOff>114300</xdr:colOff>
      <xdr:row>48</xdr:row>
      <xdr:rowOff>57149</xdr:rowOff>
    </xdr:from>
    <xdr:to>
      <xdr:col>19</xdr:col>
      <xdr:colOff>742950</xdr:colOff>
      <xdr:row>62</xdr:row>
      <xdr:rowOff>142875</xdr:rowOff>
    </xdr:to>
    <xdr:sp macro="" textlink="">
      <xdr:nvSpPr>
        <xdr:cNvPr id="10" name="四角形吹き出し 9"/>
        <xdr:cNvSpPr/>
      </xdr:nvSpPr>
      <xdr:spPr>
        <a:xfrm>
          <a:off x="12763500" y="7372349"/>
          <a:ext cx="1476375" cy="2219326"/>
        </a:xfrm>
        <a:prstGeom prst="wedgeRectCallout">
          <a:avLst>
            <a:gd name="adj1" fmla="val 31425"/>
            <a:gd name="adj2" fmla="val -6668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ja-JP" altLang="en-US">
              <a:effectLst/>
            </a:rPr>
            <a:t>理論株価（</a:t>
          </a:r>
          <a:r>
            <a:rPr lang="en-US" altLang="ja-JP">
              <a:effectLst/>
            </a:rPr>
            <a:t>V2)</a:t>
          </a:r>
          <a:r>
            <a:rPr lang="ja-JP" altLang="en-US">
              <a:effectLst/>
            </a:rPr>
            <a:t>と株価（</a:t>
          </a:r>
          <a:r>
            <a:rPr lang="en-US" altLang="ja-JP">
              <a:effectLst/>
            </a:rPr>
            <a:t>P)</a:t>
          </a:r>
          <a:r>
            <a:rPr lang="ja-JP" altLang="en-US">
              <a:effectLst/>
            </a:rPr>
            <a:t>が一致するようにインプライドリターンを推定している</a:t>
          </a:r>
          <a:endParaRPr lang="en-US" altLang="ja-JP">
            <a:effectLst/>
          </a:endParaRPr>
        </a:p>
        <a:p>
          <a:endParaRPr lang="en-US" altLang="ja-JP">
            <a:effectLst/>
          </a:endParaRPr>
        </a:p>
        <a:p>
          <a:r>
            <a:rPr lang="ja-JP" altLang="en-US">
              <a:effectLst/>
            </a:rPr>
            <a:t>推定にはゴールシークを使う．なお，ゴールシークを使うマクロ（</a:t>
          </a:r>
          <a:r>
            <a:rPr lang="en-US" altLang="ja-JP">
              <a:effectLst/>
            </a:rPr>
            <a:t>ImpliedReturn</a:t>
          </a:r>
          <a:r>
            <a:rPr lang="ja-JP" altLang="en-US">
              <a:effectLst/>
            </a:rPr>
            <a:t>）を用意している．</a:t>
          </a:r>
          <a:endParaRPr lang="en-US" altLang="ja-JP">
            <a:effectLst/>
          </a:endParaRPr>
        </a:p>
        <a:p>
          <a:endParaRPr lang="en-US" altLang="ja-JP">
            <a:effectLst/>
          </a:endParaRPr>
        </a:p>
        <a:p>
          <a:endParaRPr lang="ja-JP" altLang="ja-JP">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228600</xdr:colOff>
      <xdr:row>11</xdr:row>
      <xdr:rowOff>0</xdr:rowOff>
    </xdr:from>
    <xdr:to>
      <xdr:col>17</xdr:col>
      <xdr:colOff>9525</xdr:colOff>
      <xdr:row>11</xdr:row>
      <xdr:rowOff>0</xdr:rowOff>
    </xdr:to>
    <xdr:graphicFrame macro="">
      <xdr:nvGraphicFramePr>
        <xdr:cNvPr id="645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0</xdr:colOff>
      <xdr:row>11</xdr:row>
      <xdr:rowOff>0</xdr:rowOff>
    </xdr:from>
    <xdr:to>
      <xdr:col>30</xdr:col>
      <xdr:colOff>0</xdr:colOff>
      <xdr:row>11</xdr:row>
      <xdr:rowOff>0</xdr:rowOff>
    </xdr:to>
    <xdr:graphicFrame macro="">
      <xdr:nvGraphicFramePr>
        <xdr:cNvPr id="6452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95250</xdr:colOff>
      <xdr:row>11</xdr:row>
      <xdr:rowOff>0</xdr:rowOff>
    </xdr:from>
    <xdr:to>
      <xdr:col>16</xdr:col>
      <xdr:colOff>485775</xdr:colOff>
      <xdr:row>11</xdr:row>
      <xdr:rowOff>0</xdr:rowOff>
    </xdr:to>
    <xdr:graphicFrame macro="">
      <xdr:nvGraphicFramePr>
        <xdr:cNvPr id="6453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342900</xdr:colOff>
      <xdr:row>48</xdr:row>
      <xdr:rowOff>142875</xdr:rowOff>
    </xdr:from>
    <xdr:to>
      <xdr:col>6</xdr:col>
      <xdr:colOff>600075</xdr:colOff>
      <xdr:row>53</xdr:row>
      <xdr:rowOff>123825</xdr:rowOff>
    </xdr:to>
    <xdr:sp macro="" textlink="">
      <xdr:nvSpPr>
        <xdr:cNvPr id="2" name="四角形吹き出し 1"/>
        <xdr:cNvSpPr/>
      </xdr:nvSpPr>
      <xdr:spPr>
        <a:xfrm>
          <a:off x="4467225" y="7467600"/>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一株当たり純資産は利益予想と内部留保率を反映して予測値を計算している</a:t>
          </a:r>
        </a:p>
      </xdr:txBody>
    </xdr:sp>
    <xdr:clientData/>
  </xdr:twoCellAnchor>
  <xdr:twoCellAnchor>
    <xdr:from>
      <xdr:col>7</xdr:col>
      <xdr:colOff>285750</xdr:colOff>
      <xdr:row>49</xdr:row>
      <xdr:rowOff>0</xdr:rowOff>
    </xdr:from>
    <xdr:to>
      <xdr:col>9</xdr:col>
      <xdr:colOff>542925</xdr:colOff>
      <xdr:row>53</xdr:row>
      <xdr:rowOff>133350</xdr:rowOff>
    </xdr:to>
    <xdr:sp macro="" textlink="">
      <xdr:nvSpPr>
        <xdr:cNvPr id="6" name="四角形吹き出し 5"/>
        <xdr:cNvSpPr/>
      </xdr:nvSpPr>
      <xdr:spPr>
        <a:xfrm>
          <a:off x="6238875" y="7477125"/>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一株当たり純利益は，直近決算実績とアナリスト予想の数値</a:t>
          </a:r>
        </a:p>
      </xdr:txBody>
    </xdr:sp>
    <xdr:clientData/>
  </xdr:twoCellAnchor>
  <xdr:twoCellAnchor>
    <xdr:from>
      <xdr:col>10</xdr:col>
      <xdr:colOff>333375</xdr:colOff>
      <xdr:row>49</xdr:row>
      <xdr:rowOff>19050</xdr:rowOff>
    </xdr:from>
    <xdr:to>
      <xdr:col>12</xdr:col>
      <xdr:colOff>590550</xdr:colOff>
      <xdr:row>54</xdr:row>
      <xdr:rowOff>0</xdr:rowOff>
    </xdr:to>
    <xdr:sp macro="" textlink="">
      <xdr:nvSpPr>
        <xdr:cNvPr id="7" name="四角形吹き出し 6"/>
        <xdr:cNvSpPr/>
      </xdr:nvSpPr>
      <xdr:spPr>
        <a:xfrm>
          <a:off x="8115300" y="7496175"/>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一株当たり</a:t>
          </a:r>
          <a:r>
            <a:rPr kumimoji="1" lang="ja-JP" altLang="en-US" sz="1100">
              <a:solidFill>
                <a:schemeClr val="lt1"/>
              </a:solidFill>
              <a:effectLst/>
              <a:latin typeface="+mn-lt"/>
              <a:ea typeface="+mn-ea"/>
              <a:cs typeface="+mn-cs"/>
            </a:rPr>
            <a:t>経常</a:t>
          </a:r>
          <a:r>
            <a:rPr kumimoji="1" lang="ja-JP" altLang="ja-JP" sz="1100">
              <a:solidFill>
                <a:schemeClr val="lt1"/>
              </a:solidFill>
              <a:effectLst/>
              <a:latin typeface="+mn-lt"/>
              <a:ea typeface="+mn-ea"/>
              <a:cs typeface="+mn-cs"/>
            </a:rPr>
            <a:t>利益は，直近決算実績とアナリスト予想の数値</a:t>
          </a:r>
          <a:endParaRPr lang="ja-JP" altLang="ja-JP">
            <a:effectLst/>
          </a:endParaRPr>
        </a:p>
      </xdr:txBody>
    </xdr:sp>
    <xdr:clientData/>
  </xdr:twoCellAnchor>
  <xdr:twoCellAnchor>
    <xdr:from>
      <xdr:col>13</xdr:col>
      <xdr:colOff>47625</xdr:colOff>
      <xdr:row>49</xdr:row>
      <xdr:rowOff>19050</xdr:rowOff>
    </xdr:from>
    <xdr:to>
      <xdr:col>15</xdr:col>
      <xdr:colOff>304800</xdr:colOff>
      <xdr:row>54</xdr:row>
      <xdr:rowOff>0</xdr:rowOff>
    </xdr:to>
    <xdr:sp macro="" textlink="">
      <xdr:nvSpPr>
        <xdr:cNvPr id="8" name="四角形吹き出し 7"/>
        <xdr:cNvSpPr/>
      </xdr:nvSpPr>
      <xdr:spPr>
        <a:xfrm>
          <a:off x="9658350" y="7496175"/>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ja-JP" altLang="en-US" sz="1100">
              <a:solidFill>
                <a:schemeClr val="lt1"/>
              </a:solidFill>
              <a:effectLst/>
              <a:latin typeface="+mn-lt"/>
              <a:ea typeface="+mn-ea"/>
              <a:cs typeface="+mn-cs"/>
            </a:rPr>
            <a:t>配当は実績値をそのまま予測値として利用</a:t>
          </a:r>
          <a:endParaRPr lang="ja-JP" altLang="ja-JP">
            <a:effectLst/>
          </a:endParaRPr>
        </a:p>
      </xdr:txBody>
    </xdr:sp>
    <xdr:clientData/>
  </xdr:twoCellAnchor>
  <xdr:twoCellAnchor>
    <xdr:from>
      <xdr:col>20</xdr:col>
      <xdr:colOff>180975</xdr:colOff>
      <xdr:row>49</xdr:row>
      <xdr:rowOff>19050</xdr:rowOff>
    </xdr:from>
    <xdr:to>
      <xdr:col>22</xdr:col>
      <xdr:colOff>381000</xdr:colOff>
      <xdr:row>54</xdr:row>
      <xdr:rowOff>0</xdr:rowOff>
    </xdr:to>
    <xdr:sp macro="" textlink="">
      <xdr:nvSpPr>
        <xdr:cNvPr id="10" name="四角形吹き出し 9"/>
        <xdr:cNvSpPr/>
      </xdr:nvSpPr>
      <xdr:spPr>
        <a:xfrm>
          <a:off x="14277975" y="7496175"/>
          <a:ext cx="1476375" cy="742950"/>
        </a:xfrm>
        <a:prstGeom prst="wedgeRectCallout">
          <a:avLst>
            <a:gd name="adj1" fmla="val 2392"/>
            <a:gd name="adj2" fmla="val -900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ja-JP">
              <a:effectLst/>
            </a:rPr>
            <a:t>Frankel</a:t>
          </a:r>
          <a:r>
            <a:rPr lang="ja-JP" altLang="en-US">
              <a:effectLst/>
            </a:rPr>
            <a:t>－</a:t>
          </a:r>
          <a:r>
            <a:rPr lang="en-US" altLang="ja-JP">
              <a:effectLst/>
            </a:rPr>
            <a:t>LEE</a:t>
          </a:r>
          <a:r>
            <a:rPr lang="ja-JP" altLang="en-US">
              <a:effectLst/>
            </a:rPr>
            <a:t>モデルで推定した理論株価</a:t>
          </a:r>
          <a:endParaRPr lang="ja-JP" altLang="ja-JP">
            <a:effectLst/>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589"/>
  <sheetViews>
    <sheetView topLeftCell="A549" workbookViewId="0">
      <selection activeCell="E587" sqref="E587"/>
    </sheetView>
  </sheetViews>
  <sheetFormatPr defaultRowHeight="13.5"/>
  <cols>
    <col min="1" max="16384" width="9.140625" style="52"/>
  </cols>
  <sheetData>
    <row r="1" spans="1:13">
      <c r="A1" s="52" t="s">
        <v>59</v>
      </c>
    </row>
    <row r="2" spans="1:13">
      <c r="B2" s="52" t="s">
        <v>60</v>
      </c>
      <c r="D2" s="52" t="s">
        <v>61</v>
      </c>
    </row>
    <row r="3" spans="1:13">
      <c r="A3" s="52" t="s">
        <v>62</v>
      </c>
      <c r="D3" s="52" t="s">
        <v>63</v>
      </c>
      <c r="F3" s="52" t="s">
        <v>64</v>
      </c>
      <c r="H3" s="52" t="s">
        <v>65</v>
      </c>
      <c r="J3" s="52" t="s">
        <v>66</v>
      </c>
      <c r="L3" s="52" t="s">
        <v>67</v>
      </c>
    </row>
    <row r="4" spans="1:13">
      <c r="A4" s="52" t="s">
        <v>68</v>
      </c>
      <c r="B4" s="52" t="s">
        <v>69</v>
      </c>
      <c r="C4" s="52" t="s">
        <v>70</v>
      </c>
      <c r="D4" s="52" t="s">
        <v>69</v>
      </c>
      <c r="E4" s="52" t="s">
        <v>71</v>
      </c>
      <c r="F4" s="52" t="s">
        <v>69</v>
      </c>
      <c r="G4" s="52" t="s">
        <v>71</v>
      </c>
      <c r="H4" s="52" t="s">
        <v>69</v>
      </c>
      <c r="I4" s="52" t="s">
        <v>71</v>
      </c>
      <c r="J4" s="52" t="s">
        <v>69</v>
      </c>
      <c r="K4" s="52" t="s">
        <v>71</v>
      </c>
      <c r="L4" s="52" t="s">
        <v>69</v>
      </c>
      <c r="M4" s="52" t="s">
        <v>71</v>
      </c>
    </row>
    <row r="6" spans="1:13">
      <c r="A6" s="52" t="s">
        <v>72</v>
      </c>
    </row>
    <row r="7" spans="1:13">
      <c r="B7" s="52" t="s">
        <v>73</v>
      </c>
      <c r="D7" s="52" t="s">
        <v>74</v>
      </c>
    </row>
    <row r="8" spans="1:13">
      <c r="A8" s="52" t="s">
        <v>75</v>
      </c>
      <c r="D8" s="52" t="s">
        <v>76</v>
      </c>
      <c r="F8" s="52" t="s">
        <v>77</v>
      </c>
      <c r="H8" s="52" t="s">
        <v>78</v>
      </c>
      <c r="J8" s="52" t="s">
        <v>79</v>
      </c>
      <c r="L8" s="52" t="s">
        <v>80</v>
      </c>
    </row>
    <row r="9" spans="1:13">
      <c r="A9" s="52" t="s">
        <v>81</v>
      </c>
      <c r="B9" s="52" t="s">
        <v>82</v>
      </c>
      <c r="C9" s="52" t="s">
        <v>83</v>
      </c>
      <c r="D9" s="52" t="s">
        <v>82</v>
      </c>
      <c r="E9" s="52" t="s">
        <v>84</v>
      </c>
      <c r="F9" s="52" t="s">
        <v>82</v>
      </c>
      <c r="G9" s="52" t="s">
        <v>84</v>
      </c>
      <c r="H9" s="52" t="s">
        <v>82</v>
      </c>
      <c r="I9" s="52" t="s">
        <v>84</v>
      </c>
      <c r="J9" s="52" t="s">
        <v>82</v>
      </c>
      <c r="K9" s="52" t="s">
        <v>84</v>
      </c>
      <c r="L9" s="52" t="s">
        <v>82</v>
      </c>
      <c r="M9" s="52" t="s">
        <v>84</v>
      </c>
    </row>
    <row r="10" spans="1:13">
      <c r="A10" s="52">
        <v>1960.01</v>
      </c>
      <c r="B10" s="52">
        <v>8.3949999999999996</v>
      </c>
      <c r="C10" s="52">
        <v>8.4</v>
      </c>
    </row>
    <row r="11" spans="1:13">
      <c r="A11" s="52">
        <v>1960.02</v>
      </c>
      <c r="B11" s="52">
        <v>8.3949999999999996</v>
      </c>
      <c r="C11" s="52">
        <v>8.4</v>
      </c>
    </row>
    <row r="12" spans="1:13">
      <c r="A12" s="52">
        <v>1960.03</v>
      </c>
      <c r="B12" s="52">
        <v>8.3949999999999996</v>
      </c>
      <c r="C12" s="52">
        <v>8.4</v>
      </c>
    </row>
    <row r="13" spans="1:13">
      <c r="A13" s="52">
        <v>1960.04</v>
      </c>
      <c r="B13" s="52">
        <v>8.3949999999999996</v>
      </c>
      <c r="C13" s="52">
        <v>8.4</v>
      </c>
    </row>
    <row r="14" spans="1:13">
      <c r="A14" s="52">
        <v>1960.05</v>
      </c>
      <c r="B14" s="52">
        <v>8.3949999999999996</v>
      </c>
      <c r="C14" s="52">
        <v>8.4</v>
      </c>
    </row>
    <row r="15" spans="1:13">
      <c r="A15" s="52">
        <v>1960.06</v>
      </c>
      <c r="B15" s="52">
        <v>8.3949999999999996</v>
      </c>
      <c r="C15" s="52">
        <v>8.4</v>
      </c>
    </row>
    <row r="16" spans="1:13">
      <c r="A16" s="52">
        <v>1960.07</v>
      </c>
      <c r="B16" s="52">
        <v>8.3949999999999996</v>
      </c>
      <c r="C16" s="52">
        <v>8.4</v>
      </c>
    </row>
    <row r="17" spans="1:3">
      <c r="A17" s="52">
        <v>1960.08</v>
      </c>
      <c r="B17" s="52">
        <v>8.3949999999999996</v>
      </c>
      <c r="C17" s="52">
        <v>8.4</v>
      </c>
    </row>
    <row r="18" spans="1:3">
      <c r="A18" s="52">
        <v>1960.09</v>
      </c>
      <c r="B18" s="52">
        <v>8.3949999999999996</v>
      </c>
      <c r="C18" s="52">
        <v>8.4</v>
      </c>
    </row>
    <row r="19" spans="1:3">
      <c r="A19" s="52">
        <v>1960.1</v>
      </c>
      <c r="B19" s="52">
        <v>8.3949999999999996</v>
      </c>
      <c r="C19" s="52">
        <v>8.4</v>
      </c>
    </row>
    <row r="20" spans="1:3">
      <c r="A20" s="52">
        <v>1960.11</v>
      </c>
      <c r="B20" s="52">
        <v>8.3949999999999996</v>
      </c>
      <c r="C20" s="52">
        <v>8.4</v>
      </c>
    </row>
    <row r="21" spans="1:3">
      <c r="A21" s="52">
        <v>1960.12</v>
      </c>
      <c r="B21" s="52">
        <v>8.3949999999999996</v>
      </c>
      <c r="C21" s="52">
        <v>8.4</v>
      </c>
    </row>
    <row r="22" spans="1:3">
      <c r="A22" s="52">
        <v>1961.01</v>
      </c>
      <c r="B22" s="52">
        <v>8.0299999999999994</v>
      </c>
      <c r="C22" s="52">
        <v>8.2200000000000006</v>
      </c>
    </row>
    <row r="23" spans="1:3">
      <c r="A23" s="52">
        <v>1961.02</v>
      </c>
      <c r="B23" s="52">
        <v>8.0299999999999994</v>
      </c>
      <c r="C23" s="52">
        <v>8.0299999999999994</v>
      </c>
    </row>
    <row r="24" spans="1:3">
      <c r="A24" s="52">
        <v>1961.03</v>
      </c>
      <c r="B24" s="52">
        <v>8.0299999999999994</v>
      </c>
      <c r="C24" s="52">
        <v>8.0299999999999994</v>
      </c>
    </row>
    <row r="25" spans="1:3">
      <c r="A25" s="52">
        <v>1961.04</v>
      </c>
      <c r="B25" s="52">
        <v>8.0299999999999994</v>
      </c>
      <c r="C25" s="52">
        <v>8.0299999999999994</v>
      </c>
    </row>
    <row r="26" spans="1:3">
      <c r="A26" s="52">
        <v>1961.05</v>
      </c>
      <c r="B26" s="52">
        <v>8.0299999999999994</v>
      </c>
      <c r="C26" s="52">
        <v>8.0299999999999994</v>
      </c>
    </row>
    <row r="27" spans="1:3">
      <c r="A27" s="52">
        <v>1961.06</v>
      </c>
      <c r="B27" s="52">
        <v>8.0299999999999994</v>
      </c>
      <c r="C27" s="52">
        <v>8.0299999999999994</v>
      </c>
    </row>
    <row r="28" spans="1:3">
      <c r="A28" s="52">
        <v>1961.07</v>
      </c>
      <c r="B28" s="52">
        <v>8.3949999999999996</v>
      </c>
      <c r="C28" s="52">
        <v>8.2200000000000006</v>
      </c>
    </row>
    <row r="29" spans="1:3">
      <c r="A29" s="52">
        <v>1961.08</v>
      </c>
      <c r="B29" s="52">
        <v>8.3949999999999996</v>
      </c>
      <c r="C29" s="52">
        <v>8.4</v>
      </c>
    </row>
    <row r="30" spans="1:3">
      <c r="A30" s="52">
        <v>1961.09</v>
      </c>
      <c r="B30" s="52">
        <v>8.3949999999999996</v>
      </c>
      <c r="C30" s="52">
        <v>8.4</v>
      </c>
    </row>
    <row r="31" spans="1:3">
      <c r="A31" s="52">
        <v>1961.1</v>
      </c>
      <c r="B31" s="52">
        <v>8.76</v>
      </c>
      <c r="C31" s="52">
        <v>8.58</v>
      </c>
    </row>
    <row r="32" spans="1:3">
      <c r="A32" s="52">
        <v>1961.11</v>
      </c>
      <c r="B32" s="52">
        <v>8.76</v>
      </c>
      <c r="C32" s="52">
        <v>8.76</v>
      </c>
    </row>
    <row r="33" spans="1:3">
      <c r="A33" s="52">
        <v>1961.12</v>
      </c>
      <c r="B33" s="52">
        <v>8.76</v>
      </c>
      <c r="C33" s="52">
        <v>8.76</v>
      </c>
    </row>
    <row r="34" spans="1:3">
      <c r="A34" s="52">
        <v>1962.01</v>
      </c>
      <c r="B34" s="52">
        <v>8.76</v>
      </c>
      <c r="C34" s="52">
        <v>8.76</v>
      </c>
    </row>
    <row r="35" spans="1:3">
      <c r="A35" s="52">
        <v>1962.02</v>
      </c>
      <c r="B35" s="52">
        <v>8.76</v>
      </c>
      <c r="C35" s="52">
        <v>8.76</v>
      </c>
    </row>
    <row r="36" spans="1:3">
      <c r="A36" s="52">
        <v>1962.03</v>
      </c>
      <c r="B36" s="52">
        <v>8.76</v>
      </c>
      <c r="C36" s="52">
        <v>8.76</v>
      </c>
    </row>
    <row r="37" spans="1:3">
      <c r="A37" s="52">
        <v>1962.04</v>
      </c>
      <c r="B37" s="52">
        <v>8.76</v>
      </c>
      <c r="C37" s="52">
        <v>8.76</v>
      </c>
    </row>
    <row r="38" spans="1:3">
      <c r="A38" s="52">
        <v>1962.05</v>
      </c>
      <c r="B38" s="52">
        <v>8.76</v>
      </c>
      <c r="C38" s="52">
        <v>8.76</v>
      </c>
    </row>
    <row r="39" spans="1:3">
      <c r="A39" s="52">
        <v>1962.06</v>
      </c>
      <c r="B39" s="52">
        <v>8.76</v>
      </c>
      <c r="C39" s="52">
        <v>8.76</v>
      </c>
    </row>
    <row r="40" spans="1:3">
      <c r="A40" s="52">
        <v>1962.07</v>
      </c>
      <c r="B40" s="52">
        <v>8.76</v>
      </c>
      <c r="C40" s="52">
        <v>8.76</v>
      </c>
    </row>
    <row r="41" spans="1:3">
      <c r="A41" s="52">
        <v>1962.08</v>
      </c>
      <c r="B41" s="52">
        <v>8.76</v>
      </c>
      <c r="C41" s="52">
        <v>8.76</v>
      </c>
    </row>
    <row r="42" spans="1:3">
      <c r="A42" s="52">
        <v>1962.09</v>
      </c>
      <c r="B42" s="52">
        <v>8.76</v>
      </c>
      <c r="C42" s="52">
        <v>8.76</v>
      </c>
    </row>
    <row r="43" spans="1:3">
      <c r="A43" s="52">
        <v>1962.1</v>
      </c>
      <c r="B43" s="52">
        <v>10.220000000000001</v>
      </c>
      <c r="C43" s="52">
        <v>8.58</v>
      </c>
    </row>
    <row r="44" spans="1:3">
      <c r="A44" s="52">
        <v>1962.11</v>
      </c>
      <c r="B44" s="52">
        <v>9.49</v>
      </c>
      <c r="C44" s="52">
        <v>8.2200000000000006</v>
      </c>
    </row>
    <row r="45" spans="1:3">
      <c r="A45" s="52">
        <v>1962.12</v>
      </c>
      <c r="B45" s="52">
        <v>8.3949999999999996</v>
      </c>
      <c r="C45" s="52">
        <v>10.41</v>
      </c>
    </row>
    <row r="46" spans="1:3">
      <c r="A46" s="52">
        <v>1963.01</v>
      </c>
      <c r="B46" s="52">
        <v>8.0299999999999994</v>
      </c>
      <c r="C46" s="52">
        <v>8.0299999999999994</v>
      </c>
    </row>
    <row r="47" spans="1:3">
      <c r="A47" s="52">
        <v>1963.02</v>
      </c>
      <c r="B47" s="52">
        <v>8.3949999999999996</v>
      </c>
      <c r="C47" s="52">
        <v>8.0299999999999994</v>
      </c>
    </row>
    <row r="48" spans="1:3">
      <c r="A48" s="52">
        <v>1963.03</v>
      </c>
      <c r="B48" s="52">
        <v>8.3949999999999996</v>
      </c>
      <c r="C48" s="52">
        <v>8.4</v>
      </c>
    </row>
    <row r="49" spans="1:3">
      <c r="A49" s="52">
        <v>1963.04</v>
      </c>
      <c r="B49" s="52">
        <v>7.3</v>
      </c>
      <c r="C49" s="52">
        <v>7.3</v>
      </c>
    </row>
    <row r="50" spans="1:3">
      <c r="A50" s="52">
        <v>1963.05</v>
      </c>
      <c r="B50" s="52">
        <v>7.3</v>
      </c>
      <c r="C50" s="52">
        <v>6.94</v>
      </c>
    </row>
    <row r="51" spans="1:3">
      <c r="A51" s="52">
        <v>1963.06</v>
      </c>
      <c r="B51" s="52">
        <v>7.3</v>
      </c>
      <c r="C51" s="52">
        <v>7.3</v>
      </c>
    </row>
    <row r="52" spans="1:3">
      <c r="A52" s="52">
        <v>1963.07</v>
      </c>
      <c r="B52" s="52">
        <v>7.3</v>
      </c>
      <c r="C52" s="52">
        <v>7.3</v>
      </c>
    </row>
    <row r="53" spans="1:3">
      <c r="A53" s="52">
        <v>1963.08</v>
      </c>
      <c r="B53" s="52">
        <v>8.3949999999999996</v>
      </c>
      <c r="C53" s="52">
        <v>7.3</v>
      </c>
    </row>
    <row r="54" spans="1:3">
      <c r="A54" s="52">
        <v>1963.09</v>
      </c>
      <c r="B54" s="52">
        <v>8.76</v>
      </c>
      <c r="C54" s="52">
        <v>7.3</v>
      </c>
    </row>
    <row r="55" spans="1:3">
      <c r="A55" s="52">
        <v>1963.1</v>
      </c>
      <c r="B55" s="52">
        <v>7.3</v>
      </c>
      <c r="C55" s="52">
        <v>7.3</v>
      </c>
    </row>
    <row r="56" spans="1:3">
      <c r="A56" s="52">
        <v>1963.11</v>
      </c>
      <c r="B56" s="52">
        <v>7.665</v>
      </c>
      <c r="C56" s="52">
        <v>7.3</v>
      </c>
    </row>
    <row r="57" spans="1:3">
      <c r="A57" s="52">
        <v>1963.12</v>
      </c>
      <c r="B57" s="52">
        <v>7.3</v>
      </c>
      <c r="C57" s="52">
        <v>8.0299999999999994</v>
      </c>
    </row>
    <row r="58" spans="1:3">
      <c r="A58" s="52">
        <v>1964.01</v>
      </c>
      <c r="B58" s="52">
        <v>7.665</v>
      </c>
      <c r="C58" s="52">
        <v>7.67</v>
      </c>
    </row>
    <row r="59" spans="1:3">
      <c r="A59" s="52">
        <v>1964.02</v>
      </c>
      <c r="B59" s="52">
        <v>10.220000000000001</v>
      </c>
      <c r="C59" s="52">
        <v>8.2100000000000009</v>
      </c>
    </row>
    <row r="60" spans="1:3">
      <c r="A60" s="52">
        <v>1964.03</v>
      </c>
      <c r="B60" s="52">
        <v>11.68</v>
      </c>
      <c r="C60" s="52">
        <v>8.76</v>
      </c>
    </row>
    <row r="61" spans="1:3">
      <c r="A61" s="52">
        <v>1964.04</v>
      </c>
      <c r="B61" s="52">
        <v>9.125</v>
      </c>
      <c r="C61" s="52">
        <v>9.1300000000000008</v>
      </c>
    </row>
    <row r="62" spans="1:3">
      <c r="A62" s="52">
        <v>1964.05</v>
      </c>
      <c r="B62" s="52">
        <v>11.68</v>
      </c>
      <c r="C62" s="52">
        <v>9.49</v>
      </c>
    </row>
    <row r="63" spans="1:3">
      <c r="A63" s="52">
        <v>1964.06</v>
      </c>
      <c r="B63" s="52">
        <v>12.775</v>
      </c>
      <c r="C63" s="52">
        <v>10.59</v>
      </c>
    </row>
    <row r="64" spans="1:3">
      <c r="A64" s="52">
        <v>1964.07</v>
      </c>
      <c r="B64" s="52">
        <v>10.95</v>
      </c>
      <c r="C64" s="52">
        <v>10.95</v>
      </c>
    </row>
    <row r="65" spans="1:3">
      <c r="A65" s="52">
        <v>1964.08</v>
      </c>
      <c r="B65" s="52">
        <v>13.14</v>
      </c>
      <c r="C65" s="52">
        <v>11.32</v>
      </c>
    </row>
    <row r="66" spans="1:3">
      <c r="A66" s="52">
        <v>1964.09</v>
      </c>
      <c r="B66" s="52">
        <v>13.14</v>
      </c>
      <c r="C66" s="52">
        <v>11.32</v>
      </c>
    </row>
    <row r="67" spans="1:3">
      <c r="A67" s="52">
        <v>1964.1</v>
      </c>
      <c r="B67" s="52">
        <v>12.775</v>
      </c>
      <c r="C67" s="52">
        <v>10.95</v>
      </c>
    </row>
    <row r="68" spans="1:3">
      <c r="A68" s="52">
        <v>1964.11</v>
      </c>
      <c r="B68" s="52">
        <v>10.95</v>
      </c>
      <c r="C68" s="52">
        <v>10.95</v>
      </c>
    </row>
    <row r="69" spans="1:3">
      <c r="A69" s="52">
        <v>1964.12</v>
      </c>
      <c r="B69" s="52">
        <v>8.76</v>
      </c>
      <c r="C69" s="52">
        <v>10.95</v>
      </c>
    </row>
    <row r="70" spans="1:3">
      <c r="A70" s="52">
        <v>1965.01</v>
      </c>
      <c r="B70" s="52">
        <v>8.3949999999999996</v>
      </c>
      <c r="C70" s="52">
        <v>8.4</v>
      </c>
    </row>
    <row r="71" spans="1:3">
      <c r="A71" s="52">
        <v>1965.02</v>
      </c>
      <c r="B71" s="52">
        <v>8.3949999999999996</v>
      </c>
      <c r="C71" s="52">
        <v>8.4</v>
      </c>
    </row>
    <row r="72" spans="1:3">
      <c r="A72" s="52">
        <v>1965.03</v>
      </c>
      <c r="B72" s="52">
        <v>8.3949999999999996</v>
      </c>
      <c r="C72" s="52">
        <v>8.4</v>
      </c>
    </row>
    <row r="73" spans="1:3">
      <c r="A73" s="52">
        <v>1965.04</v>
      </c>
      <c r="B73" s="52">
        <v>7.3</v>
      </c>
      <c r="C73" s="52">
        <v>7.3</v>
      </c>
    </row>
    <row r="74" spans="1:3">
      <c r="A74" s="52">
        <v>1965.05</v>
      </c>
      <c r="B74" s="52">
        <v>7.3</v>
      </c>
      <c r="C74" s="52">
        <v>7.3</v>
      </c>
    </row>
    <row r="75" spans="1:3">
      <c r="A75" s="52">
        <v>1965.06</v>
      </c>
      <c r="B75" s="52">
        <v>6.57</v>
      </c>
      <c r="C75" s="52">
        <v>6.94</v>
      </c>
    </row>
    <row r="76" spans="1:3">
      <c r="A76" s="52">
        <v>1965.07</v>
      </c>
      <c r="B76" s="52">
        <v>6.57</v>
      </c>
      <c r="C76" s="52">
        <v>6.57</v>
      </c>
    </row>
    <row r="77" spans="1:3">
      <c r="A77" s="52">
        <v>1965.08</v>
      </c>
      <c r="B77" s="52">
        <v>6.57</v>
      </c>
      <c r="C77" s="52">
        <v>6.57</v>
      </c>
    </row>
    <row r="78" spans="1:3">
      <c r="A78" s="52">
        <v>1965.09</v>
      </c>
      <c r="B78" s="52">
        <v>6.2050000000000001</v>
      </c>
      <c r="C78" s="52">
        <v>6.21</v>
      </c>
    </row>
    <row r="79" spans="1:3">
      <c r="A79" s="52">
        <v>1965.1</v>
      </c>
      <c r="B79" s="52">
        <v>5.84</v>
      </c>
      <c r="C79" s="52">
        <v>5.84</v>
      </c>
    </row>
    <row r="80" spans="1:3">
      <c r="A80" s="52">
        <v>1965.11</v>
      </c>
      <c r="B80" s="52">
        <v>5.84</v>
      </c>
      <c r="C80" s="52">
        <v>5.84</v>
      </c>
    </row>
    <row r="81" spans="1:3">
      <c r="A81" s="52">
        <v>1965.12</v>
      </c>
      <c r="B81" s="52">
        <v>5.84</v>
      </c>
      <c r="C81" s="52">
        <v>5.84</v>
      </c>
    </row>
    <row r="82" spans="1:3">
      <c r="A82" s="52">
        <v>1966.01</v>
      </c>
      <c r="B82" s="52">
        <v>5.84</v>
      </c>
      <c r="C82" s="52">
        <v>5.84</v>
      </c>
    </row>
    <row r="83" spans="1:3">
      <c r="A83" s="52">
        <v>1966.02</v>
      </c>
      <c r="B83" s="52">
        <v>5.84</v>
      </c>
      <c r="C83" s="52">
        <v>5.84</v>
      </c>
    </row>
    <row r="84" spans="1:3">
      <c r="A84" s="52">
        <v>1966.03</v>
      </c>
      <c r="B84" s="52">
        <v>5.84</v>
      </c>
      <c r="C84" s="52">
        <v>5.84</v>
      </c>
    </row>
    <row r="85" spans="1:3">
      <c r="A85" s="52">
        <v>1966.04</v>
      </c>
      <c r="B85" s="52">
        <v>5.84</v>
      </c>
      <c r="C85" s="52">
        <v>5.84</v>
      </c>
    </row>
    <row r="86" spans="1:3">
      <c r="A86" s="52">
        <v>1966.05</v>
      </c>
      <c r="B86" s="52">
        <v>5.84</v>
      </c>
      <c r="C86" s="52">
        <v>5.84</v>
      </c>
    </row>
    <row r="87" spans="1:3">
      <c r="A87" s="52">
        <v>1966.06</v>
      </c>
      <c r="B87" s="52">
        <v>5.84</v>
      </c>
      <c r="C87" s="52">
        <v>5.84</v>
      </c>
    </row>
    <row r="88" spans="1:3">
      <c r="A88" s="52">
        <v>1966.07</v>
      </c>
      <c r="B88" s="52">
        <v>5.84</v>
      </c>
      <c r="C88" s="52">
        <v>5.84</v>
      </c>
    </row>
    <row r="89" spans="1:3">
      <c r="A89" s="52">
        <v>1966.08</v>
      </c>
      <c r="B89" s="52">
        <v>5.84</v>
      </c>
      <c r="C89" s="52">
        <v>5.84</v>
      </c>
    </row>
    <row r="90" spans="1:3">
      <c r="A90" s="52">
        <v>1966.09</v>
      </c>
      <c r="B90" s="52">
        <v>5.84</v>
      </c>
      <c r="C90" s="52">
        <v>5.84</v>
      </c>
    </row>
    <row r="91" spans="1:3">
      <c r="A91" s="52">
        <v>1966.1</v>
      </c>
      <c r="B91" s="52">
        <v>5.84</v>
      </c>
      <c r="C91" s="52">
        <v>5.84</v>
      </c>
    </row>
    <row r="92" spans="1:3">
      <c r="A92" s="52">
        <v>1966.11</v>
      </c>
      <c r="B92" s="52">
        <v>5.84</v>
      </c>
      <c r="C92" s="52">
        <v>5.84</v>
      </c>
    </row>
    <row r="93" spans="1:3">
      <c r="A93" s="52">
        <v>1966.12</v>
      </c>
      <c r="B93" s="52">
        <v>5.84</v>
      </c>
      <c r="C93" s="52">
        <v>5.84</v>
      </c>
    </row>
    <row r="94" spans="1:3">
      <c r="A94" s="52">
        <v>1967.01</v>
      </c>
      <c r="B94" s="52">
        <v>5.84</v>
      </c>
      <c r="C94" s="52">
        <v>5.84</v>
      </c>
    </row>
    <row r="95" spans="1:3">
      <c r="A95" s="52">
        <v>1967.02</v>
      </c>
      <c r="B95" s="52">
        <v>6.2050000000000001</v>
      </c>
      <c r="C95" s="52">
        <v>5.84</v>
      </c>
    </row>
    <row r="96" spans="1:3">
      <c r="A96" s="52">
        <v>1967.03</v>
      </c>
      <c r="B96" s="52">
        <v>6.2050000000000001</v>
      </c>
      <c r="C96" s="52">
        <v>6.21</v>
      </c>
    </row>
    <row r="97" spans="1:3">
      <c r="A97" s="52">
        <v>1967.04</v>
      </c>
      <c r="B97" s="52">
        <v>5.84</v>
      </c>
      <c r="C97" s="52">
        <v>5.84</v>
      </c>
    </row>
    <row r="98" spans="1:3">
      <c r="A98" s="52">
        <v>1967.05</v>
      </c>
      <c r="B98" s="52">
        <v>5.84</v>
      </c>
      <c r="C98" s="52">
        <v>5.84</v>
      </c>
    </row>
    <row r="99" spans="1:3">
      <c r="A99" s="52">
        <v>1967.06</v>
      </c>
      <c r="B99" s="52">
        <v>6.2050000000000001</v>
      </c>
      <c r="C99" s="52">
        <v>6.21</v>
      </c>
    </row>
    <row r="100" spans="1:3">
      <c r="A100" s="52">
        <v>1967.07</v>
      </c>
      <c r="B100" s="52">
        <v>6.57</v>
      </c>
      <c r="C100" s="52">
        <v>6.21</v>
      </c>
    </row>
    <row r="101" spans="1:3">
      <c r="A101" s="52">
        <v>1967.08</v>
      </c>
      <c r="B101" s="52">
        <v>6.57</v>
      </c>
      <c r="C101" s="52">
        <v>6.57</v>
      </c>
    </row>
    <row r="102" spans="1:3">
      <c r="A102" s="52">
        <v>1967.09</v>
      </c>
      <c r="B102" s="52">
        <v>6.9349999999999996</v>
      </c>
      <c r="C102" s="52">
        <v>6.94</v>
      </c>
    </row>
    <row r="103" spans="1:3">
      <c r="A103" s="52">
        <v>1967.1</v>
      </c>
      <c r="B103" s="52">
        <v>6.9349999999999996</v>
      </c>
      <c r="C103" s="52">
        <v>6.94</v>
      </c>
    </row>
    <row r="104" spans="1:3">
      <c r="A104" s="52">
        <v>1967.11</v>
      </c>
      <c r="B104" s="52">
        <v>6.9349999999999996</v>
      </c>
      <c r="C104" s="52">
        <v>6.94</v>
      </c>
    </row>
    <row r="105" spans="1:3">
      <c r="A105" s="52">
        <v>1967.12</v>
      </c>
      <c r="B105" s="52">
        <v>7.3</v>
      </c>
      <c r="C105" s="52">
        <v>7.3</v>
      </c>
    </row>
    <row r="106" spans="1:3">
      <c r="A106" s="52">
        <v>1968.01</v>
      </c>
      <c r="B106" s="52">
        <v>7.665</v>
      </c>
      <c r="C106" s="52">
        <v>7.67</v>
      </c>
    </row>
    <row r="107" spans="1:3">
      <c r="A107" s="52">
        <v>1968.02</v>
      </c>
      <c r="B107" s="52">
        <v>8.0299999999999994</v>
      </c>
      <c r="C107" s="52">
        <v>7.67</v>
      </c>
    </row>
    <row r="108" spans="1:3">
      <c r="A108" s="52">
        <v>1968.03</v>
      </c>
      <c r="B108" s="52">
        <v>8.0299999999999994</v>
      </c>
      <c r="C108" s="52">
        <v>8.0299999999999994</v>
      </c>
    </row>
    <row r="109" spans="1:3">
      <c r="A109" s="52">
        <v>1968.04</v>
      </c>
      <c r="B109" s="52">
        <v>8.0299999999999994</v>
      </c>
      <c r="C109" s="52">
        <v>8.0299999999999994</v>
      </c>
    </row>
    <row r="110" spans="1:3">
      <c r="A110" s="52">
        <v>1968.05</v>
      </c>
      <c r="B110" s="52">
        <v>8.0299999999999994</v>
      </c>
      <c r="C110" s="52">
        <v>8.0299999999999994</v>
      </c>
    </row>
    <row r="111" spans="1:3">
      <c r="A111" s="52">
        <v>1968.06</v>
      </c>
      <c r="B111" s="52">
        <v>8.3949999999999996</v>
      </c>
      <c r="C111" s="52">
        <v>8.0299999999999994</v>
      </c>
    </row>
    <row r="112" spans="1:3">
      <c r="A112" s="52">
        <v>1968.07</v>
      </c>
      <c r="B112" s="52">
        <v>8.3949999999999996</v>
      </c>
      <c r="C112" s="52">
        <v>8.4</v>
      </c>
    </row>
    <row r="113" spans="1:3">
      <c r="A113" s="52">
        <v>1968.08</v>
      </c>
      <c r="B113" s="52">
        <v>8.0299999999999994</v>
      </c>
      <c r="C113" s="52">
        <v>8.0299999999999994</v>
      </c>
    </row>
    <row r="114" spans="1:3">
      <c r="A114" s="52">
        <v>1968.09</v>
      </c>
      <c r="B114" s="52">
        <v>8.0299999999999994</v>
      </c>
      <c r="C114" s="52">
        <v>8.0299999999999994</v>
      </c>
    </row>
    <row r="115" spans="1:3">
      <c r="A115" s="52">
        <v>1968.1</v>
      </c>
      <c r="B115" s="52">
        <v>7.665</v>
      </c>
      <c r="C115" s="52">
        <v>7.67</v>
      </c>
    </row>
    <row r="116" spans="1:3">
      <c r="A116" s="52">
        <v>1968.11</v>
      </c>
      <c r="B116" s="52">
        <v>7.3</v>
      </c>
      <c r="C116" s="52">
        <v>7.3</v>
      </c>
    </row>
    <row r="117" spans="1:3">
      <c r="A117" s="52">
        <v>1968.12</v>
      </c>
      <c r="B117" s="52">
        <v>7.3</v>
      </c>
      <c r="C117" s="52">
        <v>7.67</v>
      </c>
    </row>
    <row r="118" spans="1:3">
      <c r="A118" s="52">
        <v>1969.01</v>
      </c>
      <c r="B118" s="52">
        <v>7.3</v>
      </c>
      <c r="C118" s="52">
        <v>7.3</v>
      </c>
    </row>
    <row r="119" spans="1:3">
      <c r="A119" s="52">
        <v>1969.02</v>
      </c>
      <c r="B119" s="52">
        <v>7.665</v>
      </c>
      <c r="C119" s="52">
        <v>7.3</v>
      </c>
    </row>
    <row r="120" spans="1:3">
      <c r="A120" s="52">
        <v>1969.03</v>
      </c>
      <c r="B120" s="52">
        <v>7.665</v>
      </c>
      <c r="C120" s="52">
        <v>7.67</v>
      </c>
    </row>
    <row r="121" spans="1:3">
      <c r="A121" s="52">
        <v>1969.04</v>
      </c>
      <c r="B121" s="52">
        <v>7.3</v>
      </c>
      <c r="C121" s="52">
        <v>7.3</v>
      </c>
    </row>
    <row r="122" spans="1:3">
      <c r="A122" s="52">
        <v>1969.05</v>
      </c>
      <c r="B122" s="52">
        <v>6.9349999999999996</v>
      </c>
      <c r="C122" s="52">
        <v>6.94</v>
      </c>
    </row>
    <row r="123" spans="1:3">
      <c r="A123" s="52">
        <v>1969.06</v>
      </c>
      <c r="B123" s="52">
        <v>7.3</v>
      </c>
      <c r="C123" s="52">
        <v>6.94</v>
      </c>
    </row>
    <row r="124" spans="1:3">
      <c r="A124" s="52">
        <v>1969.07</v>
      </c>
      <c r="B124" s="52">
        <v>7.665</v>
      </c>
      <c r="C124" s="52">
        <v>7.67</v>
      </c>
    </row>
    <row r="125" spans="1:3">
      <c r="A125" s="52">
        <v>1969.08</v>
      </c>
      <c r="B125" s="52">
        <v>8.0299999999999994</v>
      </c>
      <c r="C125" s="52">
        <v>8.0299999999999994</v>
      </c>
    </row>
    <row r="126" spans="1:3">
      <c r="A126" s="52">
        <v>1969.09</v>
      </c>
      <c r="B126" s="52">
        <v>8.25</v>
      </c>
      <c r="C126" s="52">
        <v>8.25</v>
      </c>
    </row>
    <row r="127" spans="1:3">
      <c r="A127" s="52">
        <v>1969.1</v>
      </c>
      <c r="B127" s="52">
        <v>8.25</v>
      </c>
      <c r="C127" s="52">
        <v>8.25</v>
      </c>
    </row>
    <row r="128" spans="1:3">
      <c r="A128" s="52">
        <v>1969.11</v>
      </c>
      <c r="B128" s="52">
        <v>8.25</v>
      </c>
      <c r="C128" s="52">
        <v>8.25</v>
      </c>
    </row>
    <row r="129" spans="1:3">
      <c r="A129" s="52">
        <v>1969.12</v>
      </c>
      <c r="B129" s="52">
        <v>8.25</v>
      </c>
      <c r="C129" s="52">
        <v>8.5</v>
      </c>
    </row>
    <row r="130" spans="1:3">
      <c r="A130" s="52">
        <v>1970.01</v>
      </c>
      <c r="B130" s="52">
        <v>8.25</v>
      </c>
      <c r="C130" s="52">
        <v>8.25</v>
      </c>
    </row>
    <row r="131" spans="1:3">
      <c r="A131" s="52">
        <v>1970.02</v>
      </c>
      <c r="B131" s="52">
        <v>8.5</v>
      </c>
      <c r="C131" s="52">
        <v>8.5</v>
      </c>
    </row>
    <row r="132" spans="1:3">
      <c r="A132" s="52">
        <v>1970.03</v>
      </c>
      <c r="B132" s="52">
        <v>8.5</v>
      </c>
      <c r="C132" s="52">
        <v>8.5</v>
      </c>
    </row>
    <row r="133" spans="1:3">
      <c r="A133" s="52">
        <v>1970.04</v>
      </c>
      <c r="B133" s="52">
        <v>8.25</v>
      </c>
      <c r="C133" s="52">
        <v>8.25</v>
      </c>
    </row>
    <row r="134" spans="1:3">
      <c r="A134" s="52">
        <v>1970.05</v>
      </c>
      <c r="B134" s="52">
        <v>8.25</v>
      </c>
      <c r="C134" s="52">
        <v>8.25</v>
      </c>
    </row>
    <row r="135" spans="1:3">
      <c r="A135" s="52">
        <v>1970.06</v>
      </c>
      <c r="B135" s="52">
        <v>8.25</v>
      </c>
      <c r="C135" s="52">
        <v>8.25</v>
      </c>
    </row>
    <row r="136" spans="1:3">
      <c r="A136" s="52">
        <v>1970.07</v>
      </c>
      <c r="B136" s="52">
        <v>8.5</v>
      </c>
      <c r="C136" s="52">
        <v>8.5</v>
      </c>
    </row>
    <row r="137" spans="1:3">
      <c r="A137" s="52">
        <v>1970.08</v>
      </c>
      <c r="B137" s="52">
        <v>8.5</v>
      </c>
      <c r="C137" s="52">
        <v>8.5</v>
      </c>
    </row>
    <row r="138" spans="1:3">
      <c r="A138" s="52">
        <v>1970.09</v>
      </c>
      <c r="B138" s="52">
        <v>8.5</v>
      </c>
      <c r="C138" s="52">
        <v>8.5</v>
      </c>
    </row>
    <row r="139" spans="1:3">
      <c r="A139" s="52">
        <v>1970.1</v>
      </c>
      <c r="B139" s="52">
        <v>7.75</v>
      </c>
      <c r="C139" s="52">
        <v>8.18</v>
      </c>
    </row>
    <row r="140" spans="1:3">
      <c r="A140" s="52">
        <v>1970.11</v>
      </c>
      <c r="B140" s="52">
        <v>7.75</v>
      </c>
      <c r="C140" s="52">
        <v>7.75</v>
      </c>
    </row>
    <row r="141" spans="1:3">
      <c r="A141" s="52">
        <v>1970.12</v>
      </c>
      <c r="B141" s="52">
        <v>7.5</v>
      </c>
      <c r="C141" s="52">
        <v>7.98</v>
      </c>
    </row>
    <row r="142" spans="1:3">
      <c r="A142" s="52">
        <v>1971.01</v>
      </c>
      <c r="B142" s="52">
        <v>7.25</v>
      </c>
      <c r="C142" s="52">
        <v>7.39</v>
      </c>
    </row>
    <row r="143" spans="1:3">
      <c r="A143" s="52">
        <v>1971.02</v>
      </c>
      <c r="B143" s="52">
        <v>7.25</v>
      </c>
      <c r="C143" s="52">
        <v>7.25</v>
      </c>
    </row>
    <row r="144" spans="1:3">
      <c r="A144" s="52">
        <v>1971.03</v>
      </c>
      <c r="B144" s="52">
        <v>7.25</v>
      </c>
      <c r="C144" s="52">
        <v>7.25</v>
      </c>
    </row>
    <row r="145" spans="1:3">
      <c r="A145" s="52">
        <v>1971.04</v>
      </c>
      <c r="B145" s="52">
        <v>6.75</v>
      </c>
      <c r="C145" s="52">
        <v>6.75</v>
      </c>
    </row>
    <row r="146" spans="1:3">
      <c r="A146" s="52">
        <v>1971.05</v>
      </c>
      <c r="B146" s="52">
        <v>6.5</v>
      </c>
      <c r="C146" s="52">
        <v>6.54</v>
      </c>
    </row>
    <row r="147" spans="1:3">
      <c r="A147" s="52">
        <v>1971.06</v>
      </c>
      <c r="B147" s="52">
        <v>6.5</v>
      </c>
      <c r="C147" s="52">
        <v>6.5</v>
      </c>
    </row>
    <row r="148" spans="1:3">
      <c r="A148" s="52">
        <v>1971.07</v>
      </c>
      <c r="B148" s="52">
        <v>6.25</v>
      </c>
      <c r="C148" s="52">
        <v>6.46</v>
      </c>
    </row>
    <row r="149" spans="1:3">
      <c r="A149" s="52">
        <v>1971.08</v>
      </c>
      <c r="B149" s="52">
        <v>6.25</v>
      </c>
      <c r="C149" s="52">
        <v>6.25</v>
      </c>
    </row>
    <row r="150" spans="1:3">
      <c r="A150" s="52">
        <v>1971.09</v>
      </c>
      <c r="B150" s="52">
        <v>6</v>
      </c>
      <c r="C150" s="52">
        <v>6</v>
      </c>
    </row>
    <row r="151" spans="1:3">
      <c r="A151" s="52">
        <v>1971.1</v>
      </c>
      <c r="B151" s="52">
        <v>5.5</v>
      </c>
      <c r="C151" s="52">
        <v>5.62</v>
      </c>
    </row>
    <row r="152" spans="1:3">
      <c r="A152" s="52">
        <v>1971.11</v>
      </c>
      <c r="B152" s="52">
        <v>5.5</v>
      </c>
      <c r="C152" s="52">
        <v>5.5</v>
      </c>
    </row>
    <row r="153" spans="1:3">
      <c r="A153" s="52">
        <v>1971.12</v>
      </c>
      <c r="B153" s="52">
        <v>5</v>
      </c>
      <c r="C153" s="52">
        <v>5.46</v>
      </c>
    </row>
    <row r="154" spans="1:3">
      <c r="A154" s="52">
        <v>1972.01</v>
      </c>
      <c r="B154" s="52">
        <v>5.25</v>
      </c>
      <c r="C154" s="52">
        <v>5.0199999999999996</v>
      </c>
    </row>
    <row r="155" spans="1:3">
      <c r="A155" s="52">
        <v>1972.02</v>
      </c>
      <c r="B155" s="52">
        <v>5.25</v>
      </c>
      <c r="C155" s="52">
        <v>5.0999999999999996</v>
      </c>
    </row>
    <row r="156" spans="1:3">
      <c r="A156" s="52">
        <v>1972.03</v>
      </c>
      <c r="B156" s="52">
        <v>5.25</v>
      </c>
      <c r="C156" s="52">
        <v>5.25</v>
      </c>
    </row>
    <row r="157" spans="1:3">
      <c r="A157" s="52">
        <v>1972.04</v>
      </c>
      <c r="B157" s="52">
        <v>5</v>
      </c>
      <c r="C157" s="52">
        <v>5</v>
      </c>
    </row>
    <row r="158" spans="1:3">
      <c r="A158" s="52">
        <v>1972.05</v>
      </c>
      <c r="B158" s="52">
        <v>4.75</v>
      </c>
      <c r="C158" s="52">
        <v>4.8099999999999996</v>
      </c>
    </row>
    <row r="159" spans="1:3">
      <c r="A159" s="52">
        <v>1972.06</v>
      </c>
      <c r="B159" s="52">
        <v>4.25</v>
      </c>
      <c r="C159" s="52">
        <v>4.6399999999999997</v>
      </c>
    </row>
    <row r="160" spans="1:3">
      <c r="A160" s="52">
        <v>1972.07</v>
      </c>
      <c r="B160" s="52">
        <v>4.5</v>
      </c>
      <c r="C160" s="52">
        <v>4.3940000000000001</v>
      </c>
    </row>
    <row r="161" spans="1:3">
      <c r="A161" s="52">
        <v>1972.08</v>
      </c>
      <c r="B161" s="52">
        <v>4.5</v>
      </c>
      <c r="C161" s="52">
        <v>4.5</v>
      </c>
    </row>
    <row r="162" spans="1:3">
      <c r="A162" s="52">
        <v>1972.09</v>
      </c>
      <c r="B162" s="52">
        <v>4.5</v>
      </c>
      <c r="C162" s="52">
        <v>4.5</v>
      </c>
    </row>
    <row r="163" spans="1:3">
      <c r="A163" s="52">
        <v>1972.1</v>
      </c>
      <c r="B163" s="52">
        <v>4.5</v>
      </c>
      <c r="C163" s="52">
        <v>4.4249999999999998</v>
      </c>
    </row>
    <row r="164" spans="1:3">
      <c r="A164" s="52">
        <v>1972.11</v>
      </c>
      <c r="B164" s="52">
        <v>4.375</v>
      </c>
      <c r="C164" s="52">
        <v>4.3230000000000004</v>
      </c>
    </row>
    <row r="165" spans="1:3">
      <c r="A165" s="52">
        <v>1972.12</v>
      </c>
      <c r="B165" s="52">
        <v>5.125</v>
      </c>
      <c r="C165" s="52">
        <v>4.7119999999999997</v>
      </c>
    </row>
    <row r="166" spans="1:3">
      <c r="A166" s="52">
        <v>1973.01</v>
      </c>
      <c r="B166" s="52">
        <v>5.25</v>
      </c>
      <c r="C166" s="52">
        <v>4.9619999999999997</v>
      </c>
    </row>
    <row r="167" spans="1:3">
      <c r="A167" s="52">
        <v>1973.02</v>
      </c>
      <c r="B167" s="52">
        <v>5.25</v>
      </c>
      <c r="C167" s="52">
        <v>5.1719999999999997</v>
      </c>
    </row>
    <row r="168" spans="1:3">
      <c r="A168" s="52">
        <v>1973.03</v>
      </c>
      <c r="B168" s="52">
        <v>5.5</v>
      </c>
      <c r="C168" s="52">
        <v>5.4329999999999998</v>
      </c>
    </row>
    <row r="169" spans="1:3">
      <c r="A169" s="52">
        <v>1973.04</v>
      </c>
      <c r="B169" s="52">
        <v>6</v>
      </c>
      <c r="C169" s="52">
        <v>5.8849999999999998</v>
      </c>
    </row>
    <row r="170" spans="1:3">
      <c r="A170" s="52">
        <v>1973.05</v>
      </c>
      <c r="B170" s="52">
        <v>6.5</v>
      </c>
      <c r="C170" s="52">
        <v>5.9550000000000001</v>
      </c>
    </row>
    <row r="171" spans="1:3">
      <c r="A171" s="52">
        <v>1973.06</v>
      </c>
      <c r="B171" s="52">
        <v>6.75</v>
      </c>
      <c r="C171" s="52">
        <v>6.548</v>
      </c>
    </row>
    <row r="172" spans="1:3">
      <c r="A172" s="52">
        <v>1973.07</v>
      </c>
      <c r="B172" s="52">
        <v>7.5</v>
      </c>
      <c r="C172" s="52">
        <v>7.3170000000000002</v>
      </c>
    </row>
    <row r="173" spans="1:3">
      <c r="A173" s="52">
        <v>1973.08</v>
      </c>
      <c r="B173" s="52">
        <v>8.5</v>
      </c>
      <c r="C173" s="52">
        <v>7.6109999999999998</v>
      </c>
    </row>
    <row r="174" spans="1:3">
      <c r="A174" s="52">
        <v>1973.09</v>
      </c>
      <c r="B174" s="52">
        <v>9</v>
      </c>
      <c r="C174" s="52">
        <v>8.7170000000000005</v>
      </c>
    </row>
    <row r="175" spans="1:3">
      <c r="A175" s="52">
        <v>1973.1</v>
      </c>
      <c r="B175" s="52">
        <v>9</v>
      </c>
      <c r="C175" s="52">
        <v>8.8170000000000002</v>
      </c>
    </row>
    <row r="176" spans="1:3">
      <c r="A176" s="52">
        <v>1973.11</v>
      </c>
      <c r="B176" s="52">
        <v>9.25</v>
      </c>
      <c r="C176" s="52">
        <v>9.0410000000000004</v>
      </c>
    </row>
    <row r="177" spans="1:3">
      <c r="A177" s="52">
        <v>1973.12</v>
      </c>
      <c r="B177" s="52">
        <v>11.5</v>
      </c>
      <c r="C177" s="52">
        <v>10.471</v>
      </c>
    </row>
    <row r="178" spans="1:3">
      <c r="A178" s="52">
        <v>1974.01</v>
      </c>
      <c r="B178" s="52">
        <v>12</v>
      </c>
      <c r="C178" s="52">
        <v>11.651999999999999</v>
      </c>
    </row>
    <row r="179" spans="1:3">
      <c r="A179" s="52">
        <v>1974.02</v>
      </c>
      <c r="B179" s="52">
        <v>12</v>
      </c>
      <c r="C179" s="52">
        <v>12.098000000000001</v>
      </c>
    </row>
    <row r="180" spans="1:3">
      <c r="A180" s="52">
        <v>1974.03</v>
      </c>
      <c r="B180" s="52">
        <v>12.5</v>
      </c>
      <c r="C180" s="52">
        <v>12.48</v>
      </c>
    </row>
    <row r="181" spans="1:3">
      <c r="A181" s="52">
        <v>1974.04</v>
      </c>
      <c r="B181" s="52">
        <v>12</v>
      </c>
      <c r="C181" s="52">
        <v>12.04</v>
      </c>
    </row>
    <row r="182" spans="1:3">
      <c r="A182" s="52">
        <v>1974.05</v>
      </c>
      <c r="B182" s="52">
        <v>12</v>
      </c>
      <c r="C182" s="52">
        <v>12</v>
      </c>
    </row>
    <row r="183" spans="1:3">
      <c r="A183" s="52">
        <v>1974.06</v>
      </c>
      <c r="B183" s="52">
        <v>12.5</v>
      </c>
      <c r="C183" s="52">
        <v>12.48</v>
      </c>
    </row>
    <row r="184" spans="1:3">
      <c r="A184" s="52">
        <v>1974.07</v>
      </c>
      <c r="B184" s="52">
        <v>13</v>
      </c>
      <c r="C184" s="52">
        <v>12.63</v>
      </c>
    </row>
    <row r="185" spans="1:3">
      <c r="A185" s="52">
        <v>1974.08</v>
      </c>
      <c r="B185" s="52">
        <v>13.5</v>
      </c>
      <c r="C185" s="52">
        <v>13.481</v>
      </c>
    </row>
    <row r="186" spans="1:3">
      <c r="A186" s="52">
        <v>1974.09</v>
      </c>
      <c r="B186" s="52">
        <v>13</v>
      </c>
      <c r="C186" s="52">
        <v>13</v>
      </c>
    </row>
    <row r="187" spans="1:3">
      <c r="A187" s="52">
        <v>1974.1</v>
      </c>
      <c r="B187" s="52">
        <v>12.5</v>
      </c>
      <c r="C187" s="52">
        <v>12.5</v>
      </c>
    </row>
    <row r="188" spans="1:3">
      <c r="A188" s="52">
        <v>1974.11</v>
      </c>
      <c r="B188" s="52">
        <v>13</v>
      </c>
      <c r="C188" s="52">
        <v>12.646000000000001</v>
      </c>
    </row>
    <row r="189" spans="1:3">
      <c r="A189" s="52">
        <v>1974.12</v>
      </c>
      <c r="B189" s="52">
        <v>13</v>
      </c>
      <c r="C189" s="52">
        <v>13.462</v>
      </c>
    </row>
    <row r="190" spans="1:3">
      <c r="A190" s="52">
        <v>1975.01</v>
      </c>
      <c r="B190" s="52">
        <v>13</v>
      </c>
      <c r="C190" s="52">
        <v>12.673999999999999</v>
      </c>
    </row>
    <row r="191" spans="1:3">
      <c r="A191" s="52">
        <v>1975.02</v>
      </c>
      <c r="B191" s="52">
        <v>13</v>
      </c>
      <c r="C191" s="52">
        <v>13</v>
      </c>
    </row>
    <row r="192" spans="1:3">
      <c r="A192" s="52">
        <v>1975.03</v>
      </c>
      <c r="B192" s="52">
        <v>12.5</v>
      </c>
      <c r="C192" s="52">
        <v>12.92</v>
      </c>
    </row>
    <row r="193" spans="1:3">
      <c r="A193" s="52">
        <v>1975.04</v>
      </c>
      <c r="B193" s="52">
        <v>11.5</v>
      </c>
      <c r="C193" s="52">
        <v>12.02</v>
      </c>
    </row>
    <row r="194" spans="1:3">
      <c r="A194" s="52">
        <v>1975.05</v>
      </c>
      <c r="B194" s="52">
        <v>11</v>
      </c>
      <c r="C194" s="52">
        <v>11.06</v>
      </c>
    </row>
    <row r="195" spans="1:3">
      <c r="A195" s="52">
        <v>1975.06</v>
      </c>
      <c r="B195" s="52">
        <v>11</v>
      </c>
      <c r="C195" s="52">
        <v>10.72</v>
      </c>
    </row>
    <row r="196" spans="1:3">
      <c r="A196" s="52">
        <v>1975.07</v>
      </c>
      <c r="B196" s="52">
        <v>11</v>
      </c>
      <c r="C196" s="52">
        <v>11</v>
      </c>
    </row>
    <row r="197" spans="1:3">
      <c r="A197" s="52">
        <v>1975.08</v>
      </c>
      <c r="B197" s="52">
        <v>10.5</v>
      </c>
      <c r="C197" s="52">
        <v>10.692</v>
      </c>
    </row>
    <row r="198" spans="1:3">
      <c r="A198" s="52">
        <v>1975.09</v>
      </c>
      <c r="B198" s="52">
        <v>9.5</v>
      </c>
      <c r="C198" s="52">
        <v>9.6669999999999998</v>
      </c>
    </row>
    <row r="199" spans="1:3">
      <c r="A199" s="52">
        <v>1975.1</v>
      </c>
      <c r="B199" s="52">
        <v>8</v>
      </c>
      <c r="C199" s="52">
        <v>8.7309999999999999</v>
      </c>
    </row>
    <row r="200" spans="1:3">
      <c r="A200" s="52">
        <v>1975.11</v>
      </c>
      <c r="B200" s="52">
        <v>7.5</v>
      </c>
      <c r="C200" s="52">
        <v>7.609</v>
      </c>
    </row>
    <row r="201" spans="1:3">
      <c r="A201" s="52">
        <v>1975.12</v>
      </c>
      <c r="B201" s="52">
        <v>7.5</v>
      </c>
      <c r="C201" s="52">
        <v>7.9630000000000001</v>
      </c>
    </row>
    <row r="202" spans="1:3">
      <c r="A202" s="52">
        <v>1976.01</v>
      </c>
      <c r="B202" s="52">
        <v>7</v>
      </c>
      <c r="C202" s="52">
        <v>7.2830000000000004</v>
      </c>
    </row>
    <row r="203" spans="1:3">
      <c r="A203" s="52">
        <v>1976.02</v>
      </c>
      <c r="B203" s="52">
        <v>7</v>
      </c>
      <c r="C203" s="52">
        <v>7</v>
      </c>
    </row>
    <row r="204" spans="1:3">
      <c r="A204" s="52">
        <v>1976.03</v>
      </c>
      <c r="B204" s="52">
        <v>7</v>
      </c>
      <c r="C204" s="52">
        <v>7</v>
      </c>
    </row>
    <row r="205" spans="1:3">
      <c r="A205" s="52">
        <v>1976.04</v>
      </c>
      <c r="B205" s="52">
        <v>6.75</v>
      </c>
      <c r="C205" s="52">
        <v>6.75</v>
      </c>
    </row>
    <row r="206" spans="1:3">
      <c r="A206" s="52">
        <v>1976.05</v>
      </c>
      <c r="B206" s="52">
        <v>6.75</v>
      </c>
      <c r="C206" s="52">
        <v>6.75</v>
      </c>
    </row>
    <row r="207" spans="1:3">
      <c r="A207" s="52">
        <v>1976.06</v>
      </c>
      <c r="B207" s="52">
        <v>7</v>
      </c>
      <c r="C207" s="52">
        <v>6.9039999999999999</v>
      </c>
    </row>
    <row r="208" spans="1:3">
      <c r="A208" s="52">
        <v>1976.07</v>
      </c>
      <c r="B208" s="52">
        <v>7.25</v>
      </c>
      <c r="C208" s="52">
        <v>7.0830000000000002</v>
      </c>
    </row>
    <row r="209" spans="1:3">
      <c r="A209" s="52">
        <v>1976.08</v>
      </c>
      <c r="B209" s="52">
        <v>7.25</v>
      </c>
      <c r="C209" s="52">
        <v>7.25</v>
      </c>
    </row>
    <row r="210" spans="1:3">
      <c r="A210" s="52">
        <v>1976.09</v>
      </c>
      <c r="B210" s="52">
        <v>7</v>
      </c>
      <c r="C210" s="52">
        <v>7.0519999999999996</v>
      </c>
    </row>
    <row r="211" spans="1:3">
      <c r="A211" s="52">
        <v>1976.1</v>
      </c>
      <c r="B211" s="52">
        <v>6.75</v>
      </c>
      <c r="C211" s="52">
        <v>6.77</v>
      </c>
    </row>
    <row r="212" spans="1:3">
      <c r="A212" s="52">
        <v>1976.11</v>
      </c>
      <c r="B212" s="52">
        <v>7</v>
      </c>
      <c r="C212" s="52">
        <v>6.7709999999999999</v>
      </c>
    </row>
    <row r="213" spans="1:3">
      <c r="A213" s="52">
        <v>1976.12</v>
      </c>
      <c r="B213" s="52">
        <v>7</v>
      </c>
      <c r="C213" s="52">
        <v>7.1109999999999998</v>
      </c>
    </row>
    <row r="214" spans="1:3">
      <c r="A214" s="52">
        <v>1977.01</v>
      </c>
      <c r="B214" s="52">
        <v>7</v>
      </c>
      <c r="C214" s="52">
        <v>7</v>
      </c>
    </row>
    <row r="215" spans="1:3">
      <c r="A215" s="52">
        <v>1977.02</v>
      </c>
      <c r="B215" s="52">
        <v>7</v>
      </c>
      <c r="C215" s="52">
        <v>7</v>
      </c>
    </row>
    <row r="216" spans="1:3">
      <c r="A216" s="52">
        <v>1977.03</v>
      </c>
      <c r="B216" s="52">
        <v>6.5</v>
      </c>
      <c r="C216" s="52">
        <v>6.6920000000000002</v>
      </c>
    </row>
    <row r="217" spans="1:3">
      <c r="A217" s="52">
        <v>1977.04</v>
      </c>
      <c r="B217" s="52">
        <v>5.25</v>
      </c>
      <c r="C217" s="52">
        <v>5.87</v>
      </c>
    </row>
    <row r="218" spans="1:3">
      <c r="A218" s="52">
        <v>1977.05</v>
      </c>
      <c r="B218" s="52">
        <v>5.25</v>
      </c>
      <c r="C218" s="52">
        <v>5.1820000000000004</v>
      </c>
    </row>
    <row r="219" spans="1:3">
      <c r="A219" s="52">
        <v>1977.06</v>
      </c>
      <c r="B219" s="52">
        <v>5.625</v>
      </c>
      <c r="C219" s="52">
        <v>5.476</v>
      </c>
    </row>
    <row r="220" spans="1:3">
      <c r="A220" s="52">
        <v>1977.07</v>
      </c>
      <c r="B220" s="52">
        <v>5.75</v>
      </c>
      <c r="C220" s="52">
        <v>5.6589999999999998</v>
      </c>
    </row>
    <row r="221" spans="1:3">
      <c r="A221" s="52">
        <v>1977.08</v>
      </c>
      <c r="B221" s="52">
        <v>5.75</v>
      </c>
      <c r="C221" s="52">
        <v>5.75</v>
      </c>
    </row>
    <row r="222" spans="1:3">
      <c r="A222" s="52">
        <v>1977.09</v>
      </c>
      <c r="B222" s="52">
        <v>5</v>
      </c>
      <c r="C222" s="52">
        <v>4.9790000000000001</v>
      </c>
    </row>
    <row r="223" spans="1:3">
      <c r="A223" s="52">
        <v>1977.1</v>
      </c>
      <c r="B223" s="52">
        <v>4.875</v>
      </c>
      <c r="C223" s="52">
        <v>4.915</v>
      </c>
    </row>
    <row r="224" spans="1:3">
      <c r="A224" s="52">
        <v>1977.11</v>
      </c>
      <c r="B224" s="52">
        <v>4.625</v>
      </c>
      <c r="C224" s="52">
        <v>4.62</v>
      </c>
    </row>
    <row r="225" spans="1:3">
      <c r="A225" s="52">
        <v>1977.12</v>
      </c>
      <c r="B225" s="52">
        <v>4.75</v>
      </c>
      <c r="C225" s="52">
        <v>5.0140000000000002</v>
      </c>
    </row>
    <row r="226" spans="1:3">
      <c r="A226" s="52">
        <v>1978.01</v>
      </c>
      <c r="B226" s="52">
        <v>4.875</v>
      </c>
      <c r="C226" s="52">
        <v>4.7880000000000003</v>
      </c>
    </row>
    <row r="227" spans="1:3">
      <c r="A227" s="52">
        <v>1978.02</v>
      </c>
      <c r="B227" s="52">
        <v>4.875</v>
      </c>
      <c r="C227" s="52">
        <v>4.8040000000000003</v>
      </c>
    </row>
    <row r="228" spans="1:3">
      <c r="A228" s="52">
        <v>1978.03</v>
      </c>
      <c r="B228" s="52">
        <v>4.25</v>
      </c>
      <c r="C228" s="52">
        <v>4.62</v>
      </c>
    </row>
    <row r="229" spans="1:3">
      <c r="A229" s="52">
        <v>1978.04</v>
      </c>
      <c r="B229" s="52">
        <v>4.125</v>
      </c>
      <c r="C229" s="52">
        <v>4.141</v>
      </c>
    </row>
    <row r="230" spans="1:3">
      <c r="A230" s="52">
        <v>1978.05</v>
      </c>
      <c r="B230" s="52">
        <v>4.125</v>
      </c>
      <c r="C230" s="52">
        <v>4.0599999999999996</v>
      </c>
    </row>
    <row r="231" spans="1:3">
      <c r="A231" s="52">
        <v>1978.06</v>
      </c>
      <c r="B231" s="52">
        <v>4.25</v>
      </c>
      <c r="C231" s="52">
        <v>4.1059999999999999</v>
      </c>
    </row>
    <row r="232" spans="1:3">
      <c r="A232" s="52">
        <v>1978.07</v>
      </c>
      <c r="B232" s="52">
        <v>4.5</v>
      </c>
      <c r="C232" s="52">
        <v>4.4420000000000002</v>
      </c>
    </row>
    <row r="233" spans="1:3">
      <c r="A233" s="52">
        <v>1978.08</v>
      </c>
      <c r="B233" s="52">
        <v>4.625</v>
      </c>
      <c r="C233" s="52">
        <v>4.3940000000000001</v>
      </c>
    </row>
    <row r="234" spans="1:3">
      <c r="A234" s="52">
        <v>1978.09</v>
      </c>
      <c r="B234" s="52">
        <v>4.25</v>
      </c>
      <c r="C234" s="52">
        <v>4.25</v>
      </c>
    </row>
    <row r="235" spans="1:3">
      <c r="A235" s="52">
        <v>1978.1</v>
      </c>
      <c r="B235" s="52">
        <v>4.25</v>
      </c>
      <c r="C235" s="52">
        <v>4.18</v>
      </c>
    </row>
    <row r="236" spans="1:3">
      <c r="A236" s="52">
        <v>1978.11</v>
      </c>
      <c r="B236" s="52">
        <v>4.25</v>
      </c>
      <c r="C236" s="52">
        <v>3.9319999999999999</v>
      </c>
    </row>
    <row r="237" spans="1:3">
      <c r="A237" s="52">
        <v>1978.12</v>
      </c>
      <c r="B237" s="52">
        <v>4.375</v>
      </c>
      <c r="C237" s="52">
        <v>4.5670000000000002</v>
      </c>
    </row>
    <row r="238" spans="1:3">
      <c r="A238" s="52">
        <v>1979.01</v>
      </c>
      <c r="B238" s="52">
        <v>4.5</v>
      </c>
      <c r="C238" s="52">
        <v>4.2880000000000003</v>
      </c>
    </row>
    <row r="239" spans="1:3">
      <c r="A239" s="52">
        <v>1979.02</v>
      </c>
      <c r="B239" s="52">
        <v>4.5</v>
      </c>
      <c r="C239" s="52">
        <v>4.3479999999999999</v>
      </c>
    </row>
    <row r="240" spans="1:3">
      <c r="A240" s="52">
        <v>1979.03</v>
      </c>
      <c r="B240" s="52">
        <v>4.75</v>
      </c>
      <c r="C240" s="52">
        <v>4.6390000000000002</v>
      </c>
    </row>
    <row r="241" spans="1:3">
      <c r="A241" s="52">
        <v>1979.04</v>
      </c>
      <c r="B241" s="52">
        <v>5.125</v>
      </c>
      <c r="C241" s="52">
        <v>4.8853999999999997</v>
      </c>
    </row>
    <row r="242" spans="1:3">
      <c r="A242" s="52">
        <v>1979.05</v>
      </c>
      <c r="B242" s="52">
        <v>5.25</v>
      </c>
      <c r="C242" s="52">
        <v>5.1150000000000002</v>
      </c>
    </row>
    <row r="243" spans="1:3">
      <c r="A243" s="52">
        <v>1979.06</v>
      </c>
      <c r="B243" s="52">
        <v>5.625</v>
      </c>
      <c r="C243" s="52">
        <v>5.3437999999999999</v>
      </c>
    </row>
    <row r="244" spans="1:3">
      <c r="A244" s="52">
        <v>1979.07</v>
      </c>
      <c r="B244" s="52">
        <v>6.5625</v>
      </c>
      <c r="C244" s="52">
        <v>5.8029000000000002</v>
      </c>
    </row>
    <row r="245" spans="1:3">
      <c r="A245" s="52">
        <v>1979.08</v>
      </c>
      <c r="B245" s="52">
        <v>6.75</v>
      </c>
      <c r="C245" s="52">
        <v>6.6852</v>
      </c>
    </row>
    <row r="246" spans="1:3">
      <c r="A246" s="52">
        <v>1979.09</v>
      </c>
      <c r="B246" s="52">
        <v>6.75</v>
      </c>
      <c r="C246" s="52">
        <v>6.8098000000000001</v>
      </c>
    </row>
    <row r="247" spans="1:3">
      <c r="A247" s="52">
        <v>1979.1</v>
      </c>
      <c r="B247" s="52">
        <v>6.9375</v>
      </c>
      <c r="C247" s="52">
        <v>6.7427999999999999</v>
      </c>
    </row>
    <row r="248" spans="1:3">
      <c r="A248" s="52">
        <v>1979.11</v>
      </c>
      <c r="B248" s="52">
        <v>7.75</v>
      </c>
      <c r="C248" s="52">
        <v>7.5807000000000002</v>
      </c>
    </row>
    <row r="249" spans="1:3">
      <c r="A249" s="52">
        <v>1979.12</v>
      </c>
      <c r="B249" s="52">
        <v>8.375</v>
      </c>
      <c r="C249" s="52">
        <v>8.0457000000000001</v>
      </c>
    </row>
    <row r="250" spans="1:3">
      <c r="A250" s="52">
        <v>1980.01</v>
      </c>
      <c r="B250" s="52">
        <v>8.1875</v>
      </c>
      <c r="C250" s="52">
        <v>8.0571000000000002</v>
      </c>
    </row>
    <row r="251" spans="1:3">
      <c r="A251" s="52">
        <v>1980.02</v>
      </c>
      <c r="B251" s="52">
        <v>9.4375</v>
      </c>
      <c r="C251" s="52">
        <v>8.7395999999999994</v>
      </c>
    </row>
    <row r="252" spans="1:3">
      <c r="A252" s="52">
        <v>1980.03</v>
      </c>
      <c r="B252" s="52">
        <v>12.125</v>
      </c>
      <c r="C252" s="52">
        <v>10.73</v>
      </c>
    </row>
    <row r="253" spans="1:3">
      <c r="A253" s="52">
        <v>1980.04</v>
      </c>
      <c r="B253" s="52">
        <v>12.375</v>
      </c>
      <c r="C253" s="52">
        <v>12.21</v>
      </c>
    </row>
    <row r="254" spans="1:3">
      <c r="A254" s="52">
        <v>1980.05</v>
      </c>
      <c r="B254" s="52">
        <v>12.75</v>
      </c>
      <c r="C254" s="52">
        <v>12.5625</v>
      </c>
    </row>
    <row r="255" spans="1:3">
      <c r="A255" s="52">
        <v>1980.06</v>
      </c>
      <c r="B255" s="52">
        <v>12.6875</v>
      </c>
      <c r="C255" s="52">
        <v>12.6425</v>
      </c>
    </row>
    <row r="256" spans="1:3">
      <c r="A256" s="52">
        <v>1980.07</v>
      </c>
      <c r="B256" s="52">
        <v>12.75</v>
      </c>
      <c r="C256" s="52">
        <v>12.7014</v>
      </c>
    </row>
    <row r="257" spans="1:3">
      <c r="A257" s="52">
        <v>1980.08</v>
      </c>
      <c r="B257" s="52">
        <v>11.625</v>
      </c>
      <c r="C257" s="52">
        <v>12.086499999999999</v>
      </c>
    </row>
    <row r="258" spans="1:3">
      <c r="A258" s="52">
        <v>1980.09</v>
      </c>
      <c r="B258" s="52">
        <v>11.3125</v>
      </c>
      <c r="C258" s="52">
        <v>11.403600000000001</v>
      </c>
    </row>
    <row r="259" spans="1:3">
      <c r="A259" s="52">
        <v>1980.1</v>
      </c>
      <c r="B259" s="52">
        <v>10.8125</v>
      </c>
      <c r="C259" s="52">
        <v>11.036099999999999</v>
      </c>
    </row>
    <row r="260" spans="1:3">
      <c r="A260" s="52">
        <v>1980.11</v>
      </c>
      <c r="B260" s="52">
        <v>9.5</v>
      </c>
      <c r="C260" s="52">
        <v>9.5</v>
      </c>
    </row>
    <row r="261" spans="1:3">
      <c r="A261" s="52">
        <v>1980.12</v>
      </c>
      <c r="B261" s="52">
        <v>9.375</v>
      </c>
      <c r="C261" s="52">
        <v>9.4884000000000004</v>
      </c>
    </row>
    <row r="262" spans="1:3">
      <c r="A262" s="52">
        <v>1981.01</v>
      </c>
      <c r="B262" s="52">
        <v>8.875</v>
      </c>
      <c r="C262" s="52">
        <v>8.9076000000000004</v>
      </c>
    </row>
    <row r="263" spans="1:3">
      <c r="A263" s="52">
        <v>1981.02</v>
      </c>
      <c r="B263" s="52">
        <v>8.625</v>
      </c>
      <c r="C263" s="52">
        <v>8.6033000000000008</v>
      </c>
    </row>
    <row r="264" spans="1:3">
      <c r="A264" s="52">
        <v>1981.03</v>
      </c>
      <c r="B264" s="52">
        <v>7.4375</v>
      </c>
      <c r="C264" s="52">
        <v>8.0350000000000001</v>
      </c>
    </row>
    <row r="265" spans="1:3">
      <c r="A265" s="52">
        <v>1981.04</v>
      </c>
      <c r="B265" s="52">
        <v>7.1875</v>
      </c>
      <c r="C265" s="52">
        <v>7.1849999999999996</v>
      </c>
    </row>
    <row r="266" spans="1:3">
      <c r="A266" s="52">
        <v>1981.05</v>
      </c>
      <c r="B266" s="52">
        <v>6.9375</v>
      </c>
      <c r="C266" s="52">
        <v>7.0572999999999997</v>
      </c>
    </row>
    <row r="267" spans="1:3">
      <c r="A267" s="52">
        <v>1981.06</v>
      </c>
      <c r="B267" s="52">
        <v>7.25</v>
      </c>
      <c r="C267" s="52">
        <v>7.1177999999999999</v>
      </c>
    </row>
    <row r="268" spans="1:3">
      <c r="A268" s="52">
        <v>1981.07</v>
      </c>
      <c r="B268" s="52">
        <v>7.3125</v>
      </c>
      <c r="C268" s="52">
        <v>7.2592999999999996</v>
      </c>
    </row>
    <row r="269" spans="1:3">
      <c r="A269" s="52">
        <v>1981.08</v>
      </c>
      <c r="B269" s="52">
        <v>7.25</v>
      </c>
      <c r="C269" s="52">
        <v>7.2355999999999998</v>
      </c>
    </row>
    <row r="270" spans="1:3">
      <c r="A270" s="52">
        <v>1981.09</v>
      </c>
      <c r="B270" s="52">
        <v>7.125</v>
      </c>
      <c r="C270" s="52">
        <v>7.2577999999999996</v>
      </c>
    </row>
    <row r="271" spans="1:3">
      <c r="A271" s="52">
        <v>1981.1</v>
      </c>
      <c r="B271" s="52">
        <v>7</v>
      </c>
      <c r="C271" s="52">
        <v>7.0505000000000004</v>
      </c>
    </row>
    <row r="272" spans="1:3">
      <c r="A272" s="52">
        <v>1981.11</v>
      </c>
      <c r="B272" s="52">
        <v>6.875</v>
      </c>
      <c r="C272" s="52">
        <v>6.7988999999999997</v>
      </c>
    </row>
    <row r="273" spans="1:3">
      <c r="A273" s="52">
        <v>1981.12</v>
      </c>
      <c r="B273" s="52">
        <v>6.625</v>
      </c>
      <c r="C273" s="52">
        <v>6.7013999999999996</v>
      </c>
    </row>
    <row r="274" spans="1:3">
      <c r="A274" s="52">
        <v>1982.01</v>
      </c>
      <c r="B274" s="52">
        <v>6.625</v>
      </c>
      <c r="C274" s="52">
        <v>6.5761000000000003</v>
      </c>
    </row>
    <row r="275" spans="1:3">
      <c r="A275" s="52">
        <v>1982.02</v>
      </c>
      <c r="B275" s="52">
        <v>6.6875</v>
      </c>
      <c r="C275" s="52">
        <v>6.5761000000000003</v>
      </c>
    </row>
    <row r="276" spans="1:3">
      <c r="A276" s="52">
        <v>1982.03</v>
      </c>
      <c r="B276" s="52">
        <v>7</v>
      </c>
      <c r="C276" s="52">
        <v>6.6755000000000004</v>
      </c>
    </row>
    <row r="277" spans="1:3">
      <c r="A277" s="52">
        <v>1982.04</v>
      </c>
      <c r="B277" s="52">
        <v>7.125</v>
      </c>
      <c r="C277" s="52">
        <v>7.1624999999999996</v>
      </c>
    </row>
    <row r="278" spans="1:3">
      <c r="A278" s="52">
        <v>1982.05</v>
      </c>
      <c r="B278" s="52">
        <v>7.125</v>
      </c>
      <c r="C278" s="52">
        <v>7.1666999999999996</v>
      </c>
    </row>
    <row r="279" spans="1:3">
      <c r="A279" s="52">
        <v>1982.06</v>
      </c>
      <c r="B279" s="52">
        <v>7.125</v>
      </c>
      <c r="C279" s="52">
        <v>7.1875</v>
      </c>
    </row>
    <row r="280" spans="1:3">
      <c r="A280" s="52">
        <v>1982.07</v>
      </c>
      <c r="B280" s="52">
        <v>7.125</v>
      </c>
      <c r="C280" s="52">
        <v>7.1852</v>
      </c>
    </row>
    <row r="281" spans="1:3">
      <c r="A281" s="52">
        <v>1982.08</v>
      </c>
      <c r="B281" s="52">
        <v>7.0625</v>
      </c>
      <c r="C281" s="52">
        <v>7.1826999999999996</v>
      </c>
    </row>
    <row r="282" spans="1:3">
      <c r="A282" s="52">
        <v>1982.09</v>
      </c>
      <c r="B282" s="52">
        <v>6.9375</v>
      </c>
      <c r="C282" s="52">
        <v>6.9870000000000001</v>
      </c>
    </row>
    <row r="283" spans="1:3">
      <c r="A283" s="52">
        <v>1982.1</v>
      </c>
      <c r="B283" s="52">
        <v>6.875</v>
      </c>
      <c r="C283" s="52">
        <v>6.9175000000000004</v>
      </c>
    </row>
    <row r="284" spans="1:3">
      <c r="A284" s="52">
        <v>1982.11</v>
      </c>
      <c r="B284" s="52">
        <v>6.6875</v>
      </c>
      <c r="C284" s="52">
        <v>6.6848999999999998</v>
      </c>
    </row>
    <row r="285" spans="1:3">
      <c r="A285" s="52">
        <v>1982.12</v>
      </c>
      <c r="B285" s="52">
        <v>6.6875</v>
      </c>
      <c r="C285" s="52">
        <v>6.9212999999999996</v>
      </c>
    </row>
    <row r="286" spans="1:3">
      <c r="A286" s="52">
        <v>1983.01</v>
      </c>
      <c r="B286" s="52">
        <v>6.75</v>
      </c>
      <c r="C286" s="52">
        <v>6.6413000000000002</v>
      </c>
    </row>
    <row r="287" spans="1:3">
      <c r="A287" s="52">
        <v>1983.02</v>
      </c>
      <c r="B287" s="52">
        <v>6.6875</v>
      </c>
      <c r="C287" s="52">
        <v>6.5734000000000004</v>
      </c>
    </row>
    <row r="288" spans="1:3">
      <c r="A288" s="52">
        <v>1983.03</v>
      </c>
      <c r="B288" s="52">
        <v>6.375</v>
      </c>
      <c r="C288" s="52">
        <v>6.6923000000000004</v>
      </c>
    </row>
    <row r="289" spans="1:3">
      <c r="A289" s="52">
        <v>1983.04</v>
      </c>
      <c r="B289" s="52">
        <v>6.25</v>
      </c>
      <c r="C289" s="52">
        <v>6.2949999999999999</v>
      </c>
    </row>
    <row r="290" spans="1:3">
      <c r="A290" s="52">
        <v>1983.05</v>
      </c>
      <c r="B290" s="52">
        <v>6.0625</v>
      </c>
      <c r="C290" s="52">
        <v>6.0807000000000002</v>
      </c>
    </row>
    <row r="291" spans="1:3">
      <c r="A291" s="52">
        <v>1983.06</v>
      </c>
      <c r="B291" s="52">
        <v>6.25</v>
      </c>
      <c r="C291" s="52">
        <v>6.1970999999999998</v>
      </c>
    </row>
    <row r="292" spans="1:3">
      <c r="A292" s="52">
        <v>1983.07</v>
      </c>
      <c r="B292" s="52">
        <v>6.5625</v>
      </c>
      <c r="C292" s="52">
        <v>6.3869999999999996</v>
      </c>
    </row>
    <row r="293" spans="1:3">
      <c r="A293" s="52">
        <v>1983.08</v>
      </c>
      <c r="B293" s="52">
        <v>6.4375</v>
      </c>
      <c r="C293" s="52">
        <v>6.4566999999999997</v>
      </c>
    </row>
    <row r="294" spans="1:3">
      <c r="A294" s="52">
        <v>1983.09</v>
      </c>
      <c r="B294" s="52">
        <v>6.5</v>
      </c>
      <c r="C294" s="52">
        <v>6.5326000000000004</v>
      </c>
    </row>
    <row r="295" spans="1:3">
      <c r="A295" s="52">
        <v>1983.1</v>
      </c>
      <c r="B295" s="52">
        <v>6.125</v>
      </c>
      <c r="C295" s="52">
        <v>6.4271000000000003</v>
      </c>
    </row>
    <row r="296" spans="1:3">
      <c r="A296" s="52">
        <v>1983.11</v>
      </c>
      <c r="B296" s="52">
        <v>6</v>
      </c>
      <c r="C296" s="52">
        <v>5.9863999999999997</v>
      </c>
    </row>
    <row r="297" spans="1:3">
      <c r="A297" s="52">
        <v>1983.12</v>
      </c>
      <c r="B297" s="52">
        <v>6.25</v>
      </c>
      <c r="C297" s="52">
        <v>6.4375</v>
      </c>
    </row>
    <row r="298" spans="1:3">
      <c r="A298" s="52">
        <v>1984.01</v>
      </c>
      <c r="B298" s="52">
        <v>6.125</v>
      </c>
      <c r="C298" s="52">
        <v>6.0510999999999999</v>
      </c>
    </row>
    <row r="299" spans="1:3">
      <c r="A299" s="52">
        <v>1984.02</v>
      </c>
      <c r="B299" s="52">
        <v>6.625</v>
      </c>
      <c r="C299" s="52">
        <v>6.0416999999999996</v>
      </c>
    </row>
    <row r="300" spans="1:3">
      <c r="A300" s="52">
        <v>1984.03</v>
      </c>
      <c r="B300" s="52">
        <v>6.5625</v>
      </c>
      <c r="C300" s="52">
        <v>6.4524999999999997</v>
      </c>
    </row>
    <row r="301" spans="1:3">
      <c r="A301" s="52">
        <v>1984.04</v>
      </c>
      <c r="B301" s="52">
        <v>5.875</v>
      </c>
      <c r="C301" s="52">
        <v>5.8832000000000004</v>
      </c>
    </row>
    <row r="302" spans="1:3">
      <c r="A302" s="52">
        <v>1984.05</v>
      </c>
      <c r="B302" s="52">
        <v>6</v>
      </c>
      <c r="C302" s="52">
        <v>5.7422000000000004</v>
      </c>
    </row>
    <row r="303" spans="1:3">
      <c r="A303" s="52">
        <v>1984.06</v>
      </c>
      <c r="B303" s="52">
        <v>6</v>
      </c>
      <c r="C303" s="52">
        <v>5.9074999999999998</v>
      </c>
    </row>
    <row r="304" spans="1:3">
      <c r="A304" s="52">
        <v>1984.07</v>
      </c>
      <c r="B304" s="52">
        <v>6.125</v>
      </c>
      <c r="C304" s="52">
        <v>6.03</v>
      </c>
    </row>
    <row r="305" spans="1:5">
      <c r="A305" s="52">
        <v>1984.08</v>
      </c>
      <c r="B305" s="52">
        <v>6.1875</v>
      </c>
      <c r="C305" s="52">
        <v>6.1130000000000004</v>
      </c>
    </row>
    <row r="306" spans="1:5">
      <c r="A306" s="52">
        <v>1984.09</v>
      </c>
      <c r="B306" s="52">
        <v>6.375</v>
      </c>
      <c r="C306" s="52">
        <v>6.3152999999999997</v>
      </c>
    </row>
    <row r="307" spans="1:5">
      <c r="A307" s="52">
        <v>1984.1</v>
      </c>
      <c r="B307" s="52">
        <v>6.25</v>
      </c>
      <c r="C307" s="52">
        <v>6.1524999999999999</v>
      </c>
    </row>
    <row r="308" spans="1:5">
      <c r="A308" s="52">
        <v>1984.11</v>
      </c>
      <c r="B308" s="52">
        <v>6.125</v>
      </c>
      <c r="C308" s="52">
        <v>6.1032999999999999</v>
      </c>
    </row>
    <row r="309" spans="1:5">
      <c r="A309" s="52">
        <v>1984.12</v>
      </c>
      <c r="B309" s="52">
        <v>6.4375</v>
      </c>
      <c r="C309" s="52">
        <v>6.4074999999999998</v>
      </c>
    </row>
    <row r="310" spans="1:5">
      <c r="A310" s="52">
        <v>1985.01</v>
      </c>
      <c r="B310" s="52">
        <v>6.1875</v>
      </c>
      <c r="C310" s="52">
        <v>6.1676000000000002</v>
      </c>
    </row>
    <row r="311" spans="1:5">
      <c r="A311" s="52">
        <v>1985.02</v>
      </c>
      <c r="B311" s="52">
        <v>6.3125</v>
      </c>
      <c r="C311" s="52">
        <v>6.1619000000000002</v>
      </c>
    </row>
    <row r="312" spans="1:5">
      <c r="A312" s="52">
        <v>1985.03</v>
      </c>
      <c r="B312" s="52">
        <v>6.375</v>
      </c>
      <c r="C312" s="52">
        <v>6.4166999999999996</v>
      </c>
    </row>
    <row r="313" spans="1:5">
      <c r="A313" s="52">
        <v>1985.04</v>
      </c>
      <c r="B313" s="52">
        <v>6.125</v>
      </c>
      <c r="C313" s="52">
        <v>6.0728999999999997</v>
      </c>
    </row>
    <row r="314" spans="1:5">
      <c r="A314" s="52">
        <v>1985.05</v>
      </c>
      <c r="B314" s="52">
        <v>6.0625</v>
      </c>
      <c r="C314" s="52">
        <v>6.0052000000000003</v>
      </c>
    </row>
    <row r="315" spans="1:5">
      <c r="A315" s="52">
        <v>1985.06</v>
      </c>
      <c r="B315" s="52">
        <v>6.3125</v>
      </c>
      <c r="C315" s="52">
        <v>6.1276000000000002</v>
      </c>
    </row>
    <row r="316" spans="1:5">
      <c r="A316" s="52">
        <v>1985.07</v>
      </c>
      <c r="B316" s="52">
        <v>6.3125</v>
      </c>
      <c r="C316" s="52">
        <v>6.1875</v>
      </c>
      <c r="D316" s="52">
        <v>6.4375</v>
      </c>
      <c r="E316" s="52">
        <v>6.4166999999999996</v>
      </c>
    </row>
    <row r="317" spans="1:5">
      <c r="A317" s="52">
        <v>1985.08</v>
      </c>
      <c r="B317" s="52">
        <v>6.25</v>
      </c>
      <c r="C317" s="52">
        <v>6.1683000000000003</v>
      </c>
      <c r="D317" s="52">
        <v>6.3125</v>
      </c>
      <c r="E317" s="52">
        <v>6.2476000000000003</v>
      </c>
    </row>
    <row r="318" spans="1:5">
      <c r="A318" s="52">
        <v>1985.09</v>
      </c>
      <c r="B318" s="52">
        <v>6.75</v>
      </c>
      <c r="C318" s="52">
        <v>6.4062999999999999</v>
      </c>
      <c r="D318" s="52">
        <v>6.9375</v>
      </c>
      <c r="E318" s="52">
        <v>6.4972000000000003</v>
      </c>
    </row>
    <row r="319" spans="1:5">
      <c r="A319" s="52">
        <v>1985.1</v>
      </c>
      <c r="B319" s="52">
        <v>7.125</v>
      </c>
      <c r="C319" s="52">
        <v>6.5374999999999996</v>
      </c>
      <c r="D319" s="52">
        <v>7.375</v>
      </c>
      <c r="E319" s="52">
        <v>6.66</v>
      </c>
    </row>
    <row r="320" spans="1:5">
      <c r="A320" s="52">
        <v>1985.11</v>
      </c>
      <c r="B320" s="52">
        <v>7.625</v>
      </c>
      <c r="C320" s="52">
        <v>7.2880000000000003</v>
      </c>
      <c r="D320" s="52">
        <v>7.75</v>
      </c>
      <c r="E320" s="52">
        <v>7.4184999999999999</v>
      </c>
    </row>
    <row r="321" spans="1:5">
      <c r="A321" s="52">
        <v>1985.12</v>
      </c>
      <c r="B321" s="52">
        <v>7.875</v>
      </c>
      <c r="C321" s="52">
        <v>8.02</v>
      </c>
      <c r="D321" s="52">
        <v>9.0625</v>
      </c>
      <c r="E321" s="52">
        <v>8.2424999999999997</v>
      </c>
    </row>
    <row r="322" spans="1:5">
      <c r="A322" s="52">
        <v>1986.01</v>
      </c>
      <c r="B322" s="52">
        <v>6</v>
      </c>
      <c r="C322" s="52">
        <v>6.8437999999999999</v>
      </c>
      <c r="D322" s="52">
        <v>7</v>
      </c>
      <c r="E322" s="52">
        <v>7.0454999999999997</v>
      </c>
    </row>
    <row r="323" spans="1:5">
      <c r="A323" s="52">
        <v>1986.02</v>
      </c>
      <c r="B323" s="52">
        <v>6</v>
      </c>
      <c r="C323" s="52">
        <v>5.7812999999999999</v>
      </c>
      <c r="D323" s="52">
        <v>6.5</v>
      </c>
      <c r="E323" s="52">
        <v>6.0255999999999998</v>
      </c>
    </row>
    <row r="324" spans="1:5">
      <c r="A324" s="52">
        <v>1986.03</v>
      </c>
      <c r="B324" s="52">
        <v>5.375</v>
      </c>
      <c r="C324" s="52">
        <v>5.5339</v>
      </c>
      <c r="D324" s="52">
        <v>5.625</v>
      </c>
      <c r="E324" s="52">
        <v>5.7552000000000003</v>
      </c>
    </row>
    <row r="325" spans="1:5">
      <c r="A325" s="52">
        <v>1986.04</v>
      </c>
      <c r="B325" s="52">
        <v>4.5</v>
      </c>
      <c r="C325" s="52">
        <v>4.7031000000000001</v>
      </c>
      <c r="D325" s="52">
        <v>5.25</v>
      </c>
      <c r="E325" s="52">
        <v>4.9661</v>
      </c>
    </row>
    <row r="326" spans="1:5">
      <c r="A326" s="52">
        <v>1986.05</v>
      </c>
      <c r="B326" s="52">
        <v>4.375</v>
      </c>
      <c r="C326" s="52">
        <v>4.2134999999999998</v>
      </c>
      <c r="D326" s="52">
        <v>4.5</v>
      </c>
      <c r="E326" s="52">
        <v>4.3983999999999996</v>
      </c>
    </row>
    <row r="327" spans="1:5">
      <c r="A327" s="52">
        <v>1986.06</v>
      </c>
      <c r="B327" s="52">
        <v>4.6875</v>
      </c>
      <c r="C327" s="52">
        <v>4.3906000000000001</v>
      </c>
      <c r="D327" s="52">
        <v>4.8125</v>
      </c>
      <c r="E327" s="52">
        <v>4.5233999999999996</v>
      </c>
    </row>
    <row r="328" spans="1:5">
      <c r="A328" s="52">
        <v>1986.07</v>
      </c>
      <c r="B328" s="52">
        <v>4.6875</v>
      </c>
      <c r="C328" s="52">
        <v>4.5048000000000004</v>
      </c>
      <c r="D328" s="52">
        <v>4.8125</v>
      </c>
      <c r="E328" s="52">
        <v>4.6298000000000004</v>
      </c>
    </row>
    <row r="329" spans="1:5">
      <c r="A329" s="52">
        <v>1986.08</v>
      </c>
      <c r="B329" s="52">
        <v>4.625</v>
      </c>
      <c r="C329" s="52">
        <v>4.5521000000000003</v>
      </c>
      <c r="D329" s="52">
        <v>4.75</v>
      </c>
      <c r="E329" s="52">
        <v>4.6771000000000003</v>
      </c>
    </row>
    <row r="330" spans="1:5">
      <c r="A330" s="52">
        <v>1986.09</v>
      </c>
      <c r="B330" s="52">
        <v>4.8125</v>
      </c>
      <c r="C330" s="52">
        <v>4.6307</v>
      </c>
      <c r="D330" s="52">
        <v>5</v>
      </c>
      <c r="E330" s="52">
        <v>4.7584999999999997</v>
      </c>
    </row>
    <row r="331" spans="1:5">
      <c r="A331" s="52">
        <v>1986.1</v>
      </c>
      <c r="B331" s="52">
        <v>4.375</v>
      </c>
      <c r="C331" s="52">
        <v>4.4089</v>
      </c>
      <c r="D331" s="52">
        <v>4.5</v>
      </c>
      <c r="E331" s="52">
        <v>4.5365000000000002</v>
      </c>
    </row>
    <row r="332" spans="1:5">
      <c r="A332" s="52">
        <v>1986.11</v>
      </c>
      <c r="B332" s="52">
        <v>3.6875</v>
      </c>
      <c r="C332" s="52">
        <v>3.7707999999999999</v>
      </c>
      <c r="D332" s="52">
        <v>3.8125</v>
      </c>
      <c r="E332" s="52">
        <v>3.9047999999999998</v>
      </c>
    </row>
    <row r="333" spans="1:5">
      <c r="A333" s="52">
        <v>1986.12</v>
      </c>
      <c r="B333" s="52">
        <v>4.4375</v>
      </c>
      <c r="C333" s="52">
        <v>4.1825000000000001</v>
      </c>
      <c r="D333" s="52">
        <v>4.5625</v>
      </c>
      <c r="E333" s="52">
        <v>4.3150000000000004</v>
      </c>
    </row>
    <row r="334" spans="1:5">
      <c r="A334" s="52">
        <v>1987.01</v>
      </c>
      <c r="B334" s="52">
        <v>4.375</v>
      </c>
      <c r="C334" s="52">
        <v>4.0862999999999996</v>
      </c>
      <c r="D334" s="52">
        <v>5</v>
      </c>
      <c r="E334" s="52">
        <v>4.3304</v>
      </c>
    </row>
    <row r="335" spans="1:5">
      <c r="A335" s="52">
        <v>1987.02</v>
      </c>
      <c r="B335" s="52">
        <v>3.9375</v>
      </c>
      <c r="C335" s="52">
        <v>4.0536000000000003</v>
      </c>
      <c r="D335" s="52">
        <v>4.0625</v>
      </c>
      <c r="E335" s="52">
        <v>4.2767999999999997</v>
      </c>
    </row>
    <row r="336" spans="1:5">
      <c r="A336" s="52">
        <v>1987.03</v>
      </c>
      <c r="B336" s="52">
        <v>3.75</v>
      </c>
      <c r="C336" s="52">
        <v>3.8542000000000001</v>
      </c>
      <c r="D336" s="52">
        <v>3.9375</v>
      </c>
      <c r="E336" s="52">
        <v>3.9922</v>
      </c>
    </row>
    <row r="337" spans="1:5">
      <c r="A337" s="52">
        <v>1987.04</v>
      </c>
      <c r="B337" s="52">
        <v>3.4375</v>
      </c>
      <c r="C337" s="52">
        <v>3.5190000000000001</v>
      </c>
      <c r="D337" s="52">
        <v>3.75</v>
      </c>
      <c r="E337" s="52">
        <v>3.7147000000000001</v>
      </c>
    </row>
    <row r="338" spans="1:5">
      <c r="A338" s="52">
        <v>1987.05</v>
      </c>
      <c r="B338" s="52">
        <v>3.125</v>
      </c>
      <c r="C338" s="52">
        <v>3.1648000000000001</v>
      </c>
      <c r="D338" s="52">
        <v>3.25</v>
      </c>
      <c r="E338" s="52">
        <v>3.2955000000000001</v>
      </c>
    </row>
    <row r="339" spans="1:5">
      <c r="A339" s="52">
        <v>1987.06</v>
      </c>
      <c r="B339" s="52">
        <v>3.4375</v>
      </c>
      <c r="C339" s="52">
        <v>3.1615000000000002</v>
      </c>
      <c r="D339" s="52">
        <v>3.625</v>
      </c>
      <c r="E339" s="52">
        <v>3.3073000000000001</v>
      </c>
    </row>
    <row r="340" spans="1:5">
      <c r="A340" s="52">
        <v>1987.07</v>
      </c>
      <c r="B340" s="52">
        <v>3.1875</v>
      </c>
      <c r="C340" s="52">
        <v>3.1675</v>
      </c>
      <c r="D340" s="52">
        <v>3.3125</v>
      </c>
      <c r="E340" s="52">
        <v>3.2949999999999999</v>
      </c>
    </row>
    <row r="341" spans="1:5">
      <c r="A341" s="52">
        <v>1987.08</v>
      </c>
      <c r="B341" s="52">
        <v>3.375</v>
      </c>
      <c r="C341" s="52">
        <v>3.1901000000000002</v>
      </c>
      <c r="D341" s="52">
        <v>3.5</v>
      </c>
      <c r="E341" s="52">
        <v>3.3151000000000002</v>
      </c>
    </row>
    <row r="342" spans="1:5">
      <c r="A342" s="52">
        <v>1987.09</v>
      </c>
      <c r="B342" s="52">
        <v>3.6875</v>
      </c>
      <c r="C342" s="52">
        <v>3.3892000000000002</v>
      </c>
      <c r="D342" s="52">
        <v>3.8125</v>
      </c>
      <c r="E342" s="52">
        <v>3.5142000000000002</v>
      </c>
    </row>
    <row r="343" spans="1:5">
      <c r="A343" s="52">
        <v>1987.1</v>
      </c>
      <c r="B343" s="52">
        <v>3.4375</v>
      </c>
      <c r="C343" s="52">
        <v>3.3725000000000001</v>
      </c>
      <c r="D343" s="52">
        <v>3.625</v>
      </c>
      <c r="E343" s="52">
        <v>3.5</v>
      </c>
    </row>
    <row r="344" spans="1:5">
      <c r="A344" s="52">
        <v>1987.11</v>
      </c>
      <c r="B344" s="52">
        <v>3.5625</v>
      </c>
      <c r="C344" s="52">
        <v>3.3898999999999999</v>
      </c>
      <c r="D344" s="52">
        <v>3.75</v>
      </c>
      <c r="E344" s="52">
        <v>3.5268000000000002</v>
      </c>
    </row>
    <row r="345" spans="1:5">
      <c r="A345" s="52">
        <v>1987.12</v>
      </c>
      <c r="B345" s="52">
        <v>4</v>
      </c>
      <c r="C345" s="52">
        <v>3.8125</v>
      </c>
      <c r="D345" s="52">
        <v>4.125</v>
      </c>
      <c r="E345" s="52">
        <v>3.9575</v>
      </c>
    </row>
    <row r="346" spans="1:5">
      <c r="A346" s="52">
        <v>1988.01</v>
      </c>
      <c r="B346" s="52">
        <v>3.5625</v>
      </c>
      <c r="C346" s="52">
        <v>3.5446</v>
      </c>
      <c r="D346" s="52">
        <v>4</v>
      </c>
      <c r="E346" s="52">
        <v>3.6993999999999998</v>
      </c>
    </row>
    <row r="347" spans="1:5">
      <c r="A347" s="52">
        <v>1988.02</v>
      </c>
      <c r="B347" s="52">
        <v>3.5</v>
      </c>
      <c r="C347" s="52">
        <v>3.3976999999999999</v>
      </c>
      <c r="D347" s="52">
        <v>4.0625</v>
      </c>
      <c r="E347" s="52">
        <v>3.5851999999999999</v>
      </c>
    </row>
    <row r="348" spans="1:5">
      <c r="A348" s="52">
        <v>1988.03</v>
      </c>
      <c r="B348" s="52">
        <v>3.5</v>
      </c>
      <c r="C348" s="52">
        <v>3.5234000000000001</v>
      </c>
      <c r="D348" s="52">
        <v>5</v>
      </c>
      <c r="E348" s="52">
        <v>3.7734000000000001</v>
      </c>
    </row>
    <row r="349" spans="1:5">
      <c r="A349" s="52">
        <v>1988.04</v>
      </c>
      <c r="B349" s="52">
        <v>3.4375</v>
      </c>
      <c r="C349" s="52">
        <v>3.3397000000000001</v>
      </c>
      <c r="D349" s="52">
        <v>3.5625</v>
      </c>
      <c r="E349" s="52">
        <v>3.4946000000000002</v>
      </c>
    </row>
    <row r="350" spans="1:5">
      <c r="A350" s="52">
        <v>1988.05</v>
      </c>
      <c r="B350" s="52">
        <v>3.25</v>
      </c>
      <c r="C350" s="52">
        <v>3.2381000000000002</v>
      </c>
      <c r="D350" s="52">
        <v>3.5</v>
      </c>
      <c r="E350" s="52">
        <v>3.4643000000000002</v>
      </c>
    </row>
    <row r="351" spans="1:5">
      <c r="A351" s="52">
        <v>1988.06</v>
      </c>
      <c r="B351" s="52">
        <v>3.6875</v>
      </c>
      <c r="C351" s="52">
        <v>3.4192999999999998</v>
      </c>
      <c r="D351" s="52">
        <v>3.8125</v>
      </c>
      <c r="E351" s="52">
        <v>3.5937999999999999</v>
      </c>
    </row>
    <row r="352" spans="1:5">
      <c r="A352" s="52">
        <v>1988.07</v>
      </c>
      <c r="B352" s="52">
        <v>3.8125</v>
      </c>
      <c r="C352" s="52">
        <v>3.6640999999999999</v>
      </c>
      <c r="D352" s="52">
        <v>3.9375</v>
      </c>
      <c r="E352" s="52">
        <v>3.8645999999999998</v>
      </c>
    </row>
    <row r="353" spans="1:13">
      <c r="A353" s="52">
        <v>1988.08</v>
      </c>
      <c r="B353" s="52">
        <v>3.875</v>
      </c>
      <c r="C353" s="52">
        <v>3.7925</v>
      </c>
      <c r="D353" s="52">
        <v>4.1875</v>
      </c>
      <c r="E353" s="52">
        <v>3.98</v>
      </c>
    </row>
    <row r="354" spans="1:13">
      <c r="A354" s="52">
        <v>1988.09</v>
      </c>
      <c r="B354" s="52">
        <v>4.25</v>
      </c>
      <c r="C354" s="52">
        <v>3.8778000000000001</v>
      </c>
      <c r="D354" s="52">
        <v>5</v>
      </c>
      <c r="E354" s="52">
        <v>4.0852000000000004</v>
      </c>
    </row>
    <row r="355" spans="1:13">
      <c r="A355" s="52">
        <v>1988.1</v>
      </c>
      <c r="B355" s="52">
        <v>3.9375</v>
      </c>
      <c r="C355" s="52">
        <v>3.9211999999999998</v>
      </c>
      <c r="D355" s="52">
        <v>4.5625</v>
      </c>
      <c r="E355" s="52">
        <v>4.1711999999999998</v>
      </c>
    </row>
    <row r="356" spans="1:13">
      <c r="A356" s="52">
        <v>1988.11</v>
      </c>
      <c r="B356" s="52">
        <v>3.75</v>
      </c>
      <c r="C356" s="52">
        <v>3.7044999999999999</v>
      </c>
      <c r="D356" s="52">
        <v>3.875</v>
      </c>
      <c r="E356" s="52">
        <v>3.9432</v>
      </c>
    </row>
    <row r="357" spans="1:13">
      <c r="A357" s="52">
        <v>1988.12</v>
      </c>
      <c r="B357" s="52">
        <v>4.125</v>
      </c>
      <c r="C357" s="52">
        <v>4.04</v>
      </c>
      <c r="D357" s="52">
        <v>4.375</v>
      </c>
      <c r="E357" s="52">
        <v>4.3624999999999998</v>
      </c>
    </row>
    <row r="358" spans="1:13">
      <c r="A358" s="52">
        <v>1989.01</v>
      </c>
      <c r="B358" s="52">
        <v>3.96875</v>
      </c>
      <c r="C358" s="52">
        <v>3.8303600000000002</v>
      </c>
      <c r="D358" s="52">
        <v>4.4375</v>
      </c>
      <c r="E358" s="52">
        <v>4.09375</v>
      </c>
      <c r="F358" s="52">
        <v>4.4375</v>
      </c>
      <c r="G358" s="52">
        <v>4.2857099999999999</v>
      </c>
      <c r="H358" s="52">
        <v>4.375</v>
      </c>
      <c r="I358" s="52">
        <v>4.3680599999999998</v>
      </c>
      <c r="J358" s="52">
        <v>4.375</v>
      </c>
      <c r="K358" s="52">
        <v>4.4218799999999998</v>
      </c>
      <c r="L358" s="52">
        <v>4.59375</v>
      </c>
      <c r="M358" s="52">
        <v>4.5781299999999998</v>
      </c>
    </row>
    <row r="359" spans="1:13">
      <c r="A359" s="52">
        <v>1989.02</v>
      </c>
      <c r="B359" s="52">
        <v>4.0625</v>
      </c>
      <c r="C359" s="52">
        <v>3.8914499999999999</v>
      </c>
      <c r="D359" s="52">
        <v>4.5625</v>
      </c>
      <c r="E359" s="52">
        <v>4.1792800000000003</v>
      </c>
      <c r="F359" s="52">
        <v>4.5</v>
      </c>
      <c r="G359" s="52">
        <v>4.2286200000000003</v>
      </c>
      <c r="H359" s="52">
        <v>4.5</v>
      </c>
      <c r="I359" s="52">
        <v>4.3562500000000002</v>
      </c>
      <c r="J359" s="52">
        <v>4.625</v>
      </c>
      <c r="K359" s="52">
        <v>4.625</v>
      </c>
      <c r="L359" s="52">
        <v>4.625</v>
      </c>
      <c r="M359" s="52">
        <v>4.62216</v>
      </c>
    </row>
    <row r="360" spans="1:13">
      <c r="A360" s="52">
        <v>1989.03</v>
      </c>
      <c r="B360" s="52">
        <v>4.15625</v>
      </c>
      <c r="C360" s="52">
        <v>4.0056799999999999</v>
      </c>
      <c r="D360" s="52">
        <v>4.5</v>
      </c>
      <c r="E360" s="52">
        <v>4.2542600000000004</v>
      </c>
      <c r="F360" s="52">
        <v>4.5</v>
      </c>
      <c r="G360" s="52">
        <v>4.6164800000000001</v>
      </c>
      <c r="H360" s="52">
        <v>4.46875</v>
      </c>
      <c r="I360" s="52">
        <v>4.8125</v>
      </c>
      <c r="J360" s="52">
        <v>4.59375</v>
      </c>
      <c r="K360" s="52">
        <v>4.6953100000000001</v>
      </c>
      <c r="L360" s="52">
        <v>4.6875</v>
      </c>
      <c r="M360" s="52">
        <v>4.75</v>
      </c>
    </row>
    <row r="361" spans="1:13">
      <c r="A361" s="52">
        <v>1989.04</v>
      </c>
      <c r="B361" s="52">
        <v>4.125</v>
      </c>
      <c r="C361" s="52">
        <v>4.05</v>
      </c>
      <c r="D361" s="52">
        <v>4.46875</v>
      </c>
      <c r="E361" s="52">
        <v>4.4203099999999997</v>
      </c>
      <c r="F361" s="52">
        <v>4.5625</v>
      </c>
      <c r="G361" s="52">
        <v>4.4640599999999999</v>
      </c>
      <c r="H361" s="52">
        <v>4.59375</v>
      </c>
      <c r="I361" s="52">
        <v>4.55382</v>
      </c>
      <c r="J361" s="52">
        <v>4.75</v>
      </c>
      <c r="K361" s="52">
        <v>4.5694400000000002</v>
      </c>
      <c r="L361" s="52">
        <v>4.875</v>
      </c>
      <c r="M361" s="52">
        <v>4.7304700000000004</v>
      </c>
    </row>
    <row r="362" spans="1:13">
      <c r="A362" s="52">
        <v>1989.05</v>
      </c>
      <c r="B362" s="52">
        <v>4.53125</v>
      </c>
      <c r="C362" s="52">
        <v>4.1859400000000004</v>
      </c>
      <c r="D362" s="52">
        <v>4.96875</v>
      </c>
      <c r="E362" s="52">
        <v>4.6749999999999998</v>
      </c>
      <c r="F362" s="52">
        <v>5.1875</v>
      </c>
      <c r="G362" s="52">
        <v>4.7953099999999997</v>
      </c>
      <c r="H362" s="52">
        <v>5.125</v>
      </c>
      <c r="I362" s="52">
        <v>4.9144699999999997</v>
      </c>
      <c r="J362" s="52">
        <v>5.03125</v>
      </c>
      <c r="K362" s="52">
        <v>4.9375</v>
      </c>
      <c r="L362" s="52">
        <v>5.21875</v>
      </c>
      <c r="M362" s="52">
        <v>5.0911400000000002</v>
      </c>
    </row>
    <row r="363" spans="1:13">
      <c r="A363" s="52">
        <v>1989.06</v>
      </c>
      <c r="B363" s="52">
        <v>5</v>
      </c>
      <c r="C363" s="52">
        <v>4.84659</v>
      </c>
      <c r="D363" s="52">
        <v>5.25</v>
      </c>
      <c r="E363" s="52">
        <v>5.1377800000000002</v>
      </c>
      <c r="F363" s="52">
        <v>5.34375</v>
      </c>
      <c r="G363" s="52">
        <v>5.2144899999999996</v>
      </c>
      <c r="H363" s="52">
        <v>5.3125</v>
      </c>
      <c r="I363" s="52">
        <v>5.2911200000000003</v>
      </c>
      <c r="J363" s="52">
        <v>5.375</v>
      </c>
      <c r="K363" s="52">
        <v>5.35</v>
      </c>
      <c r="L363" s="52">
        <v>5.40625</v>
      </c>
      <c r="M363" s="52">
        <v>5.3359399999999999</v>
      </c>
    </row>
    <row r="364" spans="1:13">
      <c r="A364" s="52">
        <v>1989.07</v>
      </c>
      <c r="B364" s="52">
        <v>5.1875</v>
      </c>
      <c r="C364" s="52">
        <v>5.0506000000000002</v>
      </c>
      <c r="D364" s="52">
        <v>5.34375</v>
      </c>
      <c r="E364" s="52">
        <v>5.2247000000000003</v>
      </c>
      <c r="F364" s="52">
        <v>5.34375</v>
      </c>
      <c r="G364" s="52">
        <v>5.2589300000000003</v>
      </c>
      <c r="H364" s="52">
        <v>5.3125</v>
      </c>
      <c r="I364" s="52">
        <v>5.3184500000000003</v>
      </c>
      <c r="J364" s="52">
        <v>5.34375</v>
      </c>
      <c r="K364" s="52">
        <v>5.3541699999999999</v>
      </c>
      <c r="L364" s="52">
        <v>5.4375</v>
      </c>
      <c r="M364" s="52">
        <v>5.4648399999999997</v>
      </c>
    </row>
    <row r="365" spans="1:13">
      <c r="A365" s="52">
        <v>1989.08</v>
      </c>
      <c r="B365" s="52">
        <v>5.375</v>
      </c>
      <c r="C365" s="52">
        <v>5.2241799999999996</v>
      </c>
      <c r="D365" s="52">
        <v>5.53125</v>
      </c>
      <c r="E365" s="52">
        <v>5.3804299999999996</v>
      </c>
      <c r="F365" s="52">
        <v>5.5</v>
      </c>
      <c r="G365" s="52">
        <v>5.3899499999999998</v>
      </c>
      <c r="H365" s="52">
        <v>5.46875</v>
      </c>
      <c r="I365" s="52">
        <v>5.4015599999999999</v>
      </c>
      <c r="J365" s="52">
        <v>5.53125</v>
      </c>
      <c r="K365" s="52">
        <v>5.47159</v>
      </c>
      <c r="L365" s="52">
        <v>5.53125</v>
      </c>
      <c r="M365" s="52">
        <v>5.49688</v>
      </c>
    </row>
    <row r="366" spans="1:13">
      <c r="A366" s="52">
        <v>1989.09</v>
      </c>
      <c r="B366" s="52">
        <v>5.625</v>
      </c>
      <c r="C366" s="52">
        <v>5.2750000000000004</v>
      </c>
      <c r="D366" s="52">
        <v>5.78125</v>
      </c>
      <c r="E366" s="52">
        <v>5.4312500000000004</v>
      </c>
      <c r="F366" s="52">
        <v>5.75</v>
      </c>
      <c r="G366" s="52">
        <v>5.5203100000000003</v>
      </c>
      <c r="H366" s="52">
        <v>5.6875</v>
      </c>
      <c r="I366" s="52">
        <v>5.6875</v>
      </c>
      <c r="J366" s="52">
        <v>5.78125</v>
      </c>
      <c r="K366" s="52">
        <v>5.6979199999999999</v>
      </c>
      <c r="L366" s="52">
        <v>5.6875</v>
      </c>
      <c r="M366" s="52">
        <v>5.6875</v>
      </c>
    </row>
    <row r="367" spans="1:13">
      <c r="A367" s="52">
        <v>1989.1</v>
      </c>
      <c r="B367" s="52">
        <v>6.125</v>
      </c>
      <c r="C367" s="52">
        <v>5.84077</v>
      </c>
      <c r="D367" s="52">
        <v>6.3125</v>
      </c>
      <c r="E367" s="52">
        <v>6.0089300000000003</v>
      </c>
      <c r="F367" s="52">
        <v>6.34375</v>
      </c>
      <c r="G367" s="52">
        <v>6.0372000000000003</v>
      </c>
      <c r="H367" s="52">
        <v>6.40625</v>
      </c>
      <c r="I367" s="52">
        <v>6.1036200000000003</v>
      </c>
      <c r="J367" s="52">
        <v>6.46875</v>
      </c>
      <c r="K367" s="52">
        <v>6.3854199999999999</v>
      </c>
      <c r="L367" s="52">
        <v>6.5625</v>
      </c>
      <c r="M367" s="52">
        <v>6.2980799999999997</v>
      </c>
    </row>
    <row r="368" spans="1:13">
      <c r="A368" s="52">
        <v>1989.11</v>
      </c>
      <c r="B368" s="52">
        <v>6.3125</v>
      </c>
      <c r="C368" s="52">
        <v>5.9781300000000002</v>
      </c>
      <c r="D368" s="52">
        <v>6.46875</v>
      </c>
      <c r="E368" s="52">
        <v>6.1515599999999999</v>
      </c>
      <c r="F368" s="52">
        <v>6.5</v>
      </c>
      <c r="G368" s="52">
        <v>6.2421899999999999</v>
      </c>
      <c r="H368" s="52">
        <v>6.53125</v>
      </c>
      <c r="I368" s="52">
        <v>6.4218799999999998</v>
      </c>
      <c r="J368" s="52">
        <v>6.75</v>
      </c>
      <c r="K368" s="52">
        <v>6.7246100000000002</v>
      </c>
      <c r="L368" s="52">
        <v>6.8125</v>
      </c>
      <c r="M368" s="52">
        <v>6.7874999999999996</v>
      </c>
    </row>
    <row r="369" spans="1:13">
      <c r="A369" s="52">
        <v>1989.12</v>
      </c>
      <c r="B369" s="52">
        <v>6.5</v>
      </c>
      <c r="C369" s="52">
        <v>6.2872000000000003</v>
      </c>
      <c r="D369" s="52">
        <v>6.65625</v>
      </c>
      <c r="E369" s="52">
        <v>6.4479199999999999</v>
      </c>
      <c r="F369" s="52">
        <v>6.6875</v>
      </c>
      <c r="G369" s="52">
        <v>6.5506000000000002</v>
      </c>
      <c r="H369" s="52">
        <v>6.625</v>
      </c>
      <c r="I369" s="52">
        <v>6.8020500000000004</v>
      </c>
      <c r="J369" s="52">
        <v>6.8125</v>
      </c>
      <c r="K369" s="52">
        <v>6.7358000000000002</v>
      </c>
      <c r="L369" s="52">
        <v>6.78125</v>
      </c>
      <c r="M369" s="52">
        <v>6.8541699999999999</v>
      </c>
    </row>
    <row r="370" spans="1:13">
      <c r="A370" s="52">
        <v>1990.01</v>
      </c>
      <c r="B370" s="52">
        <v>6.5</v>
      </c>
      <c r="C370" s="52">
        <v>6.4259899999999996</v>
      </c>
      <c r="D370" s="52">
        <v>6.625</v>
      </c>
      <c r="E370" s="52">
        <v>6.5805899999999999</v>
      </c>
      <c r="F370" s="52">
        <v>6.6875</v>
      </c>
      <c r="G370" s="52">
        <v>6.6134899999999996</v>
      </c>
      <c r="H370" s="52">
        <v>6.71875</v>
      </c>
      <c r="I370" s="52">
        <v>6.7154600000000002</v>
      </c>
      <c r="J370" s="52">
        <v>6.90625</v>
      </c>
      <c r="K370" s="52">
        <v>6.8557699999999997</v>
      </c>
      <c r="L370" s="52">
        <v>7.125</v>
      </c>
      <c r="M370" s="52">
        <v>7.0507799999999996</v>
      </c>
    </row>
    <row r="371" spans="1:13">
      <c r="A371" s="52">
        <v>1990.02</v>
      </c>
      <c r="B371" s="52">
        <v>6.59375</v>
      </c>
      <c r="C371" s="52">
        <v>6.4769699999999997</v>
      </c>
      <c r="D371" s="52">
        <v>6.75</v>
      </c>
      <c r="E371" s="52">
        <v>6.6430899999999999</v>
      </c>
      <c r="F371" s="52">
        <v>6.78125</v>
      </c>
      <c r="G371" s="52">
        <v>6.6891400000000001</v>
      </c>
      <c r="H371" s="52">
        <v>6.96875</v>
      </c>
      <c r="I371" s="52">
        <v>6.8223700000000003</v>
      </c>
      <c r="J371" s="52">
        <v>7.375</v>
      </c>
      <c r="K371" s="52">
        <v>7.1759899999999996</v>
      </c>
      <c r="L371" s="52">
        <v>7.40625</v>
      </c>
      <c r="M371" s="52">
        <v>7.2316200000000004</v>
      </c>
    </row>
    <row r="372" spans="1:13">
      <c r="A372" s="52">
        <v>1990.03</v>
      </c>
      <c r="B372" s="52">
        <v>6.8125</v>
      </c>
      <c r="C372" s="52">
        <v>6.6458300000000001</v>
      </c>
      <c r="D372" s="52">
        <v>6.875</v>
      </c>
      <c r="E372" s="52">
        <v>6.8169599999999999</v>
      </c>
      <c r="F372" s="52">
        <v>7.125</v>
      </c>
      <c r="G372" s="52">
        <v>7.0133900000000002</v>
      </c>
      <c r="H372" s="52">
        <v>7.21875</v>
      </c>
      <c r="I372" s="52">
        <v>7.4484399999999997</v>
      </c>
      <c r="J372" s="52">
        <v>7.5</v>
      </c>
      <c r="K372" s="52">
        <v>7.5200899999999997</v>
      </c>
      <c r="L372" s="52">
        <v>7.59375</v>
      </c>
      <c r="M372" s="52">
        <v>7.6062500000000002</v>
      </c>
    </row>
    <row r="373" spans="1:13">
      <c r="A373" s="52">
        <v>1990.04</v>
      </c>
      <c r="B373" s="52">
        <v>7.15625</v>
      </c>
      <c r="C373" s="52">
        <v>6.9984400000000004</v>
      </c>
      <c r="D373" s="52">
        <v>7.3125</v>
      </c>
      <c r="E373" s="52">
        <v>7.1624999999999996</v>
      </c>
      <c r="F373" s="52">
        <v>7.34375</v>
      </c>
      <c r="G373" s="52">
        <v>7.2031299999999998</v>
      </c>
      <c r="H373" s="52">
        <v>7.34375</v>
      </c>
      <c r="I373" s="52">
        <v>7.3207199999999997</v>
      </c>
      <c r="J373" s="52">
        <v>7.40625</v>
      </c>
      <c r="K373" s="52">
        <v>7.3958300000000001</v>
      </c>
      <c r="L373" s="52">
        <v>7.46875</v>
      </c>
      <c r="M373" s="52">
        <v>7.4726600000000003</v>
      </c>
    </row>
    <row r="374" spans="1:13">
      <c r="A374" s="52">
        <v>1990.05</v>
      </c>
      <c r="B374" s="52">
        <v>7.28125</v>
      </c>
      <c r="C374" s="52">
        <v>7.0982099999999999</v>
      </c>
      <c r="D374" s="52">
        <v>7.4375</v>
      </c>
      <c r="E374" s="52">
        <v>7.2589300000000003</v>
      </c>
      <c r="F374" s="52">
        <v>7.4375</v>
      </c>
      <c r="G374" s="52">
        <v>7.3006000000000002</v>
      </c>
      <c r="H374" s="52">
        <v>7.375</v>
      </c>
      <c r="I374" s="52">
        <v>7.3452400000000004</v>
      </c>
      <c r="J374" s="52">
        <v>7.4375</v>
      </c>
      <c r="K374" s="52">
        <v>7.40625</v>
      </c>
      <c r="L374" s="52">
        <v>7.40625</v>
      </c>
      <c r="M374" s="52">
        <v>7.4328099999999999</v>
      </c>
    </row>
    <row r="375" spans="1:13">
      <c r="A375" s="52">
        <v>1990.06</v>
      </c>
      <c r="B375" s="52">
        <v>7.4375</v>
      </c>
      <c r="C375" s="52">
        <v>7.2038700000000002</v>
      </c>
      <c r="D375" s="52">
        <v>7.59375</v>
      </c>
      <c r="E375" s="52">
        <v>7.3645800000000001</v>
      </c>
      <c r="F375" s="52">
        <v>7.5625</v>
      </c>
      <c r="G375" s="52">
        <v>7.3913700000000002</v>
      </c>
      <c r="H375" s="52">
        <v>7.53125</v>
      </c>
      <c r="I375" s="52">
        <v>7.4166699999999999</v>
      </c>
      <c r="J375" s="52">
        <v>7.5625</v>
      </c>
      <c r="K375" s="52">
        <v>7.4305599999999998</v>
      </c>
      <c r="L375" s="52">
        <v>7.5625</v>
      </c>
      <c r="M375" s="52">
        <v>7.4490100000000004</v>
      </c>
    </row>
    <row r="376" spans="1:13">
      <c r="A376" s="52">
        <v>1990.07</v>
      </c>
      <c r="B376" s="52">
        <v>7.40625</v>
      </c>
      <c r="C376" s="52">
        <v>7.3664800000000001</v>
      </c>
      <c r="D376" s="52">
        <v>7.5625</v>
      </c>
      <c r="E376" s="52">
        <v>7.5241499999999997</v>
      </c>
      <c r="F376" s="52">
        <v>7.625</v>
      </c>
      <c r="G376" s="52">
        <v>7.5625</v>
      </c>
      <c r="H376" s="52">
        <v>7.65625</v>
      </c>
      <c r="I376" s="52">
        <v>7.6150599999999997</v>
      </c>
      <c r="J376" s="52">
        <v>7.75</v>
      </c>
      <c r="K376" s="52">
        <v>7.6581999999999999</v>
      </c>
      <c r="L376" s="52">
        <v>7.875</v>
      </c>
      <c r="M376" s="52">
        <v>7.74716</v>
      </c>
    </row>
    <row r="377" spans="1:13">
      <c r="A377" s="52">
        <v>1990.08</v>
      </c>
      <c r="B377" s="52">
        <v>7.625</v>
      </c>
      <c r="C377" s="52">
        <v>7.3831499999999997</v>
      </c>
      <c r="D377" s="52">
        <v>7.78125</v>
      </c>
      <c r="E377" s="52">
        <v>7.5434799999999997</v>
      </c>
      <c r="F377" s="52">
        <v>7.8125</v>
      </c>
      <c r="G377" s="52">
        <v>7.6059799999999997</v>
      </c>
      <c r="H377" s="52">
        <v>7.96875</v>
      </c>
      <c r="I377" s="52">
        <v>7.7472799999999999</v>
      </c>
      <c r="J377" s="52">
        <v>8.3125</v>
      </c>
      <c r="K377" s="52">
        <v>8.0149500000000007</v>
      </c>
      <c r="L377" s="52">
        <v>8.25</v>
      </c>
      <c r="M377" s="52">
        <v>7.9807699999999997</v>
      </c>
    </row>
    <row r="378" spans="1:13">
      <c r="A378" s="52">
        <v>1990.09</v>
      </c>
      <c r="B378" s="52">
        <v>7.6875</v>
      </c>
      <c r="C378" s="52">
        <v>7.5740100000000004</v>
      </c>
      <c r="D378" s="52">
        <v>8.15625</v>
      </c>
      <c r="E378" s="52">
        <v>7.7631600000000001</v>
      </c>
      <c r="F378" s="52">
        <v>8.5</v>
      </c>
      <c r="G378" s="52">
        <v>8.0032899999999998</v>
      </c>
      <c r="H378" s="52">
        <v>8.21875</v>
      </c>
      <c r="I378" s="52">
        <v>8.3667800000000003</v>
      </c>
      <c r="J378" s="52">
        <v>8.5625</v>
      </c>
      <c r="K378" s="52">
        <v>8.4625000000000004</v>
      </c>
      <c r="L378" s="52">
        <v>8.5625</v>
      </c>
      <c r="M378" s="52">
        <v>8.5195299999999996</v>
      </c>
    </row>
    <row r="379" spans="1:13">
      <c r="A379" s="52">
        <v>1990.1</v>
      </c>
      <c r="B379" s="52">
        <v>7.84375</v>
      </c>
      <c r="C379" s="52">
        <v>7.6519899999999996</v>
      </c>
      <c r="D379" s="52">
        <v>8</v>
      </c>
      <c r="E379" s="52">
        <v>7.8110799999999996</v>
      </c>
      <c r="F379" s="52">
        <v>8.03125</v>
      </c>
      <c r="G379" s="52">
        <v>7.8536900000000003</v>
      </c>
      <c r="H379" s="52">
        <v>8.03125</v>
      </c>
      <c r="I379" s="52">
        <v>7.9538700000000002</v>
      </c>
      <c r="J379" s="52">
        <v>8.125</v>
      </c>
      <c r="K379" s="52">
        <v>8.0625</v>
      </c>
      <c r="L379" s="52">
        <v>8.25</v>
      </c>
      <c r="M379" s="52">
        <v>8.3082399999999996</v>
      </c>
    </row>
    <row r="380" spans="1:13">
      <c r="A380" s="52">
        <v>1990.11</v>
      </c>
      <c r="B380" s="52">
        <v>8.1875</v>
      </c>
      <c r="C380" s="52">
        <v>7.9234400000000003</v>
      </c>
      <c r="D380" s="52">
        <v>8.28125</v>
      </c>
      <c r="E380" s="52">
        <v>8.0765600000000006</v>
      </c>
      <c r="F380" s="52">
        <v>8.3125</v>
      </c>
      <c r="G380" s="52">
        <v>8.1312499999999996</v>
      </c>
      <c r="H380" s="52">
        <v>8.34375</v>
      </c>
      <c r="I380" s="52">
        <v>8.2236799999999999</v>
      </c>
      <c r="J380" s="52">
        <v>8.4375</v>
      </c>
      <c r="K380" s="52">
        <v>8.3769500000000008</v>
      </c>
      <c r="L380" s="52">
        <v>8.46875</v>
      </c>
      <c r="M380" s="52">
        <v>8.4003899999999998</v>
      </c>
    </row>
    <row r="381" spans="1:13">
      <c r="A381" s="52">
        <v>1990.12</v>
      </c>
      <c r="B381" s="52">
        <v>8.25</v>
      </c>
      <c r="C381" s="52">
        <v>8.1531300000000009</v>
      </c>
      <c r="D381" s="52">
        <v>8.34375</v>
      </c>
      <c r="E381" s="52">
        <v>8.2296899999999997</v>
      </c>
      <c r="F381" s="52">
        <v>8.28125</v>
      </c>
      <c r="G381" s="52">
        <v>8.2953100000000006</v>
      </c>
      <c r="H381" s="52">
        <v>8.28125</v>
      </c>
      <c r="I381" s="52">
        <v>8.4605300000000003</v>
      </c>
      <c r="J381" s="52">
        <v>8.25</v>
      </c>
      <c r="K381" s="52">
        <v>8.3520800000000008</v>
      </c>
      <c r="L381" s="52">
        <v>8.25</v>
      </c>
      <c r="M381" s="52">
        <v>8.3272099999999991</v>
      </c>
    </row>
    <row r="382" spans="1:13">
      <c r="A382" s="52">
        <v>1991.01</v>
      </c>
      <c r="B382" s="52">
        <v>8.03125</v>
      </c>
      <c r="C382" s="52">
        <v>8.0016400000000001</v>
      </c>
      <c r="D382" s="52">
        <v>8.0625</v>
      </c>
      <c r="E382" s="52">
        <v>8.0542800000000003</v>
      </c>
      <c r="F382" s="52">
        <v>8.09375</v>
      </c>
      <c r="G382" s="52">
        <v>8.0986799999999999</v>
      </c>
      <c r="H382" s="52">
        <v>8.15625</v>
      </c>
      <c r="I382" s="52">
        <v>8.1546099999999999</v>
      </c>
      <c r="J382" s="52">
        <v>8.15625</v>
      </c>
      <c r="K382" s="52">
        <v>8.1666699999999999</v>
      </c>
      <c r="L382" s="52">
        <v>8.28125</v>
      </c>
      <c r="M382" s="52">
        <v>8.2434200000000004</v>
      </c>
    </row>
    <row r="383" spans="1:13">
      <c r="A383" s="52">
        <v>1991.02</v>
      </c>
      <c r="B383" s="52">
        <v>8.21875</v>
      </c>
      <c r="C383" s="52">
        <v>8.0493400000000008</v>
      </c>
      <c r="D383" s="52">
        <v>8.28125</v>
      </c>
      <c r="E383" s="52">
        <v>8.1200700000000001</v>
      </c>
      <c r="F383" s="52">
        <v>8.28125</v>
      </c>
      <c r="G383" s="52">
        <v>8.0789500000000007</v>
      </c>
      <c r="H383" s="52">
        <v>8.25</v>
      </c>
      <c r="I383" s="52">
        <v>8.1029400000000003</v>
      </c>
      <c r="J383" s="52">
        <v>8.40625</v>
      </c>
      <c r="K383" s="52">
        <v>8.2236799999999999</v>
      </c>
      <c r="L383" s="52">
        <v>8.21875</v>
      </c>
      <c r="M383" s="52">
        <v>8.1139700000000001</v>
      </c>
    </row>
    <row r="384" spans="1:13">
      <c r="A384" s="52">
        <v>1991.03</v>
      </c>
      <c r="B384" s="52">
        <v>8.34375</v>
      </c>
      <c r="C384" s="52">
        <v>8.1906300000000005</v>
      </c>
      <c r="D384" s="52">
        <v>8.5625</v>
      </c>
      <c r="E384" s="52">
        <v>8.2781300000000009</v>
      </c>
      <c r="F384" s="52">
        <v>8.375</v>
      </c>
      <c r="G384" s="52">
        <v>8.4578100000000003</v>
      </c>
      <c r="H384" s="52">
        <v>8.625</v>
      </c>
      <c r="I384" s="52">
        <v>8.5265599999999999</v>
      </c>
      <c r="J384" s="52">
        <v>8.03125</v>
      </c>
      <c r="K384" s="52">
        <v>8.2665400000000009</v>
      </c>
      <c r="L384" s="52">
        <v>8</v>
      </c>
      <c r="M384" s="52">
        <v>8.1640599999999992</v>
      </c>
    </row>
    <row r="385" spans="1:13">
      <c r="A385" s="52">
        <v>1991.04</v>
      </c>
      <c r="B385" s="52">
        <v>8.15625</v>
      </c>
      <c r="C385" s="52">
        <v>8.1622000000000003</v>
      </c>
      <c r="D385" s="52">
        <v>8.21875</v>
      </c>
      <c r="E385" s="52">
        <v>8.2336299999999998</v>
      </c>
      <c r="F385" s="52">
        <v>8.25</v>
      </c>
      <c r="G385" s="52">
        <v>8.2455400000000001</v>
      </c>
      <c r="H385" s="52">
        <v>8.21875</v>
      </c>
      <c r="I385" s="52">
        <v>8.2306500000000007</v>
      </c>
      <c r="J385" s="52">
        <v>8.125</v>
      </c>
      <c r="K385" s="52">
        <v>8.0974299999999992</v>
      </c>
      <c r="L385" s="52">
        <v>8.09375</v>
      </c>
      <c r="M385" s="52">
        <v>8.0328099999999996</v>
      </c>
    </row>
    <row r="386" spans="1:13">
      <c r="A386" s="52">
        <v>1991.05</v>
      </c>
      <c r="B386" s="52">
        <v>7.96875</v>
      </c>
      <c r="C386" s="52">
        <v>7.96875</v>
      </c>
      <c r="D386" s="52">
        <v>8.03125</v>
      </c>
      <c r="E386" s="52">
        <v>8.0327400000000004</v>
      </c>
      <c r="F386" s="52">
        <v>8.03125</v>
      </c>
      <c r="G386" s="52">
        <v>8.0610099999999996</v>
      </c>
      <c r="H386" s="52">
        <v>7.9375</v>
      </c>
      <c r="I386" s="52">
        <v>8.0282699999999991</v>
      </c>
      <c r="J386" s="52">
        <v>7.84375</v>
      </c>
      <c r="K386" s="52">
        <v>7.9493999999999998</v>
      </c>
      <c r="L386" s="52">
        <v>7.75</v>
      </c>
      <c r="M386" s="52">
        <v>7.8906299999999998</v>
      </c>
    </row>
    <row r="387" spans="1:13">
      <c r="A387" s="52">
        <v>1991.06</v>
      </c>
      <c r="B387" s="52">
        <v>7.96875</v>
      </c>
      <c r="C387" s="52">
        <v>7.9640599999999999</v>
      </c>
      <c r="D387" s="52">
        <v>8.09375</v>
      </c>
      <c r="E387" s="52">
        <v>8.0406300000000002</v>
      </c>
      <c r="F387" s="52">
        <v>8.0625</v>
      </c>
      <c r="G387" s="52">
        <v>8.0234400000000008</v>
      </c>
      <c r="H387" s="52">
        <v>8.03125</v>
      </c>
      <c r="I387" s="52">
        <v>7.9921899999999999</v>
      </c>
      <c r="J387" s="52">
        <v>8</v>
      </c>
      <c r="K387" s="52">
        <v>7.9325700000000001</v>
      </c>
      <c r="L387" s="52">
        <v>7.96875</v>
      </c>
      <c r="M387" s="52">
        <v>7.8609400000000003</v>
      </c>
    </row>
    <row r="388" spans="1:13">
      <c r="A388" s="52">
        <v>1991.07</v>
      </c>
      <c r="B388" s="52">
        <v>7.4375</v>
      </c>
      <c r="C388" s="52">
        <v>7.3899499999999998</v>
      </c>
      <c r="D388" s="52">
        <v>7.5</v>
      </c>
      <c r="E388" s="52">
        <v>7.4606000000000003</v>
      </c>
      <c r="F388" s="52">
        <v>7.46875</v>
      </c>
      <c r="G388" s="52">
        <v>7.4796199999999997</v>
      </c>
      <c r="H388" s="52">
        <v>7.4375</v>
      </c>
      <c r="I388" s="52">
        <v>7.5</v>
      </c>
      <c r="J388" s="52">
        <v>7.4375</v>
      </c>
      <c r="K388" s="52">
        <v>7.5125000000000002</v>
      </c>
      <c r="L388" s="52">
        <v>7.4375</v>
      </c>
      <c r="M388" s="52">
        <v>7.59239</v>
      </c>
    </row>
    <row r="389" spans="1:13">
      <c r="A389" s="52">
        <v>1991.08</v>
      </c>
      <c r="B389" s="52">
        <v>7.46875</v>
      </c>
      <c r="C389" s="52">
        <v>7.4218799999999998</v>
      </c>
      <c r="D389" s="52">
        <v>7.53125</v>
      </c>
      <c r="E389" s="52">
        <v>7.4843799999999998</v>
      </c>
      <c r="F389" s="52">
        <v>7.53125</v>
      </c>
      <c r="G389" s="52">
        <v>7.4843799999999998</v>
      </c>
      <c r="H389" s="52">
        <v>7.46875</v>
      </c>
      <c r="I389" s="52">
        <v>7.4616499999999997</v>
      </c>
      <c r="J389" s="52">
        <v>7.4375</v>
      </c>
      <c r="K389" s="52">
        <v>7.49716</v>
      </c>
      <c r="L389" s="52">
        <v>7.28125</v>
      </c>
      <c r="M389" s="52">
        <v>7.3868999999999998</v>
      </c>
    </row>
    <row r="390" spans="1:13">
      <c r="A390" s="52">
        <v>1991.09</v>
      </c>
      <c r="B390" s="52">
        <v>6.75</v>
      </c>
      <c r="C390" s="52">
        <v>6.9703900000000001</v>
      </c>
      <c r="D390" s="52">
        <v>7.09375</v>
      </c>
      <c r="E390" s="52">
        <v>7.0493399999999999</v>
      </c>
      <c r="F390" s="52">
        <v>6.96875</v>
      </c>
      <c r="G390" s="52">
        <v>7.1414499999999999</v>
      </c>
      <c r="H390" s="52">
        <v>6.78125</v>
      </c>
      <c r="I390" s="52">
        <v>7.13889</v>
      </c>
      <c r="J390" s="52">
        <v>6.625</v>
      </c>
      <c r="K390" s="52">
        <v>6.89154</v>
      </c>
      <c r="L390" s="52">
        <v>6.53125</v>
      </c>
      <c r="M390" s="52">
        <v>6.7934000000000001</v>
      </c>
    </row>
    <row r="391" spans="1:13">
      <c r="A391" s="52">
        <v>1991.1</v>
      </c>
      <c r="B391" s="52">
        <v>6.5625</v>
      </c>
      <c r="C391" s="52">
        <v>6.7926099999999998</v>
      </c>
      <c r="D391" s="52">
        <v>6.625</v>
      </c>
      <c r="E391" s="52">
        <v>6.8579499999999998</v>
      </c>
      <c r="F391" s="52">
        <v>6.65625</v>
      </c>
      <c r="G391" s="52">
        <v>6.8579499999999998</v>
      </c>
      <c r="H391" s="52">
        <v>6.375</v>
      </c>
      <c r="I391" s="52">
        <v>6.7258500000000003</v>
      </c>
      <c r="J391" s="52">
        <v>6.3125</v>
      </c>
      <c r="K391" s="52">
        <v>6.5714300000000003</v>
      </c>
      <c r="L391" s="52">
        <v>6.28125</v>
      </c>
      <c r="M391" s="52">
        <v>6.4851200000000002</v>
      </c>
    </row>
    <row r="392" spans="1:13">
      <c r="A392" s="52">
        <v>1991.11</v>
      </c>
      <c r="B392" s="52">
        <v>6.1875</v>
      </c>
      <c r="C392" s="52">
        <v>6.3250000000000002</v>
      </c>
      <c r="D392" s="52">
        <v>6.25</v>
      </c>
      <c r="E392" s="52">
        <v>6.3828100000000001</v>
      </c>
      <c r="F392" s="52">
        <v>6.3125</v>
      </c>
      <c r="G392" s="52">
        <v>6.4093799999999996</v>
      </c>
      <c r="H392" s="52">
        <v>6.375</v>
      </c>
      <c r="I392" s="52">
        <v>6.3609400000000003</v>
      </c>
      <c r="J392" s="52">
        <v>6.28125</v>
      </c>
      <c r="K392" s="52">
        <v>6.34063</v>
      </c>
      <c r="L392" s="52">
        <v>6.21875</v>
      </c>
      <c r="M392" s="52">
        <v>6.2703100000000003</v>
      </c>
    </row>
    <row r="393" spans="1:13">
      <c r="A393" s="52">
        <v>1991.12</v>
      </c>
      <c r="B393" s="52">
        <v>5.5</v>
      </c>
      <c r="C393" s="52">
        <v>6.24702</v>
      </c>
      <c r="D393" s="52">
        <v>5.5625</v>
      </c>
      <c r="E393" s="52">
        <v>6.30952</v>
      </c>
      <c r="F393" s="52">
        <v>5.59375</v>
      </c>
      <c r="G393" s="52">
        <v>6.3273799999999998</v>
      </c>
      <c r="H393" s="52">
        <v>5.625</v>
      </c>
      <c r="I393" s="52">
        <v>6.3065499999999997</v>
      </c>
      <c r="J393" s="52">
        <v>5.6875</v>
      </c>
      <c r="K393" s="52">
        <v>6.18452</v>
      </c>
      <c r="L393" s="52">
        <v>5.65625</v>
      </c>
      <c r="M393" s="52">
        <v>6.0833300000000001</v>
      </c>
    </row>
    <row r="394" spans="1:13">
      <c r="A394" s="52">
        <v>1992.01</v>
      </c>
      <c r="B394" s="52">
        <v>5.5625</v>
      </c>
      <c r="C394" s="52">
        <v>5.4654600000000002</v>
      </c>
      <c r="D394" s="52">
        <v>5.625</v>
      </c>
      <c r="E394" s="52">
        <v>5.5263200000000001</v>
      </c>
      <c r="F394" s="52">
        <v>5.625</v>
      </c>
      <c r="G394" s="52">
        <v>5.5115100000000004</v>
      </c>
      <c r="H394" s="52">
        <v>5.5</v>
      </c>
      <c r="I394" s="52">
        <v>5.4342100000000002</v>
      </c>
      <c r="J394" s="52">
        <v>5.34375</v>
      </c>
      <c r="K394" s="52">
        <v>5.33507</v>
      </c>
      <c r="L394" s="52">
        <v>5.21875</v>
      </c>
      <c r="M394" s="52">
        <v>5.2343799999999998</v>
      </c>
    </row>
    <row r="395" spans="1:13">
      <c r="A395" s="52">
        <v>1992.02</v>
      </c>
      <c r="B395" s="52">
        <v>5.65625</v>
      </c>
      <c r="C395" s="52">
        <v>5.6184200000000004</v>
      </c>
      <c r="D395" s="52">
        <v>5.71875</v>
      </c>
      <c r="E395" s="52">
        <v>5.6825700000000001</v>
      </c>
      <c r="F395" s="52">
        <v>5.78125</v>
      </c>
      <c r="G395" s="52">
        <v>5.6907899999999998</v>
      </c>
      <c r="H395" s="52">
        <v>5.625</v>
      </c>
      <c r="I395" s="52">
        <v>5.5740100000000004</v>
      </c>
      <c r="J395" s="52">
        <v>5.40625</v>
      </c>
      <c r="K395" s="52">
        <v>5.4392399999999999</v>
      </c>
      <c r="L395" s="52">
        <v>5.28125</v>
      </c>
      <c r="M395" s="52">
        <v>5.25</v>
      </c>
    </row>
    <row r="396" spans="1:13">
      <c r="A396" s="52">
        <v>1992.03</v>
      </c>
      <c r="B396" s="52">
        <v>5.5625</v>
      </c>
      <c r="C396" s="52">
        <v>5.5461299999999998</v>
      </c>
      <c r="D396" s="52">
        <v>6.5</v>
      </c>
      <c r="E396" s="52">
        <v>5.65327</v>
      </c>
      <c r="F396" s="52">
        <v>5.15625</v>
      </c>
      <c r="G396" s="52">
        <v>5.7351200000000002</v>
      </c>
      <c r="H396" s="52">
        <v>4.9375</v>
      </c>
      <c r="I396" s="52">
        <v>5.3794599999999999</v>
      </c>
      <c r="J396" s="52">
        <v>5.03125</v>
      </c>
      <c r="K396" s="52">
        <v>5.1679700000000004</v>
      </c>
      <c r="L396" s="52">
        <v>4.875</v>
      </c>
      <c r="M396" s="52">
        <v>5.0572900000000001</v>
      </c>
    </row>
    <row r="397" spans="1:13">
      <c r="A397" s="52">
        <v>1992.04</v>
      </c>
      <c r="B397" s="52">
        <v>4.71875</v>
      </c>
      <c r="C397" s="52">
        <v>4.6875</v>
      </c>
      <c r="D397" s="52">
        <v>4.8125</v>
      </c>
      <c r="E397" s="52">
        <v>4.7663700000000002</v>
      </c>
      <c r="F397" s="52">
        <v>4.84375</v>
      </c>
      <c r="G397" s="52">
        <v>4.7901800000000003</v>
      </c>
      <c r="H397" s="52">
        <v>4.78125</v>
      </c>
      <c r="I397" s="52">
        <v>4.7901800000000003</v>
      </c>
      <c r="J397" s="52">
        <v>4.75</v>
      </c>
      <c r="K397" s="52">
        <v>4.7713799999999997</v>
      </c>
      <c r="L397" s="52">
        <v>4.75</v>
      </c>
      <c r="M397" s="52">
        <v>4.7678599999999998</v>
      </c>
    </row>
    <row r="398" spans="1:13">
      <c r="A398" s="52">
        <v>1992.05</v>
      </c>
      <c r="B398" s="52">
        <v>4.71875</v>
      </c>
      <c r="C398" s="52">
        <v>4.6644699999999997</v>
      </c>
      <c r="D398" s="52">
        <v>4.78125</v>
      </c>
      <c r="E398" s="52">
        <v>4.7450700000000001</v>
      </c>
      <c r="F398" s="52">
        <v>4.8125</v>
      </c>
      <c r="G398" s="52">
        <v>4.7779600000000002</v>
      </c>
      <c r="H398" s="52">
        <v>4.78125</v>
      </c>
      <c r="I398" s="52">
        <v>4.7796099999999999</v>
      </c>
      <c r="J398" s="52">
        <v>4.78125</v>
      </c>
      <c r="K398" s="52">
        <v>4.7697399999999996</v>
      </c>
      <c r="L398" s="52">
        <v>4.8125</v>
      </c>
      <c r="M398" s="52">
        <v>4.7569400000000002</v>
      </c>
    </row>
    <row r="399" spans="1:13">
      <c r="A399" s="52">
        <v>1992.06</v>
      </c>
      <c r="B399" s="52">
        <v>4.6875</v>
      </c>
      <c r="C399" s="52">
        <v>4.6889200000000004</v>
      </c>
      <c r="D399" s="52">
        <v>4.75</v>
      </c>
      <c r="E399" s="52">
        <v>4.75284</v>
      </c>
      <c r="F399" s="52">
        <v>4.75</v>
      </c>
      <c r="G399" s="52">
        <v>4.7713099999999997</v>
      </c>
      <c r="H399" s="52">
        <v>4.71875</v>
      </c>
      <c r="I399" s="52">
        <v>4.7400599999999997</v>
      </c>
      <c r="J399" s="52">
        <v>4.59375</v>
      </c>
      <c r="K399" s="52">
        <v>4.69034</v>
      </c>
      <c r="L399" s="52">
        <v>4.5625</v>
      </c>
      <c r="M399" s="52">
        <v>4.6447399999999996</v>
      </c>
    </row>
    <row r="400" spans="1:13">
      <c r="A400" s="52">
        <v>1992.07</v>
      </c>
      <c r="B400" s="52">
        <v>4.03125</v>
      </c>
      <c r="C400" s="52">
        <v>4.4510899999999998</v>
      </c>
      <c r="D400" s="52">
        <v>4.09375</v>
      </c>
      <c r="E400" s="52">
        <v>4.53125</v>
      </c>
      <c r="F400" s="52">
        <v>4.125</v>
      </c>
      <c r="G400" s="52">
        <v>4.5434799999999997</v>
      </c>
      <c r="H400" s="52">
        <v>4.09375</v>
      </c>
      <c r="I400" s="52">
        <v>4.5</v>
      </c>
      <c r="J400" s="52">
        <v>4.125</v>
      </c>
      <c r="K400" s="52">
        <v>4.4332399999999996</v>
      </c>
      <c r="L400" s="52">
        <v>4.0625</v>
      </c>
      <c r="M400" s="52">
        <v>4.3693200000000001</v>
      </c>
    </row>
    <row r="401" spans="1:13">
      <c r="A401" s="52">
        <v>1992.08</v>
      </c>
      <c r="B401" s="52">
        <v>4.125</v>
      </c>
      <c r="C401" s="52">
        <v>4.0550600000000001</v>
      </c>
      <c r="D401" s="52">
        <v>4.1875</v>
      </c>
      <c r="E401" s="52">
        <v>4.1190499999999997</v>
      </c>
      <c r="F401" s="52">
        <v>4.15625</v>
      </c>
      <c r="G401" s="52">
        <v>4.1235099999999996</v>
      </c>
      <c r="H401" s="52">
        <v>4.125</v>
      </c>
      <c r="I401" s="52">
        <v>4.1031300000000002</v>
      </c>
      <c r="J401" s="52">
        <v>4.0625</v>
      </c>
      <c r="K401" s="52">
        <v>4.09673</v>
      </c>
      <c r="L401" s="52">
        <v>3.8125</v>
      </c>
      <c r="M401" s="52">
        <v>3.93601</v>
      </c>
    </row>
    <row r="402" spans="1:13">
      <c r="A402" s="52">
        <v>1992.09</v>
      </c>
      <c r="B402" s="52">
        <v>4.1875</v>
      </c>
      <c r="C402" s="52">
        <v>4.0984400000000001</v>
      </c>
      <c r="D402" s="52">
        <v>5.5</v>
      </c>
      <c r="E402" s="52">
        <v>4.2265600000000001</v>
      </c>
      <c r="F402" s="52">
        <v>4.34375</v>
      </c>
      <c r="G402" s="52">
        <v>4.4140600000000001</v>
      </c>
      <c r="H402" s="52">
        <v>4.15625</v>
      </c>
      <c r="I402" s="52">
        <v>4.3218800000000002</v>
      </c>
      <c r="J402" s="52">
        <v>4.09375</v>
      </c>
      <c r="K402" s="52">
        <v>4.1328100000000001</v>
      </c>
      <c r="L402" s="52">
        <v>4</v>
      </c>
      <c r="M402" s="52">
        <v>4</v>
      </c>
    </row>
    <row r="403" spans="1:13">
      <c r="A403" s="52">
        <v>1992.1</v>
      </c>
      <c r="B403" s="52">
        <v>3.9375</v>
      </c>
      <c r="C403" s="52">
        <v>4.0113599999999998</v>
      </c>
      <c r="D403" s="52">
        <v>4</v>
      </c>
      <c r="E403" s="52">
        <v>4.0738599999999998</v>
      </c>
      <c r="F403" s="52">
        <v>4</v>
      </c>
      <c r="G403" s="52">
        <v>4.09375</v>
      </c>
      <c r="H403" s="52">
        <v>3.96875</v>
      </c>
      <c r="I403" s="52">
        <v>4.0809699999999998</v>
      </c>
      <c r="J403" s="52">
        <v>3.875</v>
      </c>
      <c r="K403" s="52">
        <v>3.9895800000000001</v>
      </c>
      <c r="L403" s="52">
        <v>3.78125</v>
      </c>
      <c r="M403" s="52">
        <v>3.90483</v>
      </c>
    </row>
    <row r="404" spans="1:13">
      <c r="A404" s="52">
        <v>1992.11</v>
      </c>
      <c r="B404" s="52">
        <v>3.8125</v>
      </c>
      <c r="C404" s="52">
        <v>3.8782899999999998</v>
      </c>
      <c r="D404" s="52">
        <v>3.90625</v>
      </c>
      <c r="E404" s="52">
        <v>3.9457200000000001</v>
      </c>
      <c r="F404" s="52">
        <v>3.9375</v>
      </c>
      <c r="G404" s="52">
        <v>3.9588800000000002</v>
      </c>
      <c r="H404" s="52">
        <v>4</v>
      </c>
      <c r="I404" s="52">
        <v>3.9473699999999998</v>
      </c>
      <c r="J404" s="52">
        <v>3.90625</v>
      </c>
      <c r="K404" s="52">
        <v>3.9013200000000001</v>
      </c>
      <c r="L404" s="52">
        <v>3.84375</v>
      </c>
      <c r="M404" s="52">
        <v>3.83717</v>
      </c>
    </row>
    <row r="405" spans="1:13">
      <c r="A405" s="52">
        <v>1992.12</v>
      </c>
      <c r="B405" s="52">
        <v>3.84375</v>
      </c>
      <c r="C405" s="52">
        <v>3.8267000000000002</v>
      </c>
      <c r="D405" s="52">
        <v>3.90625</v>
      </c>
      <c r="E405" s="52">
        <v>3.8948900000000002</v>
      </c>
      <c r="F405" s="52">
        <v>3.875</v>
      </c>
      <c r="G405" s="52">
        <v>3.9275600000000002</v>
      </c>
      <c r="H405" s="52">
        <v>3.875</v>
      </c>
      <c r="I405" s="52">
        <v>3.9474399999999998</v>
      </c>
      <c r="J405" s="52">
        <v>3.84375</v>
      </c>
      <c r="K405" s="52">
        <v>3.8607999999999998</v>
      </c>
      <c r="L405" s="52">
        <v>3.8125</v>
      </c>
      <c r="M405" s="52">
        <v>3.7931499999999998</v>
      </c>
    </row>
    <row r="406" spans="1:13">
      <c r="A406" s="52">
        <v>1993.01</v>
      </c>
      <c r="B406" s="52">
        <v>3.8125</v>
      </c>
      <c r="C406" s="52">
        <v>3.8338800000000002</v>
      </c>
      <c r="D406" s="52">
        <v>3.875</v>
      </c>
      <c r="E406" s="52">
        <v>3.89967</v>
      </c>
      <c r="F406" s="52">
        <v>3.875</v>
      </c>
      <c r="G406" s="52">
        <v>3.8963800000000002</v>
      </c>
      <c r="H406" s="52">
        <v>3.6875</v>
      </c>
      <c r="I406" s="52">
        <v>3.8322400000000001</v>
      </c>
      <c r="J406" s="52">
        <v>3.59375</v>
      </c>
      <c r="K406" s="52">
        <v>3.7960500000000001</v>
      </c>
      <c r="L406" s="52">
        <v>3.59375</v>
      </c>
      <c r="M406" s="52">
        <v>3.7631600000000001</v>
      </c>
    </row>
    <row r="407" spans="1:13">
      <c r="A407" s="52">
        <v>1993.02</v>
      </c>
      <c r="B407" s="52">
        <v>3.125</v>
      </c>
      <c r="C407" s="52">
        <v>3.2055899999999999</v>
      </c>
      <c r="D407" s="52">
        <v>3.21875</v>
      </c>
      <c r="E407" s="52">
        <v>3.2763200000000001</v>
      </c>
      <c r="F407" s="52">
        <v>3.21875</v>
      </c>
      <c r="G407" s="52">
        <v>3.2796099999999999</v>
      </c>
      <c r="H407" s="52">
        <v>3.40625</v>
      </c>
      <c r="I407" s="52">
        <v>3.2861799999999999</v>
      </c>
      <c r="J407" s="52">
        <v>3.3125</v>
      </c>
      <c r="K407" s="52">
        <v>3.3142399999999999</v>
      </c>
      <c r="L407" s="52">
        <v>3.3125</v>
      </c>
      <c r="M407" s="52">
        <v>3.2864599999999999</v>
      </c>
    </row>
    <row r="408" spans="1:13">
      <c r="A408" s="52">
        <v>1993.03</v>
      </c>
      <c r="B408" s="52">
        <v>3.4375</v>
      </c>
      <c r="C408" s="52">
        <v>3.13043</v>
      </c>
      <c r="D408" s="52">
        <v>4.5</v>
      </c>
      <c r="E408" s="52">
        <v>3.2418499999999999</v>
      </c>
      <c r="F408" s="52">
        <v>3.3125</v>
      </c>
      <c r="G408" s="52">
        <v>3.4823400000000002</v>
      </c>
      <c r="H408" s="52">
        <v>3.34375</v>
      </c>
      <c r="I408" s="52">
        <v>3.4619599999999999</v>
      </c>
      <c r="J408" s="52">
        <v>3.3125</v>
      </c>
      <c r="K408" s="52">
        <v>3.34517</v>
      </c>
      <c r="L408" s="52">
        <v>3.3125</v>
      </c>
      <c r="M408" s="52">
        <v>3.3125</v>
      </c>
    </row>
    <row r="409" spans="1:13">
      <c r="A409" s="52">
        <v>1993.04</v>
      </c>
      <c r="B409" s="52">
        <v>3.1875</v>
      </c>
      <c r="C409" s="52">
        <v>3.1145800000000001</v>
      </c>
      <c r="D409" s="52">
        <v>3.25</v>
      </c>
      <c r="E409" s="52">
        <v>3.1785700000000001</v>
      </c>
      <c r="F409" s="52">
        <v>3.25</v>
      </c>
      <c r="G409" s="52">
        <v>3.2128000000000001</v>
      </c>
      <c r="H409" s="52">
        <v>3.25</v>
      </c>
      <c r="I409" s="52">
        <v>3.2455400000000001</v>
      </c>
      <c r="J409" s="52">
        <v>3.25</v>
      </c>
      <c r="K409" s="52">
        <v>3.2455400000000001</v>
      </c>
      <c r="L409" s="52">
        <v>3.3125</v>
      </c>
      <c r="M409" s="52">
        <v>3.2544599999999999</v>
      </c>
    </row>
    <row r="410" spans="1:13">
      <c r="A410" s="52">
        <v>1993.05</v>
      </c>
      <c r="B410" s="52">
        <v>3.125</v>
      </c>
      <c r="C410" s="52">
        <v>3.1406299999999998</v>
      </c>
      <c r="D410" s="52">
        <v>3.21875</v>
      </c>
      <c r="E410" s="52">
        <v>3.2065999999999999</v>
      </c>
      <c r="F410" s="52">
        <v>3.28125</v>
      </c>
      <c r="G410" s="52">
        <v>3.25</v>
      </c>
      <c r="H410" s="52">
        <v>3.28125</v>
      </c>
      <c r="I410" s="52">
        <v>3.2534700000000001</v>
      </c>
      <c r="J410" s="52">
        <v>3.28125</v>
      </c>
      <c r="K410" s="52">
        <v>3.26389</v>
      </c>
      <c r="L410" s="52">
        <v>3.28125</v>
      </c>
      <c r="M410" s="52">
        <v>3.2720600000000002</v>
      </c>
    </row>
    <row r="411" spans="1:13">
      <c r="A411" s="52">
        <v>1993.06</v>
      </c>
      <c r="B411" s="52">
        <v>3.25</v>
      </c>
      <c r="C411" s="52">
        <v>3.1473200000000001</v>
      </c>
      <c r="D411" s="52">
        <v>3.3125</v>
      </c>
      <c r="E411" s="52">
        <v>3.2142900000000001</v>
      </c>
      <c r="F411" s="52">
        <v>3.25</v>
      </c>
      <c r="G411" s="52">
        <v>3.2306499999999998</v>
      </c>
      <c r="H411" s="52">
        <v>3.25</v>
      </c>
      <c r="I411" s="52">
        <v>3.25298</v>
      </c>
      <c r="J411" s="52">
        <v>3.25</v>
      </c>
      <c r="K411" s="52">
        <v>3.24688</v>
      </c>
      <c r="L411" s="52">
        <v>3.28125</v>
      </c>
      <c r="M411" s="52">
        <v>3.2574399999999999</v>
      </c>
    </row>
    <row r="412" spans="1:13">
      <c r="A412" s="52">
        <v>1993.07</v>
      </c>
      <c r="B412" s="52">
        <v>3.25</v>
      </c>
      <c r="C412" s="52">
        <v>3.2002799999999998</v>
      </c>
      <c r="D412" s="52">
        <v>3.3125</v>
      </c>
      <c r="E412" s="52">
        <v>3.2627799999999998</v>
      </c>
      <c r="F412" s="52">
        <v>3.28125</v>
      </c>
      <c r="G412" s="52">
        <v>3.2656299999999998</v>
      </c>
      <c r="H412" s="52">
        <v>3.25</v>
      </c>
      <c r="I412" s="52">
        <v>3.2544599999999999</v>
      </c>
      <c r="J412" s="52">
        <v>3.25</v>
      </c>
      <c r="K412" s="52">
        <v>3.26654</v>
      </c>
      <c r="L412" s="52">
        <v>3.21875</v>
      </c>
      <c r="M412" s="52">
        <v>3.2574399999999999</v>
      </c>
    </row>
    <row r="413" spans="1:13">
      <c r="A413" s="52">
        <v>1993.08</v>
      </c>
      <c r="B413" s="52">
        <v>2.96875</v>
      </c>
      <c r="C413" s="52">
        <v>3.0667599999999999</v>
      </c>
      <c r="D413" s="52">
        <v>3.03125</v>
      </c>
      <c r="E413" s="52">
        <v>3.1292599999999999</v>
      </c>
      <c r="F413" s="52">
        <v>3.03125</v>
      </c>
      <c r="G413" s="52">
        <v>3.1519900000000001</v>
      </c>
      <c r="H413" s="52">
        <v>3.0625</v>
      </c>
      <c r="I413" s="52">
        <v>3.1421899999999998</v>
      </c>
      <c r="J413" s="52">
        <v>2.96875</v>
      </c>
      <c r="K413" s="52">
        <v>3.1292599999999999</v>
      </c>
      <c r="L413" s="52">
        <v>3</v>
      </c>
      <c r="M413" s="52">
        <v>3.1386699999999998</v>
      </c>
    </row>
    <row r="414" spans="1:13">
      <c r="A414" s="52">
        <v>1993.09</v>
      </c>
      <c r="B414" s="52">
        <v>3</v>
      </c>
      <c r="C414" s="52">
        <v>2.7937500000000002</v>
      </c>
      <c r="D414" s="52">
        <v>3.09375</v>
      </c>
      <c r="E414" s="52">
        <v>2.8578100000000002</v>
      </c>
      <c r="F414" s="52">
        <v>2.625</v>
      </c>
      <c r="G414" s="52">
        <v>2.9015599999999999</v>
      </c>
      <c r="H414" s="52">
        <v>2.53125</v>
      </c>
      <c r="I414" s="52">
        <v>2.77467</v>
      </c>
      <c r="J414" s="52">
        <v>2.5</v>
      </c>
      <c r="K414" s="52">
        <v>2.6822900000000001</v>
      </c>
      <c r="L414" s="52">
        <v>2.65625</v>
      </c>
      <c r="M414" s="52">
        <v>2.6578900000000001</v>
      </c>
    </row>
    <row r="415" spans="1:13">
      <c r="A415" s="52">
        <v>1993.1</v>
      </c>
      <c r="B415" s="52">
        <v>2.4375</v>
      </c>
      <c r="C415" s="52">
        <v>2.4437500000000001</v>
      </c>
      <c r="D415" s="52">
        <v>2.5</v>
      </c>
      <c r="E415" s="52">
        <v>2.5078100000000001</v>
      </c>
      <c r="F415" s="52">
        <v>2.5</v>
      </c>
      <c r="G415" s="52">
        <v>2.5187499999999998</v>
      </c>
      <c r="H415" s="52">
        <v>2.46875</v>
      </c>
      <c r="I415" s="52">
        <v>2.5078100000000001</v>
      </c>
      <c r="J415" s="52">
        <v>2.46875</v>
      </c>
      <c r="K415" s="52">
        <v>2.4902299999999999</v>
      </c>
      <c r="L415" s="52">
        <v>2.40625</v>
      </c>
      <c r="M415" s="52">
        <v>2.4868399999999999</v>
      </c>
    </row>
    <row r="416" spans="1:13">
      <c r="A416" s="52">
        <v>1993.11</v>
      </c>
      <c r="B416" s="52">
        <v>2.34375</v>
      </c>
      <c r="C416" s="52">
        <v>2.4312499999999999</v>
      </c>
      <c r="D416" s="52">
        <v>2.40625</v>
      </c>
      <c r="E416" s="52">
        <v>2.4953099999999999</v>
      </c>
      <c r="F416" s="52">
        <v>2.4375</v>
      </c>
      <c r="G416" s="52">
        <v>2.5046900000000001</v>
      </c>
      <c r="H416" s="52">
        <v>2.375</v>
      </c>
      <c r="I416" s="52">
        <v>2.47533</v>
      </c>
      <c r="J416" s="52">
        <v>2.25</v>
      </c>
      <c r="K416" s="52">
        <v>2.42361</v>
      </c>
      <c r="L416" s="52">
        <v>2.25</v>
      </c>
      <c r="M416" s="52">
        <v>2.35243</v>
      </c>
    </row>
    <row r="417" spans="1:13">
      <c r="A417" s="52">
        <v>1993.12</v>
      </c>
      <c r="B417" s="52">
        <v>2.375</v>
      </c>
      <c r="C417" s="52">
        <v>2.3794599999999999</v>
      </c>
      <c r="D417" s="52">
        <v>2.4375</v>
      </c>
      <c r="E417" s="52">
        <v>2.4419599999999999</v>
      </c>
      <c r="F417" s="52">
        <v>2.4375</v>
      </c>
      <c r="G417" s="52">
        <v>2.4568500000000002</v>
      </c>
      <c r="H417" s="52">
        <v>2.375</v>
      </c>
      <c r="I417" s="52">
        <v>2.37351</v>
      </c>
      <c r="J417" s="52">
        <v>2.28125</v>
      </c>
      <c r="K417" s="52">
        <v>2.2620200000000001</v>
      </c>
      <c r="L417" s="52">
        <v>2.21875</v>
      </c>
      <c r="M417" s="52">
        <v>2.1332200000000001</v>
      </c>
    </row>
    <row r="418" spans="1:13">
      <c r="A418" s="52">
        <v>1994.01</v>
      </c>
      <c r="B418" s="52">
        <v>2.21875</v>
      </c>
      <c r="C418" s="52">
        <v>2.2687499999999998</v>
      </c>
      <c r="D418" s="52">
        <v>2.28125</v>
      </c>
      <c r="E418" s="52">
        <v>2.3312499999999998</v>
      </c>
      <c r="F418" s="52">
        <v>2.28125</v>
      </c>
      <c r="G418" s="52">
        <v>2.3515600000000001</v>
      </c>
      <c r="H418" s="52">
        <v>2.28125</v>
      </c>
      <c r="I418" s="52">
        <v>2.3265600000000002</v>
      </c>
      <c r="J418" s="52">
        <v>2.28125</v>
      </c>
      <c r="K418" s="52">
        <v>2.25</v>
      </c>
      <c r="L418" s="52">
        <v>2.25</v>
      </c>
      <c r="M418" s="52">
        <v>2.1796899999999999</v>
      </c>
    </row>
    <row r="419" spans="1:13">
      <c r="A419" s="52">
        <v>1994.02</v>
      </c>
      <c r="B419" s="52">
        <v>2.15625</v>
      </c>
      <c r="C419" s="52">
        <v>2.1759900000000001</v>
      </c>
      <c r="D419" s="52">
        <v>2.21875</v>
      </c>
      <c r="E419" s="52">
        <v>2.2401300000000002</v>
      </c>
      <c r="F419" s="52">
        <v>2.25</v>
      </c>
      <c r="G419" s="52">
        <v>2.2631600000000001</v>
      </c>
      <c r="H419" s="52">
        <v>2.34</v>
      </c>
      <c r="I419" s="52">
        <v>2.2599999999999998</v>
      </c>
      <c r="J419" s="52">
        <v>2.2999999999999998</v>
      </c>
      <c r="K419" s="52">
        <v>2.27</v>
      </c>
      <c r="L419" s="52">
        <v>2.2799999999999998</v>
      </c>
      <c r="M419" s="52">
        <v>2.2400000000000002</v>
      </c>
    </row>
    <row r="420" spans="1:13">
      <c r="A420" s="52">
        <v>1994.03</v>
      </c>
      <c r="B420" s="52">
        <v>3.4375</v>
      </c>
      <c r="C420" s="52">
        <v>2.1420499999999998</v>
      </c>
      <c r="D420" s="52">
        <v>4.5</v>
      </c>
      <c r="E420" s="52">
        <v>2.25</v>
      </c>
      <c r="F420" s="52">
        <v>2.21875</v>
      </c>
      <c r="G420" s="52">
        <v>2.3934700000000002</v>
      </c>
      <c r="H420" s="52">
        <v>2.23</v>
      </c>
      <c r="I420" s="52">
        <v>2.36</v>
      </c>
      <c r="J420" s="52">
        <v>2.23</v>
      </c>
      <c r="K420" s="52">
        <v>2.2999999999999998</v>
      </c>
      <c r="L420" s="52">
        <v>2.37</v>
      </c>
      <c r="M420" s="52">
        <v>2.2799999999999998</v>
      </c>
    </row>
    <row r="421" spans="1:13">
      <c r="A421" s="52">
        <v>1994.04</v>
      </c>
      <c r="B421" s="52">
        <v>2.15625</v>
      </c>
      <c r="C421" s="52">
        <v>2.1124999999999998</v>
      </c>
      <c r="D421" s="52">
        <v>2.21875</v>
      </c>
      <c r="E421" s="52">
        <v>2.1749999999999998</v>
      </c>
      <c r="F421" s="52">
        <v>2.25</v>
      </c>
      <c r="G421" s="52">
        <v>2.2265600000000001</v>
      </c>
      <c r="H421" s="52">
        <v>2.27</v>
      </c>
      <c r="I421" s="52">
        <v>2.25</v>
      </c>
      <c r="J421" s="52">
        <v>2.27</v>
      </c>
      <c r="K421" s="52">
        <v>2.27</v>
      </c>
      <c r="L421" s="52">
        <v>2.33</v>
      </c>
      <c r="M421" s="52">
        <v>2.29</v>
      </c>
    </row>
    <row r="422" spans="1:13">
      <c r="A422" s="52">
        <v>1994.05</v>
      </c>
      <c r="B422" s="52">
        <v>2.03125</v>
      </c>
      <c r="C422" s="52">
        <v>2.0263200000000001</v>
      </c>
      <c r="D422" s="52">
        <v>2.09375</v>
      </c>
      <c r="E422" s="52">
        <v>2.0904600000000002</v>
      </c>
      <c r="F422" s="52">
        <v>2.09375</v>
      </c>
      <c r="G422" s="52">
        <v>2.1217100000000002</v>
      </c>
      <c r="H422" s="52">
        <v>2.1</v>
      </c>
      <c r="I422" s="52">
        <v>2.14</v>
      </c>
      <c r="J422" s="52">
        <v>2.11</v>
      </c>
      <c r="K422" s="52">
        <v>2.17</v>
      </c>
      <c r="L422" s="52">
        <v>2.15</v>
      </c>
      <c r="M422" s="52">
        <v>2.2000000000000002</v>
      </c>
    </row>
    <row r="423" spans="1:13">
      <c r="A423" s="52">
        <v>1994.06</v>
      </c>
      <c r="B423" s="52">
        <v>2.03125</v>
      </c>
      <c r="C423" s="52">
        <v>2</v>
      </c>
      <c r="D423" s="52">
        <v>2.09375</v>
      </c>
      <c r="E423" s="52">
        <v>2.0625</v>
      </c>
      <c r="F423" s="52">
        <v>2.09375</v>
      </c>
      <c r="G423" s="52">
        <v>2.0823900000000002</v>
      </c>
      <c r="H423" s="52">
        <v>2.1</v>
      </c>
      <c r="I423" s="52">
        <v>2.09</v>
      </c>
      <c r="J423" s="52">
        <v>2.11</v>
      </c>
      <c r="K423" s="52">
        <v>2.11</v>
      </c>
      <c r="L423" s="52">
        <v>2.15</v>
      </c>
      <c r="M423" s="52">
        <v>2.14</v>
      </c>
    </row>
    <row r="424" spans="1:13">
      <c r="A424" s="52">
        <v>1994.07</v>
      </c>
      <c r="B424" s="52">
        <v>2.0625</v>
      </c>
      <c r="C424" s="52">
        <v>2.0193500000000002</v>
      </c>
      <c r="D424" s="52">
        <v>2.125</v>
      </c>
      <c r="E424" s="52">
        <v>2.0818500000000002</v>
      </c>
      <c r="F424" s="52">
        <v>2.125</v>
      </c>
      <c r="G424" s="52">
        <v>2.09077</v>
      </c>
      <c r="H424" s="52">
        <v>2.12</v>
      </c>
      <c r="I424" s="52">
        <v>2.09</v>
      </c>
      <c r="J424" s="52">
        <v>2.1800000000000002</v>
      </c>
      <c r="K424" s="52">
        <v>2.11</v>
      </c>
      <c r="L424" s="52">
        <v>2.25</v>
      </c>
      <c r="M424" s="52">
        <v>2.16</v>
      </c>
    </row>
    <row r="425" spans="1:13">
      <c r="A425" s="52">
        <v>1994.08</v>
      </c>
      <c r="B425" s="52">
        <v>2.09375</v>
      </c>
      <c r="C425" s="52">
        <v>2.0652200000000001</v>
      </c>
      <c r="D425" s="52">
        <v>2.15625</v>
      </c>
      <c r="E425" s="52">
        <v>2.13043</v>
      </c>
      <c r="F425" s="52">
        <v>2.1875</v>
      </c>
      <c r="G425" s="52">
        <v>2.1521699999999999</v>
      </c>
      <c r="H425" s="52">
        <v>2.5</v>
      </c>
      <c r="I425" s="52">
        <v>2.19</v>
      </c>
      <c r="J425" s="52">
        <v>2.39</v>
      </c>
      <c r="K425" s="52">
        <v>2.3199999999999998</v>
      </c>
      <c r="L425" s="52">
        <v>2.37</v>
      </c>
      <c r="M425" s="52">
        <v>2.31</v>
      </c>
    </row>
    <row r="426" spans="1:13">
      <c r="A426" s="52">
        <v>1994.09</v>
      </c>
      <c r="B426" s="52">
        <v>2.3125</v>
      </c>
      <c r="C426" s="52">
        <v>2.125</v>
      </c>
      <c r="D426" s="52">
        <v>2.375</v>
      </c>
      <c r="E426" s="52">
        <v>2.18906</v>
      </c>
      <c r="F426" s="52">
        <v>2.1875</v>
      </c>
      <c r="G426" s="52">
        <v>2.3593799999999998</v>
      </c>
      <c r="H426" s="52">
        <v>2.23</v>
      </c>
      <c r="I426" s="52">
        <v>2.4700000000000002</v>
      </c>
      <c r="J426" s="52">
        <v>2.4</v>
      </c>
      <c r="K426" s="52">
        <v>2.37</v>
      </c>
      <c r="L426" s="52">
        <v>2.37</v>
      </c>
      <c r="M426" s="52">
        <v>2.36</v>
      </c>
    </row>
    <row r="427" spans="1:13">
      <c r="A427" s="52">
        <v>1994.1</v>
      </c>
      <c r="B427" s="52">
        <v>2.21875</v>
      </c>
      <c r="C427" s="52">
        <v>2.1765599999999998</v>
      </c>
      <c r="D427" s="52">
        <v>2.28125</v>
      </c>
      <c r="E427" s="52">
        <v>2.2374999999999998</v>
      </c>
      <c r="F427" s="52">
        <v>2.2799999999999998</v>
      </c>
      <c r="G427" s="52">
        <v>2.27</v>
      </c>
      <c r="H427" s="52">
        <v>2.31</v>
      </c>
      <c r="I427" s="52">
        <v>2.29</v>
      </c>
      <c r="J427" s="52">
        <v>2.36</v>
      </c>
      <c r="K427" s="52">
        <v>2.3199999999999998</v>
      </c>
      <c r="L427" s="52">
        <v>2.39</v>
      </c>
      <c r="M427" s="52">
        <v>2.37</v>
      </c>
    </row>
    <row r="428" spans="1:13">
      <c r="A428" s="52">
        <v>1994.11</v>
      </c>
      <c r="B428" s="52">
        <v>2.21875</v>
      </c>
      <c r="C428" s="52">
        <v>2.2046899999999998</v>
      </c>
      <c r="D428" s="52">
        <v>2.28125</v>
      </c>
      <c r="E428" s="52">
        <v>2.2671899999999998</v>
      </c>
      <c r="F428" s="52">
        <v>2.2999999999999998</v>
      </c>
      <c r="G428" s="52">
        <v>2.29</v>
      </c>
      <c r="H428" s="52">
        <v>2.3199999999999998</v>
      </c>
      <c r="I428" s="52">
        <v>2.3199999999999998</v>
      </c>
      <c r="J428" s="52">
        <v>2.37</v>
      </c>
      <c r="K428" s="52">
        <v>2.37</v>
      </c>
      <c r="L428" s="52">
        <v>2.39</v>
      </c>
      <c r="M428" s="52">
        <v>2.38</v>
      </c>
    </row>
    <row r="429" spans="1:13">
      <c r="A429" s="52">
        <v>1994.12</v>
      </c>
      <c r="B429" s="52">
        <v>2.21875</v>
      </c>
      <c r="C429" s="52">
        <v>2.2276799999999999</v>
      </c>
      <c r="D429" s="52">
        <v>2.28125</v>
      </c>
      <c r="E429" s="52">
        <v>2.2931499999999998</v>
      </c>
      <c r="F429" s="52">
        <v>2.2599999999999998</v>
      </c>
      <c r="G429" s="52">
        <v>2.2999999999999998</v>
      </c>
      <c r="H429" s="52">
        <v>2.2999999999999998</v>
      </c>
      <c r="I429" s="52">
        <v>2.34</v>
      </c>
      <c r="J429" s="52">
        <v>2.31</v>
      </c>
      <c r="K429" s="52">
        <v>2.35</v>
      </c>
      <c r="L429" s="52">
        <v>2.4500000000000002</v>
      </c>
      <c r="M429" s="52">
        <v>2.37</v>
      </c>
    </row>
    <row r="430" spans="1:13">
      <c r="A430" s="52">
        <v>1995.01</v>
      </c>
      <c r="B430" s="52">
        <v>2.1875</v>
      </c>
      <c r="C430" s="52">
        <v>2.1858599999999999</v>
      </c>
      <c r="D430" s="52">
        <v>2.25</v>
      </c>
      <c r="E430" s="52">
        <v>2.25</v>
      </c>
      <c r="F430" s="52">
        <v>2.25</v>
      </c>
      <c r="G430" s="52">
        <v>2.27</v>
      </c>
      <c r="H430" s="52">
        <v>2.25</v>
      </c>
      <c r="I430" s="52">
        <v>2.27</v>
      </c>
      <c r="J430" s="52">
        <v>2.2799999999999998</v>
      </c>
      <c r="K430" s="52">
        <v>2.2999999999999998</v>
      </c>
      <c r="L430" s="52">
        <v>2.38</v>
      </c>
      <c r="M430" s="52">
        <v>2.34</v>
      </c>
    </row>
    <row r="431" spans="1:13">
      <c r="A431" s="52">
        <v>1995.02</v>
      </c>
      <c r="B431" s="52">
        <v>2.15625</v>
      </c>
      <c r="C431" s="52">
        <v>2.15469</v>
      </c>
      <c r="D431" s="52">
        <v>2.21875</v>
      </c>
      <c r="E431" s="52">
        <v>2.21719</v>
      </c>
      <c r="F431" s="52">
        <v>2.2400000000000002</v>
      </c>
      <c r="G431" s="52">
        <v>2.2400000000000002</v>
      </c>
      <c r="H431" s="52">
        <v>2.2999999999999998</v>
      </c>
      <c r="I431" s="52">
        <v>2.25</v>
      </c>
      <c r="J431" s="52">
        <v>2.27</v>
      </c>
      <c r="K431" s="52">
        <v>2.31</v>
      </c>
      <c r="L431" s="52">
        <v>2.2999999999999998</v>
      </c>
      <c r="M431" s="52">
        <v>2.31</v>
      </c>
    </row>
    <row r="432" spans="1:13">
      <c r="A432" s="52">
        <v>1995.03</v>
      </c>
      <c r="B432" s="52">
        <v>1.6875</v>
      </c>
      <c r="C432" s="52">
        <v>2.12358</v>
      </c>
      <c r="D432" s="52">
        <v>1.75</v>
      </c>
      <c r="E432" s="52">
        <v>2.18892</v>
      </c>
      <c r="F432" s="52">
        <v>1.98</v>
      </c>
      <c r="G432" s="52">
        <v>2.23</v>
      </c>
      <c r="H432" s="52">
        <v>1.75</v>
      </c>
      <c r="I432" s="52">
        <v>2.2200000000000002</v>
      </c>
      <c r="J432" s="52">
        <v>1.94</v>
      </c>
      <c r="K432" s="52">
        <v>2.1800000000000002</v>
      </c>
      <c r="L432" s="52">
        <v>1.84</v>
      </c>
      <c r="M432" s="52">
        <v>2.1800000000000002</v>
      </c>
    </row>
    <row r="433" spans="1:13">
      <c r="A433" s="52">
        <v>1995.04</v>
      </c>
      <c r="B433" s="52">
        <v>1.28125</v>
      </c>
      <c r="C433" s="52">
        <v>1.47031</v>
      </c>
      <c r="D433" s="52">
        <v>1.3125</v>
      </c>
      <c r="E433" s="52">
        <v>1.5249999999999999</v>
      </c>
      <c r="F433" s="52">
        <v>1.35</v>
      </c>
      <c r="G433" s="52">
        <v>1.54</v>
      </c>
      <c r="H433" s="52">
        <v>1.39</v>
      </c>
      <c r="I433" s="52">
        <v>1.55</v>
      </c>
      <c r="J433" s="52">
        <v>1.38</v>
      </c>
      <c r="K433" s="52">
        <v>1.49</v>
      </c>
      <c r="L433" s="52">
        <v>1.39</v>
      </c>
      <c r="M433" s="52">
        <v>1.5</v>
      </c>
    </row>
    <row r="434" spans="1:13">
      <c r="A434" s="52">
        <v>1995.05</v>
      </c>
      <c r="B434" s="52">
        <v>1.26</v>
      </c>
      <c r="C434" s="52">
        <v>1.26</v>
      </c>
      <c r="D434" s="52">
        <v>1.32</v>
      </c>
      <c r="E434" s="52">
        <v>1.31</v>
      </c>
      <c r="F434" s="52">
        <v>1.3</v>
      </c>
      <c r="G434" s="52">
        <v>1.33</v>
      </c>
      <c r="H434" s="52">
        <v>1.29</v>
      </c>
      <c r="I434" s="52">
        <v>1.33</v>
      </c>
      <c r="J434" s="52">
        <v>1.17</v>
      </c>
      <c r="K434" s="52">
        <v>1.36</v>
      </c>
      <c r="L434" s="52">
        <v>1.1499999999999999</v>
      </c>
      <c r="M434" s="52">
        <v>1.35</v>
      </c>
    </row>
    <row r="435" spans="1:13">
      <c r="A435" s="52">
        <v>1995.06</v>
      </c>
      <c r="B435" s="52">
        <v>1.22</v>
      </c>
      <c r="C435" s="52">
        <v>1.23</v>
      </c>
      <c r="D435" s="52">
        <v>1.27</v>
      </c>
      <c r="E435" s="52">
        <v>1.28</v>
      </c>
      <c r="F435" s="52">
        <v>1.27</v>
      </c>
      <c r="G435" s="52">
        <v>1.27</v>
      </c>
      <c r="H435" s="52">
        <v>1.28</v>
      </c>
      <c r="I435" s="52">
        <v>1.26</v>
      </c>
      <c r="J435" s="52">
        <v>1.2</v>
      </c>
      <c r="K435" s="52">
        <v>1.22</v>
      </c>
      <c r="L435" s="52">
        <v>1.19</v>
      </c>
      <c r="M435" s="52">
        <v>1.21</v>
      </c>
    </row>
    <row r="436" spans="1:13">
      <c r="A436" s="52">
        <v>1995.07</v>
      </c>
      <c r="B436" s="52">
        <v>0.74</v>
      </c>
      <c r="C436" s="52">
        <v>0.89</v>
      </c>
      <c r="D436" s="52">
        <v>0.84</v>
      </c>
      <c r="E436" s="52">
        <v>0.95</v>
      </c>
      <c r="F436" s="52">
        <v>0.81</v>
      </c>
      <c r="G436" s="52">
        <v>0.96</v>
      </c>
      <c r="H436" s="52">
        <v>0.86</v>
      </c>
      <c r="I436" s="52">
        <v>0.95</v>
      </c>
      <c r="J436" s="52">
        <v>0.81</v>
      </c>
      <c r="K436" s="52">
        <v>0.93</v>
      </c>
      <c r="L436" s="52">
        <v>0.85</v>
      </c>
      <c r="M436" s="52">
        <v>0.96</v>
      </c>
    </row>
    <row r="437" spans="1:13">
      <c r="A437" s="52">
        <v>1995.08</v>
      </c>
      <c r="B437" s="52">
        <v>0.81</v>
      </c>
      <c r="C437" s="52">
        <v>0.83</v>
      </c>
      <c r="D437" s="52">
        <v>0.86</v>
      </c>
      <c r="E437" s="52">
        <v>0.88</v>
      </c>
      <c r="F437" s="52">
        <v>0.87</v>
      </c>
      <c r="G437" s="52">
        <v>0.88</v>
      </c>
      <c r="H437" s="52">
        <v>0.92</v>
      </c>
      <c r="I437" s="52">
        <v>0.89</v>
      </c>
      <c r="J437" s="52">
        <v>0.83</v>
      </c>
      <c r="K437" s="52">
        <v>0.88</v>
      </c>
      <c r="L437" s="52">
        <v>0.95</v>
      </c>
      <c r="M437" s="52">
        <v>0.87</v>
      </c>
    </row>
    <row r="438" spans="1:13">
      <c r="A438" s="52">
        <v>1995.09</v>
      </c>
      <c r="B438" s="52">
        <v>0.48</v>
      </c>
      <c r="C438" s="52">
        <v>0.52</v>
      </c>
      <c r="D438" s="52">
        <v>0.53</v>
      </c>
      <c r="E438" s="52">
        <v>0.56999999999999995</v>
      </c>
      <c r="F438" s="52">
        <v>0.49</v>
      </c>
      <c r="G438" s="52">
        <v>0.63</v>
      </c>
      <c r="H438" s="52">
        <v>0.49</v>
      </c>
      <c r="I438" s="52">
        <v>0.64</v>
      </c>
      <c r="J438" s="52">
        <v>0.49</v>
      </c>
      <c r="K438" s="52">
        <v>0.61</v>
      </c>
      <c r="L438" s="52">
        <v>0.49</v>
      </c>
      <c r="M438" s="52">
        <v>0.61</v>
      </c>
    </row>
    <row r="439" spans="1:13">
      <c r="A439" s="52">
        <v>1995.1</v>
      </c>
      <c r="B439" s="52">
        <v>0.41</v>
      </c>
      <c r="C439" s="52">
        <v>0.41</v>
      </c>
      <c r="D439" s="52">
        <v>0.47</v>
      </c>
      <c r="E439" s="52">
        <v>0.47</v>
      </c>
      <c r="F439" s="52">
        <v>0.53</v>
      </c>
      <c r="G439" s="52">
        <v>0.5</v>
      </c>
      <c r="H439" s="52">
        <v>0.56000000000000005</v>
      </c>
      <c r="I439" s="52">
        <v>0.51</v>
      </c>
      <c r="J439" s="52">
        <v>0.65</v>
      </c>
      <c r="K439" s="52">
        <v>0.54</v>
      </c>
      <c r="L439" s="52">
        <v>0.64</v>
      </c>
      <c r="M439" s="52">
        <v>0.56000000000000005</v>
      </c>
    </row>
    <row r="440" spans="1:13">
      <c r="A440" s="52">
        <v>1995.11</v>
      </c>
      <c r="B440" s="52">
        <v>0.41</v>
      </c>
      <c r="C440" s="52">
        <v>0.4</v>
      </c>
      <c r="D440" s="52">
        <v>0.47</v>
      </c>
      <c r="E440" s="52">
        <v>0.46</v>
      </c>
      <c r="F440" s="52">
        <v>0.52</v>
      </c>
      <c r="G440" s="52">
        <v>0.5</v>
      </c>
      <c r="H440" s="52">
        <v>0.6</v>
      </c>
      <c r="I440" s="52">
        <v>0.53</v>
      </c>
      <c r="J440" s="52">
        <v>0.56999999999999995</v>
      </c>
      <c r="K440" s="52">
        <v>0.59</v>
      </c>
      <c r="L440" s="52">
        <v>0.56000000000000005</v>
      </c>
      <c r="M440" s="52">
        <v>0.59</v>
      </c>
    </row>
    <row r="441" spans="1:13">
      <c r="A441" s="52">
        <v>1995.12</v>
      </c>
      <c r="B441" s="52">
        <v>0.4</v>
      </c>
      <c r="C441" s="52">
        <v>0.4</v>
      </c>
      <c r="D441" s="52">
        <v>0.46</v>
      </c>
      <c r="E441" s="52">
        <v>0.46</v>
      </c>
      <c r="F441" s="52">
        <v>0.48</v>
      </c>
      <c r="G441" s="52">
        <v>0.49</v>
      </c>
      <c r="H441" s="52">
        <v>0.51</v>
      </c>
      <c r="I441" s="52">
        <v>0.53</v>
      </c>
      <c r="J441" s="52">
        <v>0.51</v>
      </c>
      <c r="K441" s="52">
        <v>0.53</v>
      </c>
      <c r="L441" s="52">
        <v>0.56000000000000005</v>
      </c>
      <c r="M441" s="52">
        <v>0.53</v>
      </c>
    </row>
    <row r="442" spans="1:13">
      <c r="A442" s="52">
        <v>1996.01</v>
      </c>
      <c r="B442" s="52">
        <v>0.43</v>
      </c>
      <c r="C442" s="52">
        <v>0.41</v>
      </c>
      <c r="D442" s="52">
        <v>0.49</v>
      </c>
      <c r="E442" s="52">
        <v>0.47</v>
      </c>
      <c r="F442" s="52">
        <v>0.51</v>
      </c>
      <c r="G442" s="52">
        <v>0.49</v>
      </c>
      <c r="H442" s="52">
        <v>0.5</v>
      </c>
      <c r="I442" s="52">
        <v>0.5</v>
      </c>
      <c r="J442" s="52">
        <v>0.6</v>
      </c>
      <c r="K442" s="52">
        <v>0.53</v>
      </c>
      <c r="L442" s="52">
        <v>0.57999999999999996</v>
      </c>
      <c r="M442" s="52">
        <v>0.57999999999999996</v>
      </c>
    </row>
    <row r="443" spans="1:13">
      <c r="A443" s="52">
        <v>1996.02</v>
      </c>
      <c r="B443" s="52">
        <v>0.4</v>
      </c>
      <c r="C443" s="52">
        <v>0.4</v>
      </c>
      <c r="D443" s="52">
        <v>0.46</v>
      </c>
      <c r="E443" s="52">
        <v>0.46</v>
      </c>
      <c r="F443" s="52">
        <v>0.49</v>
      </c>
      <c r="G443" s="52">
        <v>0.49</v>
      </c>
      <c r="H443" s="52">
        <v>0.69</v>
      </c>
      <c r="I443" s="52">
        <v>0.52</v>
      </c>
      <c r="J443" s="52">
        <v>0.78</v>
      </c>
      <c r="K443" s="52">
        <v>0.66</v>
      </c>
      <c r="L443" s="52">
        <v>0.82</v>
      </c>
      <c r="M443" s="52">
        <v>0.65</v>
      </c>
    </row>
    <row r="444" spans="1:13">
      <c r="A444" s="52">
        <v>1996.03</v>
      </c>
      <c r="B444" s="52">
        <v>0.45</v>
      </c>
      <c r="C444" s="52">
        <v>0.4</v>
      </c>
      <c r="D444" s="52">
        <v>0.49</v>
      </c>
      <c r="E444" s="52">
        <v>0.46</v>
      </c>
      <c r="F444" s="52">
        <v>0.51</v>
      </c>
      <c r="G444" s="52">
        <v>0.62</v>
      </c>
      <c r="H444" s="52">
        <v>0.59</v>
      </c>
      <c r="I444" s="52">
        <v>0.73</v>
      </c>
      <c r="J444" s="52">
        <v>0.62</v>
      </c>
      <c r="K444" s="52">
        <v>0.65</v>
      </c>
      <c r="L444" s="52">
        <v>0.65</v>
      </c>
      <c r="M444" s="52">
        <v>0.67</v>
      </c>
    </row>
    <row r="445" spans="1:13">
      <c r="A445" s="52">
        <v>1996.04</v>
      </c>
      <c r="B445" s="52">
        <v>0.44</v>
      </c>
      <c r="C445" s="52">
        <v>0.42</v>
      </c>
      <c r="D445" s="52">
        <v>0.5</v>
      </c>
      <c r="E445" s="52">
        <v>0.49</v>
      </c>
      <c r="F445" s="52">
        <v>0.53</v>
      </c>
      <c r="G445" s="52">
        <v>0.52</v>
      </c>
      <c r="H445" s="52">
        <v>0.56999999999999995</v>
      </c>
      <c r="I445" s="52">
        <v>0.56999999999999995</v>
      </c>
      <c r="J445" s="52">
        <v>0.63</v>
      </c>
      <c r="K445" s="52">
        <v>0.62</v>
      </c>
      <c r="L445" s="52">
        <v>0.7</v>
      </c>
      <c r="M445" s="52">
        <v>0.66</v>
      </c>
    </row>
    <row r="446" spans="1:13">
      <c r="A446" s="52">
        <v>1996.05</v>
      </c>
      <c r="B446" s="52">
        <v>0.43</v>
      </c>
      <c r="C446" s="52">
        <v>0.41</v>
      </c>
      <c r="D446" s="52">
        <v>0.49</v>
      </c>
      <c r="E446" s="52">
        <v>0.47</v>
      </c>
      <c r="F446" s="52">
        <v>0.51</v>
      </c>
      <c r="G446" s="52">
        <v>0.51</v>
      </c>
      <c r="H446" s="52">
        <v>0.52</v>
      </c>
      <c r="I446" s="52">
        <v>0.55000000000000004</v>
      </c>
      <c r="J446" s="52">
        <v>0.56000000000000005</v>
      </c>
      <c r="K446" s="52">
        <v>0.59</v>
      </c>
      <c r="L446" s="52">
        <v>0.57999999999999996</v>
      </c>
      <c r="M446" s="52">
        <v>0.65</v>
      </c>
    </row>
    <row r="447" spans="1:13">
      <c r="A447" s="52">
        <v>1996.06</v>
      </c>
      <c r="B447" s="52">
        <v>0.41</v>
      </c>
      <c r="C447" s="52">
        <v>0.41</v>
      </c>
      <c r="D447" s="52">
        <v>0.47</v>
      </c>
      <c r="E447" s="52">
        <v>0.47</v>
      </c>
      <c r="F447" s="52">
        <v>0.51</v>
      </c>
      <c r="G447" s="52">
        <v>0.5</v>
      </c>
      <c r="H447" s="52">
        <v>0.52</v>
      </c>
      <c r="I447" s="52">
        <v>0.52</v>
      </c>
      <c r="J447" s="52">
        <v>0.55000000000000004</v>
      </c>
      <c r="K447" s="52">
        <v>0.54</v>
      </c>
      <c r="L447" s="52">
        <v>0.63</v>
      </c>
      <c r="M447" s="52">
        <v>0.6</v>
      </c>
    </row>
    <row r="448" spans="1:13">
      <c r="A448" s="52">
        <v>1996.07</v>
      </c>
      <c r="B448" s="52">
        <v>0.44</v>
      </c>
      <c r="C448" s="52">
        <v>0.42</v>
      </c>
      <c r="D448" s="52">
        <v>0.5</v>
      </c>
      <c r="E448" s="52">
        <v>0.48</v>
      </c>
      <c r="F448" s="52">
        <v>0.5</v>
      </c>
      <c r="G448" s="52">
        <v>0.51</v>
      </c>
      <c r="H448" s="52">
        <v>0.53</v>
      </c>
      <c r="I448" s="52">
        <v>0.54</v>
      </c>
      <c r="J448" s="52">
        <v>0.7</v>
      </c>
      <c r="K448" s="52">
        <v>0.62</v>
      </c>
      <c r="L448" s="52">
        <v>0.82</v>
      </c>
      <c r="M448" s="52">
        <v>0.72</v>
      </c>
    </row>
    <row r="449" spans="1:13">
      <c r="A449" s="52">
        <v>1996.08</v>
      </c>
      <c r="B449" s="52">
        <v>0.41</v>
      </c>
      <c r="C449" s="52">
        <v>0.39</v>
      </c>
      <c r="D449" s="52">
        <v>0.47</v>
      </c>
      <c r="E449" s="52">
        <v>0.44</v>
      </c>
      <c r="F449" s="52">
        <v>0.49</v>
      </c>
      <c r="G449" s="52">
        <v>0.48</v>
      </c>
      <c r="H449" s="52">
        <v>0.53</v>
      </c>
      <c r="I449" s="52">
        <v>0.52</v>
      </c>
      <c r="J449" s="52">
        <v>0.53</v>
      </c>
      <c r="K449" s="52">
        <v>0.62</v>
      </c>
      <c r="L449" s="52">
        <v>0.63</v>
      </c>
      <c r="M449" s="52">
        <v>0.67</v>
      </c>
    </row>
    <row r="450" spans="1:13">
      <c r="A450" s="52">
        <v>1996.09</v>
      </c>
      <c r="B450" s="52">
        <v>0.46</v>
      </c>
      <c r="C450" s="52">
        <v>0.41</v>
      </c>
      <c r="D450" s="52">
        <v>0.52</v>
      </c>
      <c r="E450" s="52">
        <v>0.47</v>
      </c>
      <c r="F450" s="52">
        <v>0.51</v>
      </c>
      <c r="G450" s="52">
        <v>0.49</v>
      </c>
      <c r="H450" s="52">
        <v>0.53</v>
      </c>
      <c r="I450" s="52">
        <v>0.52</v>
      </c>
      <c r="J450" s="52">
        <v>0.53</v>
      </c>
      <c r="K450" s="52">
        <v>0.53</v>
      </c>
      <c r="L450" s="52">
        <v>0.56000000000000005</v>
      </c>
      <c r="M450" s="52">
        <v>0.56999999999999995</v>
      </c>
    </row>
    <row r="451" spans="1:13">
      <c r="A451" s="52">
        <v>1996.1</v>
      </c>
      <c r="B451" s="52">
        <v>0.44</v>
      </c>
      <c r="C451" s="52">
        <v>0.42</v>
      </c>
      <c r="D451" s="52">
        <v>0.49</v>
      </c>
      <c r="E451" s="52">
        <v>0.48</v>
      </c>
      <c r="F451" s="52">
        <v>0.49</v>
      </c>
      <c r="G451" s="52">
        <v>0.48</v>
      </c>
      <c r="H451" s="52">
        <v>0.51</v>
      </c>
      <c r="I451" s="52">
        <v>0.5</v>
      </c>
      <c r="J451" s="52">
        <v>0.5</v>
      </c>
      <c r="K451" s="52">
        <v>0.52</v>
      </c>
      <c r="L451" s="52">
        <v>0.53</v>
      </c>
      <c r="M451" s="52">
        <v>0.54</v>
      </c>
    </row>
    <row r="452" spans="1:13">
      <c r="A452" s="52">
        <v>1996.11</v>
      </c>
      <c r="B452" s="52">
        <v>0.42</v>
      </c>
      <c r="C452" s="52">
        <v>0.42</v>
      </c>
      <c r="D452" s="52">
        <v>0.48</v>
      </c>
      <c r="E452" s="52">
        <v>0.48</v>
      </c>
      <c r="F452" s="52">
        <v>0.49</v>
      </c>
      <c r="G452" s="52">
        <v>0.49</v>
      </c>
      <c r="H452" s="52">
        <v>0.51</v>
      </c>
      <c r="I452" s="52">
        <v>0.51</v>
      </c>
      <c r="J452" s="52">
        <v>0.53</v>
      </c>
      <c r="K452" s="52">
        <v>0.51</v>
      </c>
      <c r="L452" s="52">
        <v>0.56999999999999995</v>
      </c>
      <c r="M452" s="52">
        <v>0.55000000000000004</v>
      </c>
    </row>
    <row r="453" spans="1:13">
      <c r="A453" s="52">
        <v>1996.12</v>
      </c>
      <c r="B453" s="52">
        <v>0.38</v>
      </c>
      <c r="C453" s="52">
        <v>0.43</v>
      </c>
      <c r="D453" s="52">
        <v>0.44</v>
      </c>
      <c r="E453" s="52">
        <v>0.49</v>
      </c>
      <c r="F453" s="52">
        <v>0.48</v>
      </c>
      <c r="G453" s="52">
        <v>0.5</v>
      </c>
      <c r="H453" s="52">
        <v>0.51</v>
      </c>
      <c r="I453" s="52">
        <v>0.51</v>
      </c>
      <c r="J453" s="52">
        <v>0.63</v>
      </c>
      <c r="K453" s="52">
        <v>0.53</v>
      </c>
      <c r="L453" s="52">
        <v>0.6</v>
      </c>
      <c r="M453" s="52">
        <v>0.55000000000000004</v>
      </c>
    </row>
    <row r="454" spans="1:13">
      <c r="A454" s="52">
        <v>1997.01</v>
      </c>
      <c r="B454" s="52">
        <v>0.42</v>
      </c>
      <c r="C454" s="52">
        <v>0.42</v>
      </c>
      <c r="D454" s="52">
        <v>0.48</v>
      </c>
      <c r="E454" s="52">
        <v>0.48</v>
      </c>
      <c r="F454" s="52">
        <v>0.51</v>
      </c>
      <c r="G454" s="52">
        <v>0.51</v>
      </c>
      <c r="H454" s="52">
        <v>0.52</v>
      </c>
      <c r="I454" s="52">
        <v>0.52</v>
      </c>
      <c r="J454" s="52">
        <v>0.56999999999999995</v>
      </c>
      <c r="K454" s="52">
        <v>0.54</v>
      </c>
      <c r="L454" s="52">
        <v>0.54</v>
      </c>
      <c r="M454" s="52">
        <v>0.55000000000000004</v>
      </c>
    </row>
    <row r="455" spans="1:13">
      <c r="A455" s="52">
        <v>1997.02</v>
      </c>
      <c r="B455" s="52">
        <v>0.41</v>
      </c>
      <c r="C455" s="52">
        <v>0.44</v>
      </c>
      <c r="D455" s="52">
        <v>0.47</v>
      </c>
      <c r="E455" s="52">
        <v>0.5</v>
      </c>
      <c r="F455" s="52">
        <v>0.52</v>
      </c>
      <c r="G455" s="52">
        <v>0.52</v>
      </c>
      <c r="H455" s="52">
        <v>0.56999999999999995</v>
      </c>
      <c r="I455" s="52">
        <v>0.53</v>
      </c>
      <c r="J455" s="52">
        <v>0.55000000000000004</v>
      </c>
      <c r="K455" s="52">
        <v>0.56999999999999995</v>
      </c>
      <c r="L455" s="52">
        <v>0.57999999999999996</v>
      </c>
      <c r="M455" s="52">
        <v>0.55000000000000004</v>
      </c>
    </row>
    <row r="456" spans="1:13">
      <c r="A456" s="52">
        <v>1997.03</v>
      </c>
      <c r="B456" s="52">
        <v>0.64</v>
      </c>
      <c r="C456" s="52">
        <v>0.45</v>
      </c>
      <c r="D456" s="52">
        <v>0.72</v>
      </c>
      <c r="E456" s="52">
        <v>0.51</v>
      </c>
      <c r="F456" s="52">
        <v>0.56999999999999995</v>
      </c>
      <c r="G456" s="52">
        <v>0.59</v>
      </c>
      <c r="H456" s="52">
        <v>1</v>
      </c>
      <c r="I456" s="52">
        <v>0.62</v>
      </c>
      <c r="J456" s="52">
        <v>0.55000000000000004</v>
      </c>
      <c r="K456" s="52">
        <v>0.56999999999999995</v>
      </c>
      <c r="L456" s="52">
        <v>0.6</v>
      </c>
      <c r="M456" s="52">
        <v>0.59</v>
      </c>
    </row>
    <row r="457" spans="1:13">
      <c r="A457" s="52">
        <v>1997.04</v>
      </c>
      <c r="B457" s="52">
        <v>0.47</v>
      </c>
      <c r="C457" s="52">
        <v>0.44</v>
      </c>
      <c r="D457" s="52">
        <v>0.53</v>
      </c>
      <c r="E457" s="52">
        <v>0.5</v>
      </c>
      <c r="F457" s="52">
        <v>0.55000000000000004</v>
      </c>
      <c r="G457" s="52">
        <v>0.53</v>
      </c>
      <c r="H457" s="52">
        <v>0.56000000000000005</v>
      </c>
      <c r="I457" s="52">
        <v>0.56999999999999995</v>
      </c>
      <c r="J457" s="52">
        <v>0.57999999999999996</v>
      </c>
      <c r="K457" s="52">
        <v>0.56000000000000005</v>
      </c>
      <c r="L457" s="52">
        <v>0.57999999999999996</v>
      </c>
      <c r="M457" s="52">
        <v>0.56999999999999995</v>
      </c>
    </row>
    <row r="458" spans="1:13">
      <c r="A458" s="52">
        <v>1997.05</v>
      </c>
      <c r="B458" s="52">
        <v>0.44</v>
      </c>
      <c r="C458" s="52">
        <v>0.43</v>
      </c>
      <c r="D458" s="52">
        <v>0.5</v>
      </c>
      <c r="E458" s="52">
        <v>0.49</v>
      </c>
      <c r="F458" s="52">
        <v>0.56999999999999995</v>
      </c>
      <c r="G458" s="52">
        <v>0.54</v>
      </c>
      <c r="H458" s="52">
        <v>0.65</v>
      </c>
      <c r="I458" s="52">
        <v>0.57999999999999996</v>
      </c>
      <c r="J458" s="52">
        <v>0.59</v>
      </c>
      <c r="K458" s="52">
        <v>0.56999999999999995</v>
      </c>
      <c r="L458" s="52">
        <v>0.61</v>
      </c>
      <c r="M458" s="52">
        <v>0.61</v>
      </c>
    </row>
    <row r="459" spans="1:13">
      <c r="A459" s="52">
        <v>1997.06</v>
      </c>
      <c r="B459" s="52">
        <v>0.46</v>
      </c>
      <c r="C459" s="52">
        <v>0.44</v>
      </c>
      <c r="D459" s="52">
        <v>0.52</v>
      </c>
      <c r="E459" s="52">
        <v>0.5</v>
      </c>
      <c r="F459" s="52">
        <v>0.59</v>
      </c>
      <c r="G459" s="52">
        <v>0.55000000000000004</v>
      </c>
      <c r="H459" s="52">
        <v>0.68</v>
      </c>
      <c r="I459" s="52">
        <v>0.61</v>
      </c>
      <c r="J459" s="52">
        <v>0.64</v>
      </c>
      <c r="K459" s="52">
        <v>0.6</v>
      </c>
      <c r="L459" s="52">
        <v>0.68</v>
      </c>
      <c r="M459" s="52">
        <v>0.64</v>
      </c>
    </row>
    <row r="460" spans="1:13">
      <c r="A460" s="52">
        <v>1997.07</v>
      </c>
      <c r="B460" s="52">
        <v>0.44</v>
      </c>
      <c r="C460" s="52">
        <v>0.44</v>
      </c>
      <c r="D460" s="52">
        <v>0.5</v>
      </c>
      <c r="E460" s="52">
        <v>0.49</v>
      </c>
      <c r="F460" s="52">
        <v>0.55000000000000004</v>
      </c>
      <c r="G460" s="52">
        <v>0.55000000000000004</v>
      </c>
      <c r="H460" s="52">
        <v>0.56999999999999995</v>
      </c>
      <c r="I460" s="52">
        <v>0.61</v>
      </c>
      <c r="J460" s="52">
        <v>0.65</v>
      </c>
      <c r="K460" s="52">
        <v>0.61</v>
      </c>
      <c r="L460" s="52">
        <v>0.67</v>
      </c>
      <c r="M460" s="52">
        <v>0.69</v>
      </c>
    </row>
    <row r="461" spans="1:13">
      <c r="A461" s="52">
        <v>1997.08</v>
      </c>
      <c r="B461" s="52">
        <v>0.46</v>
      </c>
      <c r="C461" s="52">
        <v>0.43</v>
      </c>
      <c r="D461" s="52">
        <v>0.51</v>
      </c>
      <c r="E461" s="52">
        <v>0.48</v>
      </c>
      <c r="F461" s="52">
        <v>0.54</v>
      </c>
      <c r="G461" s="52">
        <v>0.53</v>
      </c>
      <c r="H461" s="52">
        <v>0.64</v>
      </c>
      <c r="I461" s="52">
        <v>0.57999999999999996</v>
      </c>
      <c r="J461" s="52">
        <v>0.56000000000000005</v>
      </c>
      <c r="K461" s="52">
        <v>0.61</v>
      </c>
      <c r="L461" s="52">
        <v>0.62</v>
      </c>
      <c r="M461" s="52">
        <v>0.61</v>
      </c>
    </row>
    <row r="462" spans="1:13">
      <c r="A462" s="52">
        <v>1997.09</v>
      </c>
      <c r="B462" s="52">
        <v>0.59</v>
      </c>
      <c r="C462" s="52">
        <v>0.44</v>
      </c>
      <c r="D462" s="52">
        <v>0.65</v>
      </c>
      <c r="E462" s="52">
        <v>0.5</v>
      </c>
      <c r="F462" s="52">
        <v>0.56000000000000005</v>
      </c>
      <c r="G462" s="52">
        <v>0.56999999999999995</v>
      </c>
      <c r="H462" s="52">
        <v>0.57999999999999996</v>
      </c>
      <c r="I462" s="52">
        <v>0.64</v>
      </c>
      <c r="J462" s="52">
        <v>0.61</v>
      </c>
      <c r="K462" s="52">
        <v>0.57999999999999996</v>
      </c>
      <c r="L462" s="52">
        <v>0.56999999999999995</v>
      </c>
      <c r="M462" s="52">
        <v>0.6</v>
      </c>
    </row>
    <row r="463" spans="1:13">
      <c r="A463" s="52">
        <v>1997.1</v>
      </c>
      <c r="B463" s="52">
        <v>0.43</v>
      </c>
      <c r="C463" s="52">
        <v>0.42</v>
      </c>
      <c r="D463" s="52">
        <v>0.48</v>
      </c>
      <c r="E463" s="52">
        <v>0.48</v>
      </c>
      <c r="F463" s="52">
        <v>0.51</v>
      </c>
      <c r="G463" s="52">
        <v>0.51</v>
      </c>
      <c r="H463" s="52">
        <v>0.51</v>
      </c>
      <c r="I463" s="52">
        <v>0.55000000000000004</v>
      </c>
      <c r="J463" s="52">
        <v>0.52</v>
      </c>
      <c r="K463" s="52">
        <v>0.54</v>
      </c>
      <c r="L463" s="52">
        <v>0.56000000000000005</v>
      </c>
      <c r="M463" s="52">
        <v>0.55000000000000004</v>
      </c>
    </row>
    <row r="464" spans="1:13">
      <c r="A464" s="52">
        <v>1997.11</v>
      </c>
      <c r="B464" s="52">
        <v>0.41</v>
      </c>
      <c r="C464" s="52">
        <v>0.45</v>
      </c>
      <c r="D464" s="52">
        <v>0.39</v>
      </c>
      <c r="E464" s="52">
        <v>0.49</v>
      </c>
      <c r="F464" s="52">
        <v>0.81</v>
      </c>
      <c r="G464" s="52">
        <v>0.56000000000000005</v>
      </c>
      <c r="H464" s="52">
        <v>1.21</v>
      </c>
      <c r="I464" s="52">
        <v>0.61</v>
      </c>
      <c r="J464" s="52">
        <v>0.6</v>
      </c>
      <c r="K464" s="52">
        <v>0.59</v>
      </c>
      <c r="L464" s="52">
        <v>0.78</v>
      </c>
      <c r="M464" s="52">
        <v>0.59</v>
      </c>
    </row>
    <row r="465" spans="1:13">
      <c r="A465" s="52">
        <v>1997.12</v>
      </c>
      <c r="B465" s="52">
        <v>0.44</v>
      </c>
      <c r="C465" s="52">
        <v>0.4</v>
      </c>
      <c r="D465" s="52">
        <v>0.47</v>
      </c>
      <c r="E465" s="52">
        <v>0.39</v>
      </c>
      <c r="F465" s="52">
        <v>0.78</v>
      </c>
      <c r="G465" s="52">
        <v>0.83</v>
      </c>
      <c r="H465" s="52">
        <v>1.01</v>
      </c>
      <c r="I465" s="52">
        <v>1.06</v>
      </c>
      <c r="J465" s="52">
        <v>0.95</v>
      </c>
      <c r="K465" s="52">
        <v>1.08</v>
      </c>
      <c r="L465" s="52">
        <v>1.1499999999999999</v>
      </c>
      <c r="M465" s="52">
        <v>1.0900000000000001</v>
      </c>
    </row>
    <row r="466" spans="1:13">
      <c r="A466" s="52">
        <v>1998.01</v>
      </c>
      <c r="B466" s="52">
        <v>0.43</v>
      </c>
      <c r="C466" s="52">
        <v>0.42</v>
      </c>
      <c r="D466" s="52">
        <v>0.48</v>
      </c>
      <c r="E466" s="52">
        <v>0.44</v>
      </c>
      <c r="F466" s="52">
        <v>0.75</v>
      </c>
      <c r="G466" s="52">
        <v>0.67</v>
      </c>
      <c r="H466" s="52">
        <v>0.95</v>
      </c>
      <c r="I466" s="52">
        <v>0.79</v>
      </c>
      <c r="J466" s="52">
        <v>1.2</v>
      </c>
      <c r="K466" s="52">
        <v>0.91</v>
      </c>
      <c r="L466" s="52">
        <v>1.1499999999999999</v>
      </c>
      <c r="M466" s="52">
        <v>1.1200000000000001</v>
      </c>
    </row>
    <row r="467" spans="1:13">
      <c r="A467" s="52">
        <v>1998.02</v>
      </c>
      <c r="B467" s="52">
        <v>0.48</v>
      </c>
      <c r="C467" s="52">
        <v>0.43</v>
      </c>
      <c r="D467" s="52">
        <v>0.47</v>
      </c>
      <c r="E467" s="52">
        <v>0.43</v>
      </c>
      <c r="F467" s="52">
        <v>0.61</v>
      </c>
      <c r="G467" s="52">
        <v>0.62</v>
      </c>
      <c r="H467" s="52">
        <v>1.05</v>
      </c>
      <c r="I467" s="52">
        <v>0.84</v>
      </c>
      <c r="J467" s="52">
        <v>1.1499999999999999</v>
      </c>
      <c r="K467" s="52">
        <v>1.19</v>
      </c>
      <c r="L467" s="52">
        <v>1.23</v>
      </c>
      <c r="M467" s="52">
        <v>1.2</v>
      </c>
    </row>
    <row r="468" spans="1:13">
      <c r="A468" s="52">
        <v>1998.03</v>
      </c>
      <c r="B468" s="52">
        <v>0.8</v>
      </c>
      <c r="C468" s="52">
        <v>0.45</v>
      </c>
      <c r="D468" s="52">
        <v>0.7</v>
      </c>
      <c r="E468" s="52">
        <v>0.43</v>
      </c>
      <c r="F468" s="52">
        <v>0.68</v>
      </c>
      <c r="G468" s="52">
        <v>0.63</v>
      </c>
      <c r="H468" s="52">
        <v>0.72</v>
      </c>
      <c r="I468" s="52">
        <v>0.95</v>
      </c>
      <c r="J468" s="52">
        <v>0.83</v>
      </c>
      <c r="K468" s="52">
        <v>0.89</v>
      </c>
      <c r="L468" s="52">
        <v>0.73</v>
      </c>
      <c r="M468" s="52">
        <v>0.8</v>
      </c>
    </row>
    <row r="469" spans="1:13">
      <c r="A469" s="52">
        <v>1998.04</v>
      </c>
      <c r="B469" s="52">
        <v>0.45</v>
      </c>
      <c r="C469" s="52">
        <v>0.43</v>
      </c>
      <c r="D469" s="52">
        <v>0.46</v>
      </c>
      <c r="E469" s="52">
        <v>0.44</v>
      </c>
      <c r="F469" s="52">
        <v>0.55000000000000004</v>
      </c>
      <c r="G469" s="52">
        <v>0.55000000000000004</v>
      </c>
      <c r="H469" s="52">
        <v>0.59</v>
      </c>
      <c r="I469" s="52">
        <v>0.65</v>
      </c>
      <c r="J469" s="52">
        <v>0.69</v>
      </c>
      <c r="K469" s="52">
        <v>0.67</v>
      </c>
      <c r="L469" s="52">
        <v>0.63</v>
      </c>
      <c r="M469" s="52">
        <v>0.72</v>
      </c>
    </row>
    <row r="470" spans="1:13">
      <c r="A470" s="52">
        <v>1998.05</v>
      </c>
      <c r="B470" s="52">
        <v>0.44</v>
      </c>
      <c r="C470" s="52">
        <v>0.41</v>
      </c>
      <c r="D470" s="52">
        <v>0.47</v>
      </c>
      <c r="E470" s="52">
        <v>0.43</v>
      </c>
      <c r="F470" s="52">
        <v>0.51</v>
      </c>
      <c r="G470" s="52">
        <v>0.49</v>
      </c>
      <c r="H470" s="52">
        <v>0.55000000000000004</v>
      </c>
      <c r="I470" s="52">
        <v>0.55000000000000004</v>
      </c>
      <c r="J470" s="52">
        <v>0.56999999999999995</v>
      </c>
      <c r="K470" s="52">
        <v>0.55000000000000004</v>
      </c>
      <c r="L470" s="52">
        <v>0.56999999999999995</v>
      </c>
      <c r="M470" s="52">
        <v>0.61</v>
      </c>
    </row>
    <row r="471" spans="1:13">
      <c r="A471" s="52">
        <v>1998.06</v>
      </c>
      <c r="B471" s="52">
        <v>0.32</v>
      </c>
      <c r="C471" s="52">
        <v>0.41</v>
      </c>
      <c r="D471" s="52">
        <v>0.34</v>
      </c>
      <c r="E471" s="52">
        <v>0.44</v>
      </c>
      <c r="F471" s="52">
        <v>0.69</v>
      </c>
      <c r="G471" s="52">
        <v>0.53</v>
      </c>
      <c r="H471" s="52">
        <v>0.75</v>
      </c>
      <c r="I471" s="52">
        <v>0.56999999999999995</v>
      </c>
      <c r="J471" s="52">
        <v>0.62</v>
      </c>
      <c r="K471" s="52">
        <v>0.6</v>
      </c>
      <c r="L471" s="52">
        <v>0.7</v>
      </c>
      <c r="M471" s="52">
        <v>0.63</v>
      </c>
    </row>
    <row r="472" spans="1:13">
      <c r="A472" s="52">
        <v>1998.07</v>
      </c>
      <c r="B472" s="52">
        <v>0.43</v>
      </c>
      <c r="C472" s="52">
        <v>0.39</v>
      </c>
      <c r="D472" s="52">
        <v>0.46</v>
      </c>
      <c r="E472" s="52">
        <v>0.41</v>
      </c>
      <c r="F472" s="52">
        <v>0.62</v>
      </c>
      <c r="G472" s="52">
        <v>0.57999999999999996</v>
      </c>
      <c r="H472" s="52">
        <v>0.69</v>
      </c>
      <c r="I472" s="52">
        <v>0.65</v>
      </c>
      <c r="J472" s="52">
        <v>0.8</v>
      </c>
      <c r="K472" s="52">
        <v>0.69</v>
      </c>
      <c r="L472" s="52">
        <v>0.8</v>
      </c>
      <c r="M472" s="52">
        <v>0.76</v>
      </c>
    </row>
    <row r="473" spans="1:13">
      <c r="A473" s="52">
        <v>1998.08</v>
      </c>
      <c r="B473" s="52">
        <v>0.43</v>
      </c>
      <c r="C473" s="52">
        <v>0.4</v>
      </c>
      <c r="D473" s="52">
        <v>0.45</v>
      </c>
      <c r="E473" s="52">
        <v>0.43</v>
      </c>
      <c r="F473" s="52">
        <v>0.54</v>
      </c>
      <c r="G473" s="52">
        <v>0.55000000000000004</v>
      </c>
      <c r="H473" s="52">
        <v>0.81</v>
      </c>
      <c r="I473" s="52">
        <v>0.64</v>
      </c>
      <c r="J473" s="52">
        <v>0.81</v>
      </c>
      <c r="K473" s="52">
        <v>0.75</v>
      </c>
      <c r="L473" s="52">
        <v>0.85</v>
      </c>
      <c r="M473" s="52">
        <v>0.84</v>
      </c>
    </row>
    <row r="474" spans="1:13">
      <c r="A474" s="52">
        <v>1998.09</v>
      </c>
      <c r="B474" s="52">
        <v>0.61</v>
      </c>
      <c r="C474" s="52">
        <v>0.3</v>
      </c>
      <c r="D474" s="52">
        <v>0.47</v>
      </c>
      <c r="E474" s="52">
        <v>0.32</v>
      </c>
      <c r="F474" s="52">
        <v>0.45</v>
      </c>
      <c r="G474" s="52">
        <v>0.48</v>
      </c>
      <c r="H474" s="52">
        <v>0.42</v>
      </c>
      <c r="I474" s="52">
        <v>0.6</v>
      </c>
      <c r="J474" s="52">
        <v>0.75</v>
      </c>
      <c r="K474" s="52">
        <v>0.67</v>
      </c>
      <c r="L474" s="52">
        <v>0.65</v>
      </c>
      <c r="M474" s="52">
        <v>0.73</v>
      </c>
    </row>
    <row r="475" spans="1:13">
      <c r="A475" s="52">
        <v>1998.1</v>
      </c>
      <c r="B475" s="52">
        <v>0.32</v>
      </c>
      <c r="C475" s="52">
        <v>0.22</v>
      </c>
      <c r="D475" s="52">
        <v>0.33</v>
      </c>
      <c r="E475" s="52">
        <v>0.24</v>
      </c>
      <c r="F475" s="52">
        <v>0.38</v>
      </c>
      <c r="G475" s="52">
        <v>0.39</v>
      </c>
      <c r="H475" s="52">
        <v>0.47</v>
      </c>
      <c r="I475" s="52">
        <v>0.47</v>
      </c>
      <c r="J475" s="52">
        <v>0.53</v>
      </c>
      <c r="K475" s="52">
        <v>0.53</v>
      </c>
      <c r="L475" s="52">
        <v>0.85</v>
      </c>
      <c r="M475" s="52">
        <v>0.66</v>
      </c>
    </row>
    <row r="476" spans="1:13">
      <c r="A476" s="52">
        <v>1998.11</v>
      </c>
      <c r="B476" s="52">
        <v>0.31</v>
      </c>
      <c r="C476" s="52">
        <v>0.19</v>
      </c>
      <c r="D476" s="52">
        <v>0.3</v>
      </c>
      <c r="E476" s="52">
        <v>0.2</v>
      </c>
      <c r="F476" s="52">
        <v>0.54</v>
      </c>
      <c r="G476" s="52">
        <v>0.35</v>
      </c>
      <c r="H476" s="52">
        <v>0.87</v>
      </c>
      <c r="I476" s="52">
        <v>0.49</v>
      </c>
      <c r="J476" s="52">
        <v>0.7</v>
      </c>
      <c r="K476" s="52">
        <v>0.68</v>
      </c>
      <c r="L476" s="52">
        <v>0.75</v>
      </c>
      <c r="M476" s="52">
        <v>0.84</v>
      </c>
    </row>
    <row r="477" spans="1:13">
      <c r="A477" s="52">
        <v>1998.12</v>
      </c>
      <c r="B477" s="52">
        <v>0.34</v>
      </c>
      <c r="C477" s="52">
        <v>0.24</v>
      </c>
      <c r="D477" s="52">
        <v>0.32</v>
      </c>
      <c r="E477" s="52">
        <v>0.25</v>
      </c>
      <c r="F477" s="52">
        <v>0.51</v>
      </c>
      <c r="G477" s="52">
        <v>0.44</v>
      </c>
      <c r="H477" s="52">
        <v>0.54</v>
      </c>
      <c r="I477" s="52">
        <v>0.66</v>
      </c>
      <c r="J477" s="52">
        <v>0.55000000000000004</v>
      </c>
      <c r="K477" s="52">
        <v>0.65</v>
      </c>
      <c r="L477" s="52">
        <v>0.62</v>
      </c>
      <c r="M477" s="52">
        <v>0.79</v>
      </c>
    </row>
    <row r="478" spans="1:13">
      <c r="A478" s="52">
        <v>1999.01</v>
      </c>
      <c r="B478" s="52">
        <v>0.22</v>
      </c>
      <c r="C478" s="52">
        <v>0.2</v>
      </c>
      <c r="D478" s="52">
        <v>0.24</v>
      </c>
      <c r="E478" s="52">
        <v>0.23</v>
      </c>
      <c r="F478" s="52">
        <v>0.34</v>
      </c>
      <c r="G478" s="52">
        <v>0.35</v>
      </c>
      <c r="H478" s="52">
        <v>0.4</v>
      </c>
      <c r="I478" s="52">
        <v>0.51</v>
      </c>
      <c r="J478" s="52">
        <v>0.75</v>
      </c>
      <c r="K478" s="52">
        <v>0.52</v>
      </c>
      <c r="L478" s="52">
        <v>0.75</v>
      </c>
      <c r="M478" s="52">
        <v>0.75</v>
      </c>
    </row>
    <row r="479" spans="1:13">
      <c r="A479" s="52">
        <v>1999.02</v>
      </c>
      <c r="B479" s="52">
        <v>7.0000000000000007E-2</v>
      </c>
      <c r="C479" s="52">
        <v>0.14000000000000001</v>
      </c>
      <c r="D479" s="52">
        <v>0.1</v>
      </c>
      <c r="E479" s="52">
        <v>0.18</v>
      </c>
      <c r="F479" s="52">
        <v>0.2</v>
      </c>
      <c r="G479" s="52">
        <v>0.23</v>
      </c>
      <c r="H479" s="52">
        <v>0.37</v>
      </c>
      <c r="I479" s="52">
        <v>0.34</v>
      </c>
      <c r="J479" s="52">
        <v>0.39</v>
      </c>
      <c r="K479" s="52">
        <v>0.53</v>
      </c>
      <c r="L479" s="52">
        <v>0.8</v>
      </c>
      <c r="M479" s="52">
        <v>0.55000000000000004</v>
      </c>
    </row>
    <row r="480" spans="1:13">
      <c r="A480" s="52">
        <v>1999.03</v>
      </c>
      <c r="B480" s="52">
        <v>0.02</v>
      </c>
      <c r="C480" s="52">
        <v>0.02</v>
      </c>
      <c r="D480" s="52">
        <v>0.05</v>
      </c>
      <c r="E480" s="52">
        <v>0.04</v>
      </c>
      <c r="F480" s="52">
        <v>0.14000000000000001</v>
      </c>
      <c r="G480" s="52">
        <v>0.14000000000000001</v>
      </c>
      <c r="H480" s="52">
        <v>0.18</v>
      </c>
      <c r="I480" s="52">
        <v>0.22</v>
      </c>
      <c r="J480" s="52">
        <v>0.3</v>
      </c>
      <c r="K480" s="52">
        <v>0.24</v>
      </c>
      <c r="L480" s="52">
        <v>0.38</v>
      </c>
      <c r="M480" s="52">
        <v>0.39</v>
      </c>
    </row>
    <row r="481" spans="1:13">
      <c r="A481" s="52">
        <v>1999.04</v>
      </c>
      <c r="B481" s="52">
        <v>0.01</v>
      </c>
      <c r="C481" s="52">
        <v>0.01</v>
      </c>
      <c r="D481" s="52">
        <v>0.03</v>
      </c>
      <c r="E481" s="52">
        <v>0.03</v>
      </c>
      <c r="F481" s="52">
        <v>0.12</v>
      </c>
      <c r="G481" s="52">
        <v>0.08</v>
      </c>
      <c r="H481" s="52">
        <v>0.19</v>
      </c>
      <c r="I481" s="52">
        <v>0.15</v>
      </c>
      <c r="J481" s="52">
        <v>0.08</v>
      </c>
      <c r="K481" s="52">
        <v>0.13</v>
      </c>
      <c r="L481" s="52">
        <v>0.18</v>
      </c>
      <c r="M481" s="52">
        <v>0.16</v>
      </c>
    </row>
    <row r="482" spans="1:13">
      <c r="A482" s="52">
        <v>1999.05</v>
      </c>
      <c r="B482" s="52">
        <v>0.01</v>
      </c>
      <c r="C482" s="52">
        <v>0.01</v>
      </c>
      <c r="D482" s="52">
        <v>0.03</v>
      </c>
      <c r="E482" s="52">
        <v>0.03</v>
      </c>
      <c r="F482" s="52">
        <v>0.1</v>
      </c>
      <c r="G482" s="52">
        <v>0.08</v>
      </c>
      <c r="H482" s="52">
        <v>0.05</v>
      </c>
      <c r="I482" s="52">
        <v>0.11</v>
      </c>
      <c r="J482" s="52">
        <v>0.04</v>
      </c>
      <c r="K482" s="52">
        <v>7.0000000000000007E-2</v>
      </c>
      <c r="L482" s="52">
        <v>0.28000000000000003</v>
      </c>
      <c r="M482" s="52">
        <v>0.15</v>
      </c>
    </row>
    <row r="483" spans="1:13">
      <c r="A483" s="52">
        <v>1999.06</v>
      </c>
      <c r="B483" s="52">
        <v>0.01</v>
      </c>
      <c r="C483" s="52">
        <v>0.01</v>
      </c>
      <c r="D483" s="52">
        <v>0.03</v>
      </c>
      <c r="E483" s="52">
        <v>0.03</v>
      </c>
      <c r="F483" s="52">
        <v>0.09</v>
      </c>
      <c r="G483" s="52">
        <v>0.09</v>
      </c>
      <c r="H483" s="52">
        <v>0.41</v>
      </c>
      <c r="I483" s="52">
        <v>0.16</v>
      </c>
      <c r="J483" s="52">
        <v>0.06</v>
      </c>
      <c r="K483" s="52">
        <v>0.06</v>
      </c>
      <c r="L483" s="52">
        <v>0.08</v>
      </c>
      <c r="M483" s="52">
        <v>0.15</v>
      </c>
    </row>
    <row r="484" spans="1:13">
      <c r="A484" s="52">
        <v>1999.07</v>
      </c>
      <c r="B484" s="52">
        <v>0.01</v>
      </c>
      <c r="C484" s="52">
        <v>0.01</v>
      </c>
      <c r="D484" s="52">
        <v>0.03</v>
      </c>
      <c r="E484" s="52">
        <v>0.03</v>
      </c>
      <c r="F484" s="52">
        <v>7.0000000000000007E-2</v>
      </c>
      <c r="G484" s="52">
        <v>0.11</v>
      </c>
      <c r="H484" s="52">
        <v>0.3</v>
      </c>
      <c r="I484" s="52">
        <v>0.14000000000000001</v>
      </c>
      <c r="J484" s="52">
        <v>0.1</v>
      </c>
      <c r="K484" s="52">
        <v>7.0000000000000007E-2</v>
      </c>
      <c r="L484" s="52">
        <v>0.45</v>
      </c>
      <c r="M484" s="52">
        <v>0.14000000000000001</v>
      </c>
    </row>
    <row r="485" spans="1:13">
      <c r="A485" s="52">
        <v>1999.08</v>
      </c>
      <c r="B485" s="52">
        <v>0.01</v>
      </c>
      <c r="C485" s="52">
        <v>0.01</v>
      </c>
      <c r="D485" s="52">
        <v>0.03</v>
      </c>
      <c r="E485" s="52">
        <v>0.03</v>
      </c>
      <c r="F485" s="52">
        <v>0.08</v>
      </c>
      <c r="G485" s="52">
        <v>0.12</v>
      </c>
      <c r="H485" s="52">
        <v>0.09</v>
      </c>
      <c r="I485" s="52">
        <v>0.15</v>
      </c>
      <c r="J485" s="52">
        <v>0.1</v>
      </c>
      <c r="K485" s="52">
        <v>0.08</v>
      </c>
      <c r="L485" s="52">
        <v>0.09</v>
      </c>
      <c r="M485" s="52">
        <v>0.12</v>
      </c>
    </row>
    <row r="486" spans="1:13">
      <c r="A486" s="52">
        <v>1999.09</v>
      </c>
      <c r="B486" s="52">
        <v>0.02</v>
      </c>
      <c r="C486" s="52">
        <v>0.01</v>
      </c>
      <c r="D486" s="52">
        <v>0.05</v>
      </c>
      <c r="E486" s="52">
        <v>0.03</v>
      </c>
      <c r="F486" s="52">
        <v>0.1</v>
      </c>
      <c r="G486" s="52">
        <v>0.11</v>
      </c>
      <c r="H486" s="52">
        <v>0.1</v>
      </c>
      <c r="I486" s="52">
        <v>0.22</v>
      </c>
      <c r="J486" s="52">
        <v>0.08</v>
      </c>
      <c r="K486" s="52">
        <v>0.08</v>
      </c>
      <c r="L486" s="52">
        <v>0.2</v>
      </c>
      <c r="M486" s="52">
        <v>0.2</v>
      </c>
    </row>
    <row r="487" spans="1:13">
      <c r="A487" s="52">
        <v>1999.1</v>
      </c>
      <c r="B487" s="52">
        <v>0.01</v>
      </c>
      <c r="C487" s="52">
        <v>0.01</v>
      </c>
      <c r="D487" s="52">
        <v>0.02</v>
      </c>
      <c r="E487" s="52">
        <v>0.02</v>
      </c>
      <c r="F487" s="52">
        <v>0.26</v>
      </c>
      <c r="G487" s="52">
        <v>0.15</v>
      </c>
      <c r="H487" s="52">
        <v>0.35</v>
      </c>
      <c r="I487" s="52">
        <v>0.2</v>
      </c>
      <c r="J487" s="52">
        <v>0.5</v>
      </c>
      <c r="K487" s="52">
        <v>0.22</v>
      </c>
      <c r="L487" s="52">
        <v>0.33</v>
      </c>
      <c r="M487" s="52">
        <v>0.31</v>
      </c>
    </row>
    <row r="488" spans="1:13">
      <c r="A488" s="52">
        <v>1999.11</v>
      </c>
      <c r="B488" s="52">
        <v>0.01</v>
      </c>
      <c r="C488" s="52">
        <v>0.01</v>
      </c>
      <c r="D488" s="52">
        <v>0.02</v>
      </c>
      <c r="E488" s="52">
        <v>0.03</v>
      </c>
      <c r="F488" s="52">
        <v>0.17</v>
      </c>
      <c r="G488" s="52">
        <v>0.17</v>
      </c>
      <c r="H488" s="52">
        <v>0.5</v>
      </c>
      <c r="I488" s="52">
        <v>0.26</v>
      </c>
      <c r="J488" s="52">
        <v>0.46</v>
      </c>
      <c r="K488" s="52">
        <v>0.43</v>
      </c>
      <c r="L488" s="52">
        <v>0.28000000000000003</v>
      </c>
      <c r="M488" s="52">
        <v>0.45</v>
      </c>
    </row>
    <row r="489" spans="1:13">
      <c r="A489" s="52">
        <v>1999.12</v>
      </c>
      <c r="B489" s="52">
        <v>0.01</v>
      </c>
      <c r="C489" s="52">
        <v>0.01</v>
      </c>
      <c r="D489" s="52">
        <v>0.05</v>
      </c>
      <c r="E489" s="52">
        <v>0.02</v>
      </c>
      <c r="F489" s="52">
        <v>0.18</v>
      </c>
      <c r="G489" s="52">
        <v>0.22</v>
      </c>
      <c r="H489" s="52">
        <v>0.61</v>
      </c>
      <c r="I489" s="52">
        <v>0.55000000000000004</v>
      </c>
      <c r="J489" s="52">
        <v>0.25</v>
      </c>
      <c r="K489" s="52">
        <v>0.46</v>
      </c>
      <c r="L489" s="52">
        <v>0.6</v>
      </c>
      <c r="M489" s="52">
        <v>0.28000000000000003</v>
      </c>
    </row>
    <row r="490" spans="1:13">
      <c r="A490" s="52">
        <v>2000.01</v>
      </c>
      <c r="B490" s="52">
        <v>0.01</v>
      </c>
      <c r="C490" s="52">
        <v>0.01</v>
      </c>
      <c r="D490" s="52">
        <v>0.02</v>
      </c>
      <c r="E490" s="52">
        <v>0.02</v>
      </c>
      <c r="F490" s="52">
        <v>0.09</v>
      </c>
      <c r="G490" s="52">
        <v>0.13</v>
      </c>
      <c r="H490" s="52">
        <v>0.48</v>
      </c>
      <c r="I490" s="52">
        <v>0.31</v>
      </c>
      <c r="J490" s="52">
        <v>0.54</v>
      </c>
      <c r="K490" s="52">
        <v>0.42</v>
      </c>
      <c r="L490" s="52">
        <v>0.17</v>
      </c>
      <c r="M490" s="52">
        <v>0.12</v>
      </c>
    </row>
    <row r="491" spans="1:13">
      <c r="A491" s="52">
        <v>2000.02</v>
      </c>
      <c r="B491" s="52">
        <v>0.02</v>
      </c>
      <c r="C491" s="52">
        <v>0.02</v>
      </c>
      <c r="D491" s="52">
        <v>0.05</v>
      </c>
      <c r="E491" s="52">
        <v>0.03</v>
      </c>
      <c r="F491" s="52">
        <v>0.14000000000000001</v>
      </c>
      <c r="G491" s="52">
        <v>0.12</v>
      </c>
      <c r="H491" s="52">
        <v>0.19</v>
      </c>
      <c r="I491" s="52">
        <v>0.31</v>
      </c>
      <c r="J491" s="52">
        <v>0.11</v>
      </c>
      <c r="K491" s="52">
        <v>0.1</v>
      </c>
      <c r="L491" s="52">
        <v>0.1</v>
      </c>
      <c r="M491" s="52">
        <v>0.14000000000000001</v>
      </c>
    </row>
    <row r="492" spans="1:13">
      <c r="A492" s="52">
        <v>2000.03</v>
      </c>
      <c r="B492" s="52">
        <v>0.01</v>
      </c>
      <c r="C492" s="52">
        <v>0.01</v>
      </c>
      <c r="D492" s="52">
        <v>0.04</v>
      </c>
      <c r="E492" s="52">
        <v>0.02</v>
      </c>
      <c r="F492" s="52">
        <v>0.2</v>
      </c>
      <c r="G492" s="52">
        <v>0.17</v>
      </c>
      <c r="H492" s="52">
        <v>0.15</v>
      </c>
      <c r="I492" s="52">
        <v>0.22</v>
      </c>
      <c r="J492" s="52">
        <v>0.53</v>
      </c>
      <c r="K492" s="52">
        <v>0.31</v>
      </c>
      <c r="L492" s="52">
        <v>0.61</v>
      </c>
      <c r="M492" s="52">
        <v>0.26</v>
      </c>
    </row>
    <row r="493" spans="1:13">
      <c r="A493" s="52">
        <v>2000.04</v>
      </c>
      <c r="B493" s="52">
        <v>0.01</v>
      </c>
      <c r="C493" s="52">
        <v>0.01</v>
      </c>
      <c r="D493" s="52">
        <v>0.02</v>
      </c>
      <c r="E493" s="52">
        <v>0.02</v>
      </c>
      <c r="F493" s="52">
        <v>0.11</v>
      </c>
      <c r="G493" s="52">
        <v>0.15</v>
      </c>
      <c r="H493" s="52">
        <v>0.22</v>
      </c>
      <c r="I493" s="52">
        <v>0.22</v>
      </c>
      <c r="J493" s="52">
        <v>0.14000000000000001</v>
      </c>
      <c r="K493" s="52">
        <v>0.12</v>
      </c>
      <c r="L493" s="52">
        <v>0.15</v>
      </c>
      <c r="M493" s="52">
        <v>0.13</v>
      </c>
    </row>
    <row r="494" spans="1:13">
      <c r="A494" s="52">
        <v>2000.05</v>
      </c>
      <c r="B494" s="52">
        <v>0.01</v>
      </c>
      <c r="C494" s="52">
        <v>0.01</v>
      </c>
      <c r="D494" s="52">
        <v>0.03</v>
      </c>
      <c r="E494" s="52">
        <v>0.02</v>
      </c>
      <c r="F494" s="52">
        <v>0.19</v>
      </c>
      <c r="G494" s="52">
        <v>0.13</v>
      </c>
      <c r="H494" s="52">
        <v>0.49</v>
      </c>
      <c r="I494" s="52">
        <v>0.31</v>
      </c>
      <c r="J494" s="52">
        <v>0.05</v>
      </c>
      <c r="K494" s="52">
        <v>0.16</v>
      </c>
      <c r="L494" s="52">
        <v>0.49</v>
      </c>
      <c r="M494" s="52">
        <v>0.16</v>
      </c>
    </row>
    <row r="495" spans="1:13">
      <c r="A495" s="52">
        <v>2000.06</v>
      </c>
      <c r="B495" s="52">
        <v>0.01</v>
      </c>
      <c r="C495" s="52">
        <v>0.01</v>
      </c>
      <c r="D495" s="52">
        <v>0.03</v>
      </c>
      <c r="E495" s="52">
        <v>0.02</v>
      </c>
      <c r="F495" s="52">
        <v>7.0000000000000007E-2</v>
      </c>
      <c r="G495" s="52">
        <v>0.12</v>
      </c>
      <c r="H495" s="52">
        <v>0.2</v>
      </c>
      <c r="I495" s="52">
        <v>0.23</v>
      </c>
      <c r="J495" s="52">
        <v>0.18</v>
      </c>
      <c r="K495" s="52">
        <v>0.11</v>
      </c>
      <c r="L495" s="52">
        <v>0.11</v>
      </c>
      <c r="M495" s="52">
        <v>0.09</v>
      </c>
    </row>
    <row r="496" spans="1:13">
      <c r="A496" s="53">
        <v>2000.07</v>
      </c>
      <c r="B496" s="52">
        <v>0.01</v>
      </c>
      <c r="C496" s="52">
        <v>0.01</v>
      </c>
      <c r="D496" s="52">
        <v>0.02</v>
      </c>
      <c r="E496" s="52">
        <v>0.02</v>
      </c>
      <c r="F496" s="52">
        <v>0.12</v>
      </c>
      <c r="G496" s="52">
        <v>0.13</v>
      </c>
      <c r="H496" s="52">
        <v>0.19</v>
      </c>
      <c r="I496" s="52">
        <v>0.28000000000000003</v>
      </c>
      <c r="J496" s="52">
        <v>0.1</v>
      </c>
      <c r="K496" s="52">
        <v>0.15</v>
      </c>
      <c r="L496" s="52">
        <v>0.19</v>
      </c>
      <c r="M496" s="52">
        <v>0.33</v>
      </c>
    </row>
    <row r="497" spans="1:13">
      <c r="A497" s="53">
        <v>2000.08</v>
      </c>
      <c r="B497" s="52">
        <v>0.24</v>
      </c>
      <c r="C497" s="52">
        <v>0.14000000000000001</v>
      </c>
      <c r="D497" s="52">
        <v>0.25</v>
      </c>
      <c r="E497" s="52">
        <v>0.16</v>
      </c>
      <c r="F497" s="52">
        <v>0.3</v>
      </c>
      <c r="G497" s="52">
        <v>0.24</v>
      </c>
      <c r="H497" s="52">
        <v>0.4</v>
      </c>
      <c r="I497" s="52">
        <v>0.36</v>
      </c>
      <c r="J497" s="52">
        <v>0.4</v>
      </c>
      <c r="K497" s="52">
        <v>0.25</v>
      </c>
      <c r="L497" s="52">
        <v>0.44</v>
      </c>
      <c r="M497" s="52">
        <v>0.33</v>
      </c>
    </row>
    <row r="498" spans="1:13">
      <c r="A498" s="53">
        <v>2000.09</v>
      </c>
      <c r="B498" s="52">
        <v>0.24</v>
      </c>
      <c r="C498" s="52">
        <v>0.23</v>
      </c>
      <c r="D498" s="52">
        <v>0.28000000000000003</v>
      </c>
      <c r="E498" s="52">
        <v>0.25</v>
      </c>
      <c r="F498" s="52">
        <v>0.32</v>
      </c>
      <c r="G498" s="52">
        <v>0.35</v>
      </c>
      <c r="H498" s="52">
        <v>0.5</v>
      </c>
      <c r="I498" s="52">
        <v>0.5</v>
      </c>
      <c r="J498" s="52">
        <v>0.39</v>
      </c>
      <c r="K498" s="52">
        <v>0.43</v>
      </c>
      <c r="L498" s="52">
        <v>0.41</v>
      </c>
      <c r="M498" s="52">
        <v>0.4</v>
      </c>
    </row>
    <row r="499" spans="1:13">
      <c r="A499" s="53">
        <v>2000.1</v>
      </c>
      <c r="B499" s="52">
        <v>0.24</v>
      </c>
      <c r="C499" s="52">
        <v>0.23</v>
      </c>
      <c r="D499" s="52">
        <v>0.25</v>
      </c>
      <c r="E499" s="52">
        <v>0.25</v>
      </c>
      <c r="F499" s="52">
        <v>0.33</v>
      </c>
      <c r="G499" s="52">
        <v>0.31</v>
      </c>
      <c r="H499" s="52">
        <v>0.62</v>
      </c>
      <c r="I499" s="52">
        <v>0.38</v>
      </c>
      <c r="J499" s="52">
        <v>0.71</v>
      </c>
      <c r="K499" s="52">
        <v>0.69</v>
      </c>
      <c r="L499" s="52">
        <v>0.59</v>
      </c>
      <c r="M499" s="52">
        <v>0.56999999999999995</v>
      </c>
    </row>
    <row r="500" spans="1:13">
      <c r="A500" s="53">
        <v>2000.11</v>
      </c>
      <c r="B500" s="52">
        <v>0.24</v>
      </c>
      <c r="C500" s="52">
        <v>0.23</v>
      </c>
      <c r="D500" s="52">
        <v>0.26</v>
      </c>
      <c r="E500" s="52">
        <v>0.25</v>
      </c>
      <c r="F500" s="52">
        <v>0.32</v>
      </c>
      <c r="G500" s="52">
        <v>0.34</v>
      </c>
      <c r="H500" s="52">
        <v>0.96</v>
      </c>
      <c r="I500" s="52">
        <v>0.42</v>
      </c>
      <c r="J500" s="52">
        <v>0.64</v>
      </c>
      <c r="K500" s="52">
        <v>0.62</v>
      </c>
      <c r="L500" s="52">
        <v>0.66</v>
      </c>
      <c r="M500" s="52">
        <v>0.63</v>
      </c>
    </row>
    <row r="501" spans="1:13">
      <c r="A501" s="53">
        <v>2000.12</v>
      </c>
      <c r="B501" s="52">
        <v>0.22</v>
      </c>
      <c r="C501" s="52">
        <v>0.23</v>
      </c>
      <c r="D501" s="52">
        <v>0.2</v>
      </c>
      <c r="E501" s="52">
        <v>0.24</v>
      </c>
      <c r="F501" s="52">
        <v>0.35</v>
      </c>
      <c r="G501" s="52">
        <v>0.41</v>
      </c>
      <c r="H501" s="52">
        <v>0.75</v>
      </c>
      <c r="I501" s="52">
        <v>0.85</v>
      </c>
      <c r="J501" s="52">
        <v>0.7</v>
      </c>
      <c r="K501" s="52">
        <v>0.69</v>
      </c>
      <c r="L501" s="52">
        <v>0.68</v>
      </c>
      <c r="M501" s="52">
        <v>0.66</v>
      </c>
    </row>
    <row r="502" spans="1:13">
      <c r="A502" s="53">
        <v>2001.01</v>
      </c>
      <c r="B502" s="52">
        <v>0.24</v>
      </c>
      <c r="C502" s="52">
        <v>0.24</v>
      </c>
      <c r="D502" s="52">
        <v>0.25</v>
      </c>
      <c r="E502" s="52">
        <v>0.25</v>
      </c>
      <c r="F502" s="52">
        <v>0.36</v>
      </c>
      <c r="G502" s="52">
        <v>0.37</v>
      </c>
      <c r="H502" s="52">
        <v>0.45</v>
      </c>
      <c r="I502" s="52">
        <v>0.43</v>
      </c>
      <c r="J502" s="52">
        <v>0.36</v>
      </c>
      <c r="K502" s="52">
        <v>0.57999999999999996</v>
      </c>
      <c r="L502" s="52">
        <v>0.54</v>
      </c>
      <c r="M502" s="52">
        <v>0.55000000000000004</v>
      </c>
    </row>
    <row r="503" spans="1:13">
      <c r="A503" s="53">
        <v>2001.02</v>
      </c>
      <c r="B503" s="52">
        <v>0.24</v>
      </c>
      <c r="C503" s="52">
        <v>0.23</v>
      </c>
      <c r="D503" s="52">
        <v>0.26</v>
      </c>
      <c r="E503" s="52">
        <v>0.25</v>
      </c>
      <c r="F503" s="52">
        <v>0.28999999999999998</v>
      </c>
      <c r="G503" s="52">
        <v>0.3</v>
      </c>
      <c r="H503" s="52">
        <v>0.32</v>
      </c>
      <c r="I503" s="52">
        <v>0.37</v>
      </c>
      <c r="J503" s="52">
        <v>0.5</v>
      </c>
      <c r="K503" s="52">
        <v>0.51</v>
      </c>
      <c r="L503" s="52">
        <v>0.43</v>
      </c>
      <c r="M503" s="52">
        <v>0.45</v>
      </c>
    </row>
    <row r="504" spans="1:13">
      <c r="A504" s="53">
        <v>2001.03</v>
      </c>
      <c r="B504" s="52">
        <v>0.02</v>
      </c>
      <c r="C504" s="52">
        <v>0.08</v>
      </c>
      <c r="D504" s="52">
        <v>0.12</v>
      </c>
      <c r="E504" s="52">
        <v>0.11</v>
      </c>
      <c r="F504" s="52">
        <v>0.09</v>
      </c>
      <c r="G504" s="52">
        <v>0.15</v>
      </c>
      <c r="H504" s="52">
        <v>0.3</v>
      </c>
      <c r="I504" s="52">
        <v>0.24</v>
      </c>
      <c r="J504" s="52">
        <v>0.04</v>
      </c>
      <c r="K504" s="52">
        <v>0.28000000000000003</v>
      </c>
      <c r="L504" s="52">
        <v>0.26</v>
      </c>
      <c r="M504" s="52">
        <v>0.27</v>
      </c>
    </row>
    <row r="505" spans="1:13">
      <c r="A505" s="53">
        <v>2001.04</v>
      </c>
      <c r="B505" s="52">
        <v>0.01</v>
      </c>
      <c r="C505" s="52">
        <v>0.01</v>
      </c>
      <c r="D505" s="52">
        <v>0.02</v>
      </c>
      <c r="E505" s="52">
        <v>0.02</v>
      </c>
      <c r="F505" s="52">
        <v>0.04</v>
      </c>
      <c r="G505" s="52">
        <v>0.04</v>
      </c>
      <c r="H505" s="52">
        <v>0.11</v>
      </c>
      <c r="I505" s="52">
        <v>0.08</v>
      </c>
      <c r="J505" s="52">
        <v>0.03</v>
      </c>
      <c r="K505" s="52">
        <v>0.1</v>
      </c>
      <c r="L505" s="52">
        <v>0.02</v>
      </c>
      <c r="M505" s="52">
        <v>0.13</v>
      </c>
    </row>
    <row r="506" spans="1:13">
      <c r="A506" s="53">
        <v>2001.05</v>
      </c>
      <c r="B506" s="52">
        <v>0.01</v>
      </c>
      <c r="C506" s="52">
        <v>0.01</v>
      </c>
      <c r="D506" s="52">
        <v>0.03</v>
      </c>
      <c r="E506" s="52">
        <v>0.02</v>
      </c>
      <c r="F506" s="52">
        <v>0.02</v>
      </c>
      <c r="G506" s="52">
        <v>0.02</v>
      </c>
      <c r="H506" s="52">
        <v>0.45</v>
      </c>
      <c r="I506" s="52">
        <v>0.08</v>
      </c>
      <c r="J506" s="52">
        <v>0.02</v>
      </c>
      <c r="K506" s="52">
        <v>0.03</v>
      </c>
      <c r="L506" s="52">
        <v>0.05</v>
      </c>
      <c r="M506" s="52">
        <v>0.06</v>
      </c>
    </row>
    <row r="507" spans="1:13">
      <c r="A507" s="53">
        <v>2001.06</v>
      </c>
      <c r="B507" s="52">
        <v>0.04</v>
      </c>
      <c r="C507" s="52">
        <v>0.01</v>
      </c>
      <c r="D507" s="52">
        <v>0.06</v>
      </c>
      <c r="E507" s="52">
        <v>0.02</v>
      </c>
      <c r="F507" s="52">
        <v>0.03</v>
      </c>
      <c r="G507" s="52">
        <v>0.03</v>
      </c>
      <c r="H507" s="52">
        <v>0.05</v>
      </c>
      <c r="I507" s="52">
        <v>0.05</v>
      </c>
      <c r="J507" s="52">
        <v>0.05</v>
      </c>
      <c r="K507" s="52">
        <v>0.04</v>
      </c>
      <c r="L507" s="52">
        <v>0.08</v>
      </c>
      <c r="M507" s="52">
        <v>7.0000000000000007E-2</v>
      </c>
    </row>
    <row r="508" spans="1:13">
      <c r="A508" s="53">
        <v>2001.07</v>
      </c>
      <c r="B508" s="52">
        <v>0.01</v>
      </c>
      <c r="C508" s="52">
        <v>0.01</v>
      </c>
      <c r="D508" s="52">
        <v>0.02</v>
      </c>
      <c r="E508" s="52">
        <v>0.01</v>
      </c>
      <c r="F508" s="52">
        <v>0.05</v>
      </c>
      <c r="G508" s="52">
        <v>0.03</v>
      </c>
      <c r="H508" s="52">
        <v>0.05</v>
      </c>
      <c r="I508" s="52">
        <v>0.13</v>
      </c>
      <c r="J508" s="52">
        <v>0.04</v>
      </c>
      <c r="K508" s="52">
        <v>0.03</v>
      </c>
      <c r="L508" s="52">
        <v>0.06</v>
      </c>
      <c r="M508" s="52">
        <v>0.06</v>
      </c>
    </row>
    <row r="509" spans="1:13">
      <c r="A509" s="53">
        <v>2001.08</v>
      </c>
      <c r="B509" s="52">
        <v>0.01</v>
      </c>
      <c r="C509" s="52">
        <v>0.01</v>
      </c>
      <c r="D509" s="52">
        <v>0.01</v>
      </c>
      <c r="E509" s="52">
        <v>0.01</v>
      </c>
      <c r="F509" s="52">
        <v>0.01</v>
      </c>
      <c r="G509" s="52">
        <v>0.02</v>
      </c>
      <c r="H509" s="52">
        <v>0.03</v>
      </c>
      <c r="I509" s="52">
        <v>0.05</v>
      </c>
      <c r="J509" s="52">
        <v>0.23</v>
      </c>
      <c r="K509" s="52">
        <v>0.09</v>
      </c>
      <c r="L509" s="52">
        <v>0.04</v>
      </c>
      <c r="M509" s="52">
        <v>0.06</v>
      </c>
    </row>
    <row r="510" spans="1:13">
      <c r="A510" s="53">
        <v>2001.09</v>
      </c>
      <c r="B510" s="52">
        <v>1E-3</v>
      </c>
      <c r="C510" s="52">
        <v>3.0000000000000001E-3</v>
      </c>
      <c r="D510" s="52">
        <v>3.0000000000000001E-3</v>
      </c>
      <c r="E510" s="52">
        <v>5.0000000000000001E-3</v>
      </c>
      <c r="F510" s="52">
        <v>7.0000000000000001E-3</v>
      </c>
      <c r="G510" s="52">
        <v>1.9E-2</v>
      </c>
      <c r="H510" s="52">
        <v>1.4999999999999999E-2</v>
      </c>
      <c r="I510" s="52">
        <v>7.2999999999999995E-2</v>
      </c>
      <c r="J510" s="52">
        <v>0.12</v>
      </c>
      <c r="K510" s="52">
        <v>0.12</v>
      </c>
      <c r="L510" s="52">
        <v>6.4000000000000001E-2</v>
      </c>
      <c r="M510" s="52">
        <v>5.7000000000000002E-2</v>
      </c>
    </row>
    <row r="511" spans="1:13">
      <c r="A511" s="53">
        <v>2001.1</v>
      </c>
      <c r="B511" s="52">
        <v>1E-3</v>
      </c>
      <c r="C511" s="52">
        <v>1E-3</v>
      </c>
      <c r="D511" s="52">
        <v>3.0000000000000001E-3</v>
      </c>
      <c r="E511" s="52">
        <v>3.0000000000000001E-3</v>
      </c>
      <c r="F511" s="52">
        <v>8.0000000000000002E-3</v>
      </c>
      <c r="G511" s="52">
        <v>1.2999999999999999E-2</v>
      </c>
      <c r="H511" s="52">
        <v>2.4E-2</v>
      </c>
      <c r="I511" s="52">
        <v>4.5999999999999999E-2</v>
      </c>
      <c r="J511" s="52">
        <v>2.5000000000000001E-2</v>
      </c>
      <c r="K511" s="52">
        <v>2.5000000000000001E-2</v>
      </c>
      <c r="L511" s="52">
        <v>0.11</v>
      </c>
      <c r="M511" s="52">
        <v>0.108</v>
      </c>
    </row>
    <row r="512" spans="1:13">
      <c r="A512" s="53">
        <v>2001.11</v>
      </c>
      <c r="B512" s="52">
        <v>1E-3</v>
      </c>
      <c r="C512" s="52">
        <v>1E-3</v>
      </c>
      <c r="D512" s="52">
        <v>3.0000000000000001E-3</v>
      </c>
      <c r="E512" s="52">
        <v>2E-3</v>
      </c>
      <c r="F512" s="52">
        <v>4.4999999999999998E-2</v>
      </c>
      <c r="G512" s="52">
        <v>2.4E-2</v>
      </c>
      <c r="H512" s="52">
        <v>6.6000000000000003E-2</v>
      </c>
      <c r="I512" s="52">
        <v>7.0000000000000007E-2</v>
      </c>
      <c r="J512" s="52">
        <v>0.05</v>
      </c>
      <c r="K512" s="52">
        <v>4.9000000000000002E-2</v>
      </c>
      <c r="L512" s="52">
        <v>4.8000000000000001E-2</v>
      </c>
      <c r="M512" s="52">
        <v>7.0999999999999994E-2</v>
      </c>
    </row>
    <row r="513" spans="1:13">
      <c r="A513" s="53">
        <v>2001.12</v>
      </c>
      <c r="B513" s="52">
        <v>1E-3</v>
      </c>
      <c r="C513" s="52">
        <v>1E-3</v>
      </c>
      <c r="D513" s="52">
        <v>2E-3</v>
      </c>
      <c r="E513" s="52">
        <v>2E-3</v>
      </c>
      <c r="F513" s="52">
        <v>2E-3</v>
      </c>
      <c r="G513" s="52">
        <v>1.2999999999999999E-2</v>
      </c>
      <c r="H513" s="52">
        <v>8.5999999999999993E-2</v>
      </c>
      <c r="I513" s="52">
        <v>7.5999999999999998E-2</v>
      </c>
      <c r="J513" s="52">
        <v>0.06</v>
      </c>
      <c r="K513" s="52">
        <v>7.2999999999999995E-2</v>
      </c>
      <c r="L513" s="52">
        <v>6.5000000000000002E-2</v>
      </c>
      <c r="M513" s="52">
        <v>7.8E-2</v>
      </c>
    </row>
    <row r="514" spans="1:13">
      <c r="A514" s="53">
        <v>2002.01</v>
      </c>
      <c r="B514" s="52">
        <v>1E-3</v>
      </c>
      <c r="C514" s="52">
        <v>1E-3</v>
      </c>
      <c r="D514" s="52">
        <v>1E-3</v>
      </c>
      <c r="E514" s="52">
        <v>1E-3</v>
      </c>
      <c r="F514" s="52">
        <v>3.0000000000000001E-3</v>
      </c>
      <c r="G514" s="52">
        <v>8.0000000000000002E-3</v>
      </c>
      <c r="H514" s="52">
        <v>0.04</v>
      </c>
      <c r="I514" s="52">
        <v>5.8000000000000003E-2</v>
      </c>
      <c r="J514" s="52">
        <v>8.0000000000000002E-3</v>
      </c>
      <c r="K514" s="52">
        <v>3.2000000000000001E-2</v>
      </c>
      <c r="L514" s="52">
        <v>0.1</v>
      </c>
      <c r="M514" s="52">
        <v>0.14599999999999999</v>
      </c>
    </row>
    <row r="515" spans="1:13">
      <c r="A515" s="53">
        <v>2002.02</v>
      </c>
      <c r="B515" s="52">
        <v>1E-3</v>
      </c>
      <c r="C515" s="52">
        <v>1E-3</v>
      </c>
      <c r="D515" s="52">
        <v>1E-3</v>
      </c>
      <c r="E515" s="52">
        <v>1E-3</v>
      </c>
      <c r="F515" s="52">
        <v>7.0000000000000001E-3</v>
      </c>
      <c r="G515" s="52">
        <v>6.0000000000000001E-3</v>
      </c>
      <c r="H515" s="52">
        <v>0.19</v>
      </c>
      <c r="I515" s="52">
        <v>5.7000000000000002E-2</v>
      </c>
      <c r="J515" s="52">
        <v>0.16</v>
      </c>
      <c r="K515" s="52">
        <v>0.16</v>
      </c>
      <c r="L515" s="52">
        <v>0.14000000000000001</v>
      </c>
      <c r="M515" s="52">
        <v>0.14099999999999999</v>
      </c>
    </row>
    <row r="516" spans="1:13">
      <c r="A516" s="53">
        <v>2002.03</v>
      </c>
      <c r="B516" s="52">
        <v>1E-3</v>
      </c>
      <c r="C516" s="52">
        <v>1E-3</v>
      </c>
      <c r="D516" s="52">
        <v>1.2E-2</v>
      </c>
      <c r="E516" s="52">
        <v>2E-3</v>
      </c>
      <c r="F516" s="52">
        <v>1.2999999999999999E-2</v>
      </c>
      <c r="G516" s="52">
        <v>8.0000000000000002E-3</v>
      </c>
      <c r="H516" s="52">
        <v>0.15</v>
      </c>
      <c r="I516" s="52">
        <v>0.26200000000000001</v>
      </c>
      <c r="J516" s="52">
        <v>1.4999999999999999E-2</v>
      </c>
      <c r="K516" s="52">
        <v>0.23300000000000001</v>
      </c>
      <c r="L516" s="52">
        <v>0.18</v>
      </c>
      <c r="M516" s="52">
        <v>0.16400000000000001</v>
      </c>
    </row>
    <row r="517" spans="1:13">
      <c r="A517" s="53">
        <v>2002.04</v>
      </c>
      <c r="B517" s="52">
        <v>1E-3</v>
      </c>
      <c r="C517" s="52">
        <v>1E-3</v>
      </c>
      <c r="D517" s="52">
        <v>2E-3</v>
      </c>
      <c r="E517" s="52">
        <v>1E-3</v>
      </c>
      <c r="F517" s="52">
        <v>1.2999999999999999E-2</v>
      </c>
      <c r="G517" s="52">
        <v>0.01</v>
      </c>
      <c r="H517" s="52">
        <v>2.8000000000000001E-2</v>
      </c>
      <c r="I517" s="52">
        <v>0.105</v>
      </c>
      <c r="J517" s="52">
        <v>0.2</v>
      </c>
      <c r="K517" s="52">
        <v>0.115</v>
      </c>
      <c r="L517" s="52">
        <v>0.1</v>
      </c>
      <c r="M517" s="52">
        <v>7.2999999999999995E-2</v>
      </c>
    </row>
    <row r="518" spans="1:13">
      <c r="A518" s="53">
        <v>2002.05</v>
      </c>
      <c r="B518" s="52">
        <v>1E-3</v>
      </c>
      <c r="C518" s="52">
        <v>1E-3</v>
      </c>
      <c r="D518" s="52">
        <v>2E-3</v>
      </c>
      <c r="E518" s="52">
        <v>1E-3</v>
      </c>
      <c r="F518" s="52">
        <v>4.0000000000000001E-3</v>
      </c>
      <c r="G518" s="52">
        <v>1.4E-2</v>
      </c>
      <c r="H518" s="52">
        <v>6.3E-2</v>
      </c>
      <c r="I518" s="52">
        <v>0.108</v>
      </c>
      <c r="J518" s="52">
        <v>1.6E-2</v>
      </c>
      <c r="K518" s="52">
        <v>0.14499999999999999</v>
      </c>
      <c r="L518" s="52">
        <v>0.02</v>
      </c>
      <c r="M518" s="52">
        <v>5.7000000000000002E-2</v>
      </c>
    </row>
    <row r="519" spans="1:13">
      <c r="A519" s="53">
        <v>2002.06</v>
      </c>
      <c r="B519" s="52">
        <v>1E-3</v>
      </c>
      <c r="C519" s="52">
        <v>1E-3</v>
      </c>
      <c r="D519" s="52">
        <v>2E-3</v>
      </c>
      <c r="E519" s="52">
        <v>1E-3</v>
      </c>
      <c r="F519" s="52">
        <v>6.0000000000000001E-3</v>
      </c>
      <c r="G519" s="52">
        <v>1.2E-2</v>
      </c>
      <c r="H519" s="52">
        <v>6.6000000000000003E-2</v>
      </c>
      <c r="I519" s="52">
        <v>6.8000000000000005E-2</v>
      </c>
      <c r="J519" s="52">
        <v>1.7000000000000001E-2</v>
      </c>
      <c r="K519" s="52">
        <v>6.2E-2</v>
      </c>
      <c r="L519" s="52">
        <v>0.08</v>
      </c>
      <c r="M519" s="52">
        <v>7.8E-2</v>
      </c>
    </row>
    <row r="520" spans="1:13">
      <c r="A520" s="53">
        <v>2002.07</v>
      </c>
      <c r="B520" s="52">
        <v>1E-3</v>
      </c>
      <c r="C520" s="52">
        <v>1E-3</v>
      </c>
      <c r="D520" s="52">
        <v>1E-3</v>
      </c>
      <c r="E520" s="52">
        <v>2E-3</v>
      </c>
      <c r="F520" s="52">
        <v>8.0000000000000002E-3</v>
      </c>
      <c r="G520" s="52">
        <v>0.01</v>
      </c>
      <c r="H520" s="52">
        <v>2.5000000000000001E-2</v>
      </c>
      <c r="I520" s="52">
        <v>7.2999999999999995E-2</v>
      </c>
      <c r="J520" s="52">
        <v>0.2</v>
      </c>
      <c r="K520" s="52">
        <v>0.2</v>
      </c>
      <c r="L520" s="52">
        <v>0.1</v>
      </c>
      <c r="M520" s="52">
        <v>9.6000000000000002E-2</v>
      </c>
    </row>
    <row r="521" spans="1:13">
      <c r="A521" s="53">
        <v>2002.08</v>
      </c>
      <c r="B521" s="52">
        <v>1E-3</v>
      </c>
      <c r="C521" s="52">
        <v>1E-3</v>
      </c>
      <c r="D521" s="52">
        <v>2E-3</v>
      </c>
      <c r="E521" s="52">
        <v>2E-3</v>
      </c>
      <c r="F521" s="52">
        <v>4.0000000000000001E-3</v>
      </c>
      <c r="G521" s="52">
        <v>1.2E-2</v>
      </c>
      <c r="H521" s="52">
        <v>0.03</v>
      </c>
      <c r="I521" s="52">
        <v>7.9000000000000001E-2</v>
      </c>
      <c r="J521" s="52">
        <v>0.2</v>
      </c>
      <c r="K521" s="52">
        <v>0.14000000000000001</v>
      </c>
      <c r="L521" s="52">
        <v>0.08</v>
      </c>
      <c r="M521" s="52">
        <v>0.04</v>
      </c>
    </row>
    <row r="522" spans="1:13">
      <c r="A522" s="53">
        <v>2002.09</v>
      </c>
      <c r="B522" s="52">
        <v>1E-3</v>
      </c>
      <c r="C522" s="52">
        <v>1E-3</v>
      </c>
      <c r="D522" s="52">
        <v>6.7000000000000004E-2</v>
      </c>
      <c r="E522" s="52">
        <v>5.0000000000000001E-3</v>
      </c>
      <c r="F522" s="52">
        <v>6.0000000000000001E-3</v>
      </c>
      <c r="G522" s="52">
        <v>1.7999999999999999E-2</v>
      </c>
      <c r="H522" s="52">
        <v>3.5999999999999997E-2</v>
      </c>
      <c r="I522" s="52">
        <v>0.06</v>
      </c>
      <c r="J522" s="52">
        <v>0.2</v>
      </c>
      <c r="K522" s="52">
        <v>0.2</v>
      </c>
      <c r="L522" s="52">
        <v>7.0999999999999994E-2</v>
      </c>
      <c r="M522" s="52">
        <v>7.1999999999999995E-2</v>
      </c>
    </row>
    <row r="523" spans="1:13">
      <c r="A523" s="53">
        <v>2002.1</v>
      </c>
      <c r="B523" s="52">
        <v>1E-3</v>
      </c>
      <c r="C523" s="52">
        <v>1E-3</v>
      </c>
      <c r="D523" s="52">
        <v>2E-3</v>
      </c>
      <c r="E523" s="52">
        <v>2E-3</v>
      </c>
      <c r="F523" s="52">
        <v>1.4999999999999999E-2</v>
      </c>
      <c r="G523" s="52">
        <v>3.2000000000000001E-2</v>
      </c>
      <c r="H523" s="52">
        <v>0.02</v>
      </c>
      <c r="I523" s="52">
        <v>6.8000000000000005E-2</v>
      </c>
      <c r="J523" s="52">
        <v>0.14000000000000001</v>
      </c>
      <c r="K523" s="52">
        <v>0.08</v>
      </c>
      <c r="L523" s="52">
        <v>0.09</v>
      </c>
      <c r="M523" s="52">
        <v>0.09</v>
      </c>
    </row>
    <row r="524" spans="1:13">
      <c r="A524" s="53">
        <v>2002.11</v>
      </c>
      <c r="B524" s="52">
        <v>1E-3</v>
      </c>
      <c r="C524" s="52">
        <v>1E-3</v>
      </c>
      <c r="D524" s="52">
        <v>2E-3</v>
      </c>
      <c r="E524" s="52">
        <v>2E-3</v>
      </c>
      <c r="F524" s="52">
        <v>2.9000000000000001E-2</v>
      </c>
      <c r="G524" s="52">
        <v>2.9000000000000001E-2</v>
      </c>
      <c r="H524" s="52">
        <v>5.8999999999999997E-2</v>
      </c>
      <c r="I524" s="52">
        <v>9.0999999999999998E-2</v>
      </c>
      <c r="J524" s="52">
        <v>0.18</v>
      </c>
      <c r="K524" s="52">
        <v>0.18</v>
      </c>
      <c r="L524" s="52">
        <v>0.09</v>
      </c>
      <c r="M524" s="52">
        <v>8.1000000000000003E-2</v>
      </c>
    </row>
    <row r="525" spans="1:13">
      <c r="A525" s="53">
        <v>2002.12</v>
      </c>
      <c r="B525" s="52">
        <v>1E-3</v>
      </c>
      <c r="C525" s="52">
        <v>1E-3</v>
      </c>
      <c r="D525" s="52">
        <v>2E-3</v>
      </c>
      <c r="E525" s="52">
        <v>2E-3</v>
      </c>
      <c r="F525" s="52">
        <v>3.1E-2</v>
      </c>
      <c r="G525" s="52">
        <v>3.3000000000000002E-2</v>
      </c>
      <c r="H525" s="52">
        <v>7.0000000000000007E-2</v>
      </c>
      <c r="I525" s="52">
        <v>8.8999999999999996E-2</v>
      </c>
    </row>
    <row r="526" spans="1:13">
      <c r="A526" s="53">
        <v>2003.01</v>
      </c>
      <c r="B526" s="52">
        <v>1E-3</v>
      </c>
      <c r="C526" s="52">
        <v>1E-3</v>
      </c>
      <c r="D526" s="52">
        <v>1E-3</v>
      </c>
      <c r="E526" s="52">
        <v>2E-3</v>
      </c>
      <c r="F526" s="52">
        <v>1.2999999999999999E-2</v>
      </c>
      <c r="G526" s="52">
        <v>1.9E-2</v>
      </c>
      <c r="H526" s="52">
        <v>0.01</v>
      </c>
      <c r="I526" s="52">
        <v>4.2999999999999997E-2</v>
      </c>
      <c r="J526" s="52">
        <v>0.02</v>
      </c>
      <c r="K526" s="52">
        <v>0.02</v>
      </c>
      <c r="L526" s="52">
        <v>1.2999999999999999E-2</v>
      </c>
      <c r="M526" s="52">
        <v>0.09</v>
      </c>
    </row>
    <row r="527" spans="1:13">
      <c r="A527" s="53">
        <v>2003.02</v>
      </c>
      <c r="B527" s="52">
        <v>1E-3</v>
      </c>
      <c r="C527" s="52">
        <v>1E-3</v>
      </c>
      <c r="D527" s="52">
        <v>1E-3</v>
      </c>
      <c r="E527" s="52">
        <v>1E-3</v>
      </c>
      <c r="F527" s="52">
        <v>6.0000000000000001E-3</v>
      </c>
      <c r="G527" s="52">
        <v>1.0999999999999999E-2</v>
      </c>
      <c r="H527" s="52">
        <v>2.1999999999999999E-2</v>
      </c>
      <c r="I527" s="52">
        <v>4.5999999999999999E-2</v>
      </c>
      <c r="J527" s="52">
        <v>0.1</v>
      </c>
      <c r="K527" s="52">
        <v>0.1</v>
      </c>
    </row>
    <row r="528" spans="1:13">
      <c r="A528" s="53">
        <v>2003.03</v>
      </c>
      <c r="B528" s="52">
        <v>1E-3</v>
      </c>
      <c r="C528" s="52">
        <v>1E-3</v>
      </c>
      <c r="D528" s="52">
        <v>2.1000000000000001E-2</v>
      </c>
      <c r="E528" s="52">
        <v>2E-3</v>
      </c>
      <c r="F528" s="52">
        <v>1.7999999999999999E-2</v>
      </c>
      <c r="G528" s="52">
        <v>2.5000000000000001E-2</v>
      </c>
      <c r="H528" s="52">
        <v>0.04</v>
      </c>
      <c r="I528" s="52">
        <v>9.8000000000000004E-2</v>
      </c>
      <c r="J528" s="52">
        <v>0.01</v>
      </c>
      <c r="K528" s="52">
        <v>0.01</v>
      </c>
      <c r="L528" s="52">
        <v>8.8999999999999996E-2</v>
      </c>
      <c r="M528" s="52">
        <v>8.8999999999999996E-2</v>
      </c>
    </row>
    <row r="529" spans="1:13">
      <c r="A529" s="53">
        <v>2003.04</v>
      </c>
      <c r="B529" s="52">
        <v>1E-3</v>
      </c>
      <c r="C529" s="52">
        <v>1E-3</v>
      </c>
      <c r="D529" s="52">
        <v>2E-3</v>
      </c>
      <c r="E529" s="52">
        <v>1E-3</v>
      </c>
      <c r="F529" s="52">
        <v>5.0000000000000001E-3</v>
      </c>
      <c r="G529" s="52">
        <v>1.2E-2</v>
      </c>
      <c r="H529" s="52">
        <v>3.2000000000000001E-2</v>
      </c>
      <c r="I529" s="52">
        <v>4.7E-2</v>
      </c>
      <c r="L529" s="52">
        <v>0.32800000000000001</v>
      </c>
      <c r="M529" s="52">
        <v>0.22500000000000001</v>
      </c>
    </row>
    <row r="530" spans="1:13">
      <c r="A530" s="53">
        <v>2003.05</v>
      </c>
      <c r="B530" s="52">
        <v>1E-3</v>
      </c>
      <c r="C530" s="52">
        <v>1E-3</v>
      </c>
      <c r="D530" s="52">
        <v>2E-3</v>
      </c>
      <c r="E530" s="52">
        <v>1E-3</v>
      </c>
      <c r="F530" s="52">
        <v>2E-3</v>
      </c>
      <c r="G530" s="52">
        <v>8.9999999999999993E-3</v>
      </c>
      <c r="H530" s="52">
        <v>7.0000000000000001E-3</v>
      </c>
      <c r="I530" s="52">
        <v>2.5999999999999999E-2</v>
      </c>
      <c r="J530" s="52">
        <v>0.01</v>
      </c>
      <c r="K530" s="52">
        <v>1.4E-2</v>
      </c>
      <c r="L530" s="52">
        <v>0.32800000000000001</v>
      </c>
      <c r="M530" s="52">
        <v>0.126</v>
      </c>
    </row>
    <row r="531" spans="1:13">
      <c r="A531" s="53">
        <v>2003.06</v>
      </c>
      <c r="B531" s="52">
        <v>1E-3</v>
      </c>
      <c r="C531" s="52">
        <v>1E-3</v>
      </c>
      <c r="D531" s="52">
        <v>1E-3</v>
      </c>
      <c r="E531" s="52">
        <v>1E-3</v>
      </c>
      <c r="F531" s="52">
        <v>1.7999999999999999E-2</v>
      </c>
      <c r="G531" s="52">
        <v>8.0000000000000002E-3</v>
      </c>
      <c r="H531" s="52">
        <v>7.0000000000000001E-3</v>
      </c>
      <c r="I531" s="52">
        <v>0.03</v>
      </c>
      <c r="J531" s="52">
        <v>0.01</v>
      </c>
      <c r="K531" s="52">
        <v>0.01</v>
      </c>
    </row>
    <row r="532" spans="1:13">
      <c r="A532" s="53">
        <v>2003.07</v>
      </c>
      <c r="B532" s="52">
        <v>1E-3</v>
      </c>
      <c r="C532" s="52">
        <v>1E-3</v>
      </c>
      <c r="D532" s="52">
        <v>2E-3</v>
      </c>
      <c r="E532" s="52">
        <v>2E-3</v>
      </c>
      <c r="F532" s="52">
        <v>8.0000000000000002E-3</v>
      </c>
      <c r="G532" s="52">
        <v>1.2E-2</v>
      </c>
      <c r="H532" s="52">
        <v>8.0000000000000002E-3</v>
      </c>
      <c r="I532" s="52">
        <v>3.5999999999999997E-2</v>
      </c>
      <c r="L532" s="52">
        <v>8.8999999999999996E-2</v>
      </c>
      <c r="M532" s="52">
        <v>0.17199999999999999</v>
      </c>
    </row>
    <row r="533" spans="1:13">
      <c r="A533" s="53">
        <v>2003.08</v>
      </c>
      <c r="B533" s="52">
        <v>1E-3</v>
      </c>
      <c r="C533" s="52">
        <v>1E-3</v>
      </c>
      <c r="D533" s="52">
        <v>1E-3</v>
      </c>
      <c r="E533" s="52">
        <v>1E-3</v>
      </c>
      <c r="F533" s="52">
        <v>2E-3</v>
      </c>
      <c r="G533" s="52">
        <v>1.7000000000000001E-2</v>
      </c>
      <c r="H533" s="52">
        <v>4.8000000000000001E-2</v>
      </c>
      <c r="I533" s="52">
        <v>0.04</v>
      </c>
      <c r="J533" s="52">
        <v>0.02</v>
      </c>
      <c r="K533" s="52">
        <v>2.5000000000000001E-2</v>
      </c>
      <c r="L533" s="52">
        <v>0.34</v>
      </c>
      <c r="M533" s="52">
        <v>0.17299999999999999</v>
      </c>
    </row>
    <row r="534" spans="1:13">
      <c r="A534" s="53">
        <v>2003.09</v>
      </c>
      <c r="B534" s="52">
        <v>1E-3</v>
      </c>
      <c r="C534" s="52">
        <v>1E-3</v>
      </c>
      <c r="D534" s="52">
        <v>1.2999999999999999E-2</v>
      </c>
      <c r="E534" s="52">
        <v>2E-3</v>
      </c>
      <c r="F534" s="52">
        <v>0</v>
      </c>
      <c r="G534" s="52">
        <v>2.5000000000000001E-2</v>
      </c>
      <c r="H534" s="52">
        <v>2.1999999999999999E-2</v>
      </c>
      <c r="I534" s="52">
        <v>4.5999999999999999E-2</v>
      </c>
      <c r="L534" s="52">
        <v>0.08</v>
      </c>
      <c r="M534" s="52">
        <v>0.08</v>
      </c>
    </row>
    <row r="535" spans="1:13">
      <c r="A535" s="53">
        <v>2003.1</v>
      </c>
      <c r="B535" s="52">
        <v>1E-3</v>
      </c>
      <c r="C535" s="52">
        <v>1E-3</v>
      </c>
      <c r="D535" s="52">
        <v>2E-3</v>
      </c>
      <c r="E535" s="52">
        <v>1E-3</v>
      </c>
      <c r="F535" s="52">
        <v>1.7000000000000001E-2</v>
      </c>
      <c r="G535" s="52">
        <v>1.4999999999999999E-2</v>
      </c>
      <c r="H535" s="52">
        <v>0.09</v>
      </c>
      <c r="I535" s="52">
        <v>3.1E-2</v>
      </c>
      <c r="L535" s="52">
        <v>0.02</v>
      </c>
      <c r="M535" s="52">
        <v>0.14899999999999999</v>
      </c>
    </row>
    <row r="536" spans="1:13">
      <c r="A536" s="53">
        <v>2003.11</v>
      </c>
      <c r="B536" s="52">
        <v>1E-3</v>
      </c>
      <c r="C536" s="52">
        <v>1E-3</v>
      </c>
      <c r="D536" s="52">
        <v>1E-3</v>
      </c>
      <c r="E536" s="52">
        <v>1E-3</v>
      </c>
      <c r="F536" s="52">
        <v>1E-3</v>
      </c>
      <c r="G536" s="52">
        <v>8.0000000000000002E-3</v>
      </c>
      <c r="H536" s="52">
        <v>4.4999999999999998E-2</v>
      </c>
      <c r="I536" s="52">
        <v>3.5000000000000003E-2</v>
      </c>
      <c r="L536" s="52">
        <v>0.20499999999999999</v>
      </c>
      <c r="M536" s="52">
        <v>0.14299999999999999</v>
      </c>
    </row>
    <row r="537" spans="1:13">
      <c r="A537" s="53">
        <v>2003.12</v>
      </c>
      <c r="B537" s="52">
        <v>1E-3</v>
      </c>
      <c r="C537" s="52">
        <v>1E-3</v>
      </c>
      <c r="D537" s="52">
        <v>1E-3</v>
      </c>
      <c r="E537" s="52">
        <v>1E-3</v>
      </c>
      <c r="F537" s="52">
        <v>4.0000000000000001E-3</v>
      </c>
      <c r="G537" s="52">
        <v>1.7999999999999999E-2</v>
      </c>
      <c r="H537" s="52">
        <v>5.0000000000000001E-3</v>
      </c>
      <c r="I537" s="52">
        <v>4.5999999999999999E-2</v>
      </c>
      <c r="J537" s="52">
        <v>0.32800000000000001</v>
      </c>
      <c r="K537" s="52">
        <v>0.32800000000000001</v>
      </c>
      <c r="L537" s="52">
        <v>7.9000000000000001E-2</v>
      </c>
      <c r="M537" s="52">
        <v>0.08</v>
      </c>
    </row>
    <row r="538" spans="1:13">
      <c r="A538" s="53">
        <v>2004.01</v>
      </c>
      <c r="B538" s="52">
        <v>1E-3</v>
      </c>
      <c r="C538" s="52">
        <v>1E-3</v>
      </c>
      <c r="D538" s="52">
        <v>1E-3</v>
      </c>
      <c r="E538" s="52">
        <v>0</v>
      </c>
      <c r="F538" s="52">
        <v>3.3000000000000002E-2</v>
      </c>
      <c r="G538" s="52">
        <v>1.6E-2</v>
      </c>
      <c r="H538" s="52">
        <v>1.7000000000000001E-2</v>
      </c>
      <c r="I538" s="52">
        <v>1.2999999999999999E-2</v>
      </c>
      <c r="J538" s="52">
        <v>0.01</v>
      </c>
      <c r="K538" s="52">
        <v>1.4E-2</v>
      </c>
      <c r="L538" s="52">
        <v>0.28999999999999998</v>
      </c>
      <c r="M538" s="52">
        <v>0.28999999999999998</v>
      </c>
    </row>
    <row r="539" spans="1:13">
      <c r="A539" s="53">
        <v>2004.02</v>
      </c>
      <c r="B539" s="52">
        <v>1E-3</v>
      </c>
      <c r="C539" s="52">
        <v>1E-3</v>
      </c>
      <c r="D539" s="52">
        <v>1E-3</v>
      </c>
      <c r="E539" s="52">
        <v>1E-3</v>
      </c>
      <c r="F539" s="52">
        <v>7.1999999999999995E-2</v>
      </c>
      <c r="G539" s="52">
        <v>2.7E-2</v>
      </c>
      <c r="H539" s="52">
        <v>2.5000000000000001E-2</v>
      </c>
      <c r="I539" s="52">
        <v>0.02</v>
      </c>
      <c r="L539" s="52">
        <v>1E-3</v>
      </c>
      <c r="M539" s="52">
        <v>0.185</v>
      </c>
    </row>
    <row r="540" spans="1:13">
      <c r="A540" s="53">
        <v>2004.03</v>
      </c>
      <c r="B540" s="52">
        <v>1E-3</v>
      </c>
      <c r="C540" s="52">
        <v>1E-3</v>
      </c>
      <c r="D540" s="52">
        <v>5.0000000000000001E-3</v>
      </c>
      <c r="E540" s="52">
        <v>1E-3</v>
      </c>
      <c r="F540" s="52">
        <v>0.01</v>
      </c>
      <c r="G540" s="52">
        <v>1.7000000000000001E-2</v>
      </c>
      <c r="H540" s="52">
        <v>0.04</v>
      </c>
      <c r="I540" s="52">
        <v>0.04</v>
      </c>
      <c r="J540" s="52">
        <v>0.02</v>
      </c>
      <c r="K540" s="52">
        <v>0.02</v>
      </c>
    </row>
    <row r="541" spans="1:13">
      <c r="A541" s="53">
        <v>2004.04</v>
      </c>
      <c r="B541" s="52">
        <v>1E-3</v>
      </c>
      <c r="C541" s="52">
        <v>1E-3</v>
      </c>
      <c r="D541" s="52">
        <v>1E-3</v>
      </c>
      <c r="E541" s="52">
        <v>0</v>
      </c>
      <c r="F541" s="52">
        <v>1E-3</v>
      </c>
      <c r="G541" s="52">
        <v>2.7E-2</v>
      </c>
      <c r="H541" s="52">
        <v>1.9E-2</v>
      </c>
      <c r="I541" s="52">
        <v>0.02</v>
      </c>
      <c r="J541" s="52">
        <v>0.01</v>
      </c>
      <c r="K541" s="52">
        <v>8.9999999999999993E-3</v>
      </c>
      <c r="L541" s="52">
        <v>0.28000000000000003</v>
      </c>
      <c r="M541" s="52">
        <v>0.28000000000000003</v>
      </c>
    </row>
    <row r="542" spans="1:13">
      <c r="A542" s="53">
        <v>2004.05</v>
      </c>
      <c r="B542" s="52">
        <v>1E-3</v>
      </c>
      <c r="C542" s="52">
        <v>1E-3</v>
      </c>
      <c r="D542" s="52">
        <v>2E-3</v>
      </c>
      <c r="E542" s="52">
        <v>1E-3</v>
      </c>
      <c r="F542" s="52">
        <v>1E-3</v>
      </c>
      <c r="G542" s="52">
        <v>1.7000000000000001E-2</v>
      </c>
      <c r="H542" s="52">
        <v>2.8000000000000001E-2</v>
      </c>
      <c r="I542" s="52">
        <v>0.05</v>
      </c>
      <c r="J542" s="52">
        <v>0.01</v>
      </c>
      <c r="K542" s="52">
        <v>0.01</v>
      </c>
      <c r="L542" s="52">
        <v>1.4999999999999999E-2</v>
      </c>
      <c r="M542" s="52">
        <v>4.7E-2</v>
      </c>
    </row>
    <row r="543" spans="1:13">
      <c r="A543" s="53">
        <v>2004.06</v>
      </c>
      <c r="B543" s="52">
        <v>1E-3</v>
      </c>
      <c r="C543" s="52">
        <v>1E-3</v>
      </c>
      <c r="D543" s="52">
        <v>2E-3</v>
      </c>
      <c r="E543" s="52">
        <v>1E-3</v>
      </c>
      <c r="F543" s="52">
        <v>5.8000000000000003E-2</v>
      </c>
      <c r="G543" s="52">
        <v>2.5000000000000001E-2</v>
      </c>
      <c r="H543" s="52">
        <v>2.1000000000000001E-2</v>
      </c>
      <c r="I543" s="52">
        <v>1.6E-2</v>
      </c>
      <c r="J543" s="52">
        <v>0.01</v>
      </c>
      <c r="K543" s="52">
        <v>0.01</v>
      </c>
      <c r="L543" s="52">
        <v>7.9000000000000001E-2</v>
      </c>
      <c r="M543" s="52">
        <v>3.5999999999999997E-2</v>
      </c>
    </row>
    <row r="544" spans="1:13">
      <c r="A544" s="53">
        <v>2004.07</v>
      </c>
      <c r="B544" s="52">
        <v>1E-3</v>
      </c>
      <c r="C544" s="52">
        <v>1E-3</v>
      </c>
      <c r="D544" s="52">
        <v>1E-3</v>
      </c>
      <c r="E544" s="52">
        <v>0</v>
      </c>
      <c r="F544" s="52">
        <v>3.0000000000000001E-3</v>
      </c>
      <c r="G544" s="52">
        <v>3.1E-2</v>
      </c>
      <c r="H544" s="52">
        <v>2.5999999999999999E-2</v>
      </c>
      <c r="I544" s="52">
        <v>1.7000000000000001E-2</v>
      </c>
      <c r="J544" s="52">
        <v>0.3</v>
      </c>
      <c r="K544" s="52">
        <v>0.3</v>
      </c>
      <c r="L544" s="52">
        <v>2.1999999999999999E-2</v>
      </c>
      <c r="M544" s="52">
        <v>2.4E-2</v>
      </c>
    </row>
    <row r="545" spans="1:13">
      <c r="A545" s="53">
        <v>2004.08</v>
      </c>
      <c r="B545" s="52">
        <v>1E-3</v>
      </c>
      <c r="C545" s="52">
        <v>1E-3</v>
      </c>
      <c r="D545" s="52">
        <v>1E-3</v>
      </c>
      <c r="E545" s="52">
        <v>1E-3</v>
      </c>
      <c r="F545" s="52">
        <v>2E-3</v>
      </c>
      <c r="G545" s="52">
        <v>3.5999999999999997E-2</v>
      </c>
      <c r="H545" s="52">
        <v>3.5000000000000003E-2</v>
      </c>
      <c r="I545" s="52">
        <v>2.3E-2</v>
      </c>
      <c r="L545" s="52">
        <v>8.8999999999999996E-2</v>
      </c>
      <c r="M545" s="52">
        <v>6.8000000000000005E-2</v>
      </c>
    </row>
    <row r="546" spans="1:13">
      <c r="A546" s="53">
        <v>2004.09</v>
      </c>
      <c r="B546" s="52">
        <v>1E-3</v>
      </c>
      <c r="C546" s="52">
        <v>1E-3</v>
      </c>
      <c r="D546" s="52">
        <v>5.0000000000000001E-3</v>
      </c>
      <c r="E546" s="52">
        <v>1E-3</v>
      </c>
      <c r="F546" s="52">
        <v>2E-3</v>
      </c>
      <c r="G546" s="52">
        <v>2.7E-2</v>
      </c>
      <c r="H546" s="52">
        <v>3.7999999999999999E-2</v>
      </c>
      <c r="I546" s="52">
        <v>3.5000000000000003E-2</v>
      </c>
      <c r="J546" s="52">
        <v>0.03</v>
      </c>
      <c r="K546" s="52">
        <v>0.03</v>
      </c>
      <c r="L546" s="52">
        <v>0.31</v>
      </c>
      <c r="M546" s="52">
        <v>0.31</v>
      </c>
    </row>
    <row r="547" spans="1:13">
      <c r="A547" s="53">
        <v>2004.1</v>
      </c>
      <c r="B547" s="52">
        <v>1E-3</v>
      </c>
      <c r="C547" s="52">
        <v>1E-3</v>
      </c>
      <c r="D547" s="52">
        <v>2E-3</v>
      </c>
      <c r="E547" s="52">
        <v>1E-3</v>
      </c>
      <c r="F547" s="52">
        <v>3.0000000000000001E-3</v>
      </c>
      <c r="G547" s="52">
        <v>1.2999999999999999E-2</v>
      </c>
      <c r="H547" s="52">
        <v>7.0000000000000001E-3</v>
      </c>
      <c r="I547" s="52">
        <v>0.03</v>
      </c>
      <c r="L547" s="52">
        <v>0.02</v>
      </c>
      <c r="M547" s="52">
        <v>1.9E-2</v>
      </c>
    </row>
    <row r="548" spans="1:13">
      <c r="A548" s="53">
        <v>2004.11</v>
      </c>
      <c r="B548" s="52">
        <v>1E-3</v>
      </c>
      <c r="C548" s="52">
        <v>1E-3</v>
      </c>
      <c r="D548" s="52">
        <v>1E-3</v>
      </c>
      <c r="E548" s="52">
        <v>1E-3</v>
      </c>
      <c r="F548" s="52">
        <v>2.5000000000000001E-2</v>
      </c>
      <c r="G548" s="52">
        <v>1.6E-2</v>
      </c>
      <c r="H548" s="52">
        <v>6.8000000000000005E-2</v>
      </c>
      <c r="I548" s="52">
        <v>2.1999999999999999E-2</v>
      </c>
      <c r="J548" s="52">
        <v>0.02</v>
      </c>
      <c r="K548" s="52">
        <v>0.02</v>
      </c>
      <c r="L548" s="52">
        <v>8.5999999999999993E-2</v>
      </c>
      <c r="M548" s="52">
        <v>9.9000000000000005E-2</v>
      </c>
    </row>
    <row r="549" spans="1:13">
      <c r="A549" s="53">
        <v>2004.12</v>
      </c>
      <c r="B549" s="52">
        <v>1E-3</v>
      </c>
      <c r="C549" s="52">
        <v>1E-3</v>
      </c>
      <c r="D549" s="52">
        <v>2E-3</v>
      </c>
      <c r="E549" s="52">
        <v>1E-3</v>
      </c>
      <c r="F549" s="52">
        <v>1.2E-2</v>
      </c>
      <c r="G549" s="52">
        <v>1.2E-2</v>
      </c>
      <c r="H549" s="52">
        <v>5.0000000000000001E-3</v>
      </c>
      <c r="I549" s="52">
        <v>2.4E-2</v>
      </c>
      <c r="L549" s="52">
        <v>0.31</v>
      </c>
      <c r="M549" s="52">
        <v>0.16300000000000001</v>
      </c>
    </row>
    <row r="550" spans="1:13">
      <c r="A550" s="53">
        <v>2005.01</v>
      </c>
      <c r="B550" s="52">
        <v>1E-3</v>
      </c>
      <c r="C550" s="52">
        <v>1E-3</v>
      </c>
      <c r="D550" s="52">
        <v>1E-3</v>
      </c>
      <c r="E550" s="52">
        <v>1E-3</v>
      </c>
      <c r="F550" s="52">
        <v>1.4E-2</v>
      </c>
      <c r="G550" s="52">
        <v>2.3E-2</v>
      </c>
      <c r="H550" s="52">
        <v>8.0000000000000002E-3</v>
      </c>
      <c r="I550" s="52">
        <v>4.1000000000000002E-2</v>
      </c>
      <c r="J550" s="52">
        <v>0.02</v>
      </c>
      <c r="K550" s="52">
        <v>0.02</v>
      </c>
      <c r="L550" s="52">
        <v>0.2</v>
      </c>
      <c r="M550" s="52">
        <v>8.5999999999999993E-2</v>
      </c>
    </row>
    <row r="551" spans="1:13">
      <c r="A551" s="53">
        <v>2005.02</v>
      </c>
      <c r="B551" s="52">
        <v>1E-3</v>
      </c>
      <c r="C551" s="52">
        <v>1E-3</v>
      </c>
      <c r="D551" s="52">
        <v>1E-3</v>
      </c>
      <c r="E551" s="52">
        <v>1E-3</v>
      </c>
      <c r="F551" s="52">
        <v>4.0000000000000001E-3</v>
      </c>
      <c r="G551" s="52">
        <v>0.01</v>
      </c>
      <c r="H551" s="52">
        <v>5.0000000000000001E-3</v>
      </c>
      <c r="I551" s="52">
        <v>2.8000000000000001E-2</v>
      </c>
      <c r="J551" s="52">
        <v>2.5000000000000001E-2</v>
      </c>
      <c r="K551" s="52">
        <v>8.5000000000000006E-2</v>
      </c>
      <c r="L551" s="52">
        <v>9.8000000000000004E-2</v>
      </c>
      <c r="M551" s="52">
        <v>4.5999999999999999E-2</v>
      </c>
    </row>
    <row r="552" spans="1:13">
      <c r="A552" s="53">
        <v>2005.03</v>
      </c>
      <c r="B552" s="52">
        <v>1E-3</v>
      </c>
      <c r="C552" s="52">
        <v>1E-3</v>
      </c>
      <c r="D552" s="52">
        <v>2.1999999999999999E-2</v>
      </c>
      <c r="E552" s="52">
        <v>2E-3</v>
      </c>
      <c r="F552" s="52">
        <v>3.0000000000000001E-3</v>
      </c>
      <c r="G552" s="52">
        <v>1.4999999999999999E-2</v>
      </c>
      <c r="H552" s="52">
        <v>8.9999999999999993E-3</v>
      </c>
      <c r="I552" s="52">
        <v>4.1000000000000002E-2</v>
      </c>
      <c r="J552" s="52">
        <v>0.28999999999999998</v>
      </c>
      <c r="K552" s="52">
        <v>0.15</v>
      </c>
      <c r="L552" s="52">
        <v>0.02</v>
      </c>
      <c r="M552" s="52">
        <v>0.02</v>
      </c>
    </row>
    <row r="553" spans="1:13">
      <c r="A553" s="53">
        <v>2005.04</v>
      </c>
      <c r="B553" s="52">
        <v>1E-3</v>
      </c>
      <c r="C553" s="52">
        <v>1E-3</v>
      </c>
      <c r="D553" s="52">
        <v>1E-3</v>
      </c>
      <c r="E553" s="52">
        <v>1E-3</v>
      </c>
      <c r="F553" s="52">
        <v>0.04</v>
      </c>
      <c r="G553" s="52">
        <v>2.1999999999999999E-2</v>
      </c>
      <c r="H553" s="52">
        <v>7.0000000000000001E-3</v>
      </c>
      <c r="I553" s="52">
        <v>3.3000000000000002E-2</v>
      </c>
      <c r="J553" s="52">
        <v>7.0000000000000001E-3</v>
      </c>
      <c r="K553" s="52">
        <v>1.2999999999999999E-2</v>
      </c>
      <c r="L553" s="52">
        <v>1.4999999999999999E-2</v>
      </c>
      <c r="M553" s="52">
        <v>2.8000000000000001E-2</v>
      </c>
    </row>
    <row r="554" spans="1:13">
      <c r="A554" s="53">
        <v>2005.05</v>
      </c>
      <c r="B554" s="52">
        <v>1E-3</v>
      </c>
      <c r="C554" s="52">
        <v>1E-3</v>
      </c>
      <c r="D554" s="52">
        <v>2E-3</v>
      </c>
      <c r="E554" s="52">
        <v>1E-3</v>
      </c>
      <c r="F554" s="52">
        <v>2E-3</v>
      </c>
      <c r="G554" s="52">
        <v>0.01</v>
      </c>
      <c r="H554" s="52">
        <v>5.0000000000000001E-3</v>
      </c>
      <c r="I554" s="52">
        <v>2.1000000000000001E-2</v>
      </c>
      <c r="J554" s="52">
        <v>1.0999999999999999E-2</v>
      </c>
      <c r="K554" s="52">
        <v>1.0999999999999999E-2</v>
      </c>
      <c r="L554" s="52">
        <v>2.7E-2</v>
      </c>
      <c r="M554" s="52">
        <v>2.7E-2</v>
      </c>
    </row>
    <row r="555" spans="1:13">
      <c r="A555" s="53">
        <v>2005.06</v>
      </c>
      <c r="B555" s="52">
        <v>1E-3</v>
      </c>
      <c r="C555" s="52">
        <v>1E-3</v>
      </c>
      <c r="D555" s="52">
        <v>1E-3</v>
      </c>
      <c r="E555" s="52">
        <v>1E-3</v>
      </c>
      <c r="F555" s="52">
        <v>6.0000000000000001E-3</v>
      </c>
      <c r="G555" s="52">
        <v>0.03</v>
      </c>
      <c r="H555" s="52">
        <v>6.0000000000000001E-3</v>
      </c>
      <c r="I555" s="52">
        <v>2.8000000000000001E-2</v>
      </c>
      <c r="J555" s="52">
        <v>5.0000000000000001E-3</v>
      </c>
      <c r="K555" s="52">
        <v>8.0000000000000002E-3</v>
      </c>
      <c r="L555" s="52">
        <v>0.01</v>
      </c>
      <c r="M555" s="52">
        <v>0.01</v>
      </c>
    </row>
    <row r="556" spans="1:13">
      <c r="A556" s="53">
        <v>2005.07</v>
      </c>
      <c r="B556" s="52">
        <v>1E-3</v>
      </c>
      <c r="C556" s="52">
        <v>1E-3</v>
      </c>
      <c r="D556" s="52">
        <v>1E-3</v>
      </c>
      <c r="E556" s="52">
        <v>1E-3</v>
      </c>
      <c r="F556" s="52">
        <v>1E-3</v>
      </c>
      <c r="G556" s="52">
        <v>2.1000000000000001E-2</v>
      </c>
      <c r="H556" s="52">
        <v>4.0000000000000001E-3</v>
      </c>
      <c r="I556" s="52">
        <v>1.4999999999999999E-2</v>
      </c>
      <c r="J556" s="52">
        <v>1.0999999999999999E-2</v>
      </c>
      <c r="K556" s="52">
        <v>1.4999999999999999E-2</v>
      </c>
      <c r="L556" s="52">
        <v>0.03</v>
      </c>
      <c r="M556" s="52">
        <v>4.8000000000000001E-2</v>
      </c>
    </row>
    <row r="557" spans="1:13">
      <c r="A557" s="53">
        <v>2005.08</v>
      </c>
      <c r="B557" s="52">
        <v>1E-3</v>
      </c>
      <c r="C557" s="52">
        <v>1E-3</v>
      </c>
      <c r="D557" s="52">
        <v>1E-3</v>
      </c>
      <c r="E557" s="52">
        <v>1E-3</v>
      </c>
      <c r="F557" s="52">
        <v>6.0000000000000001E-3</v>
      </c>
      <c r="G557" s="52">
        <v>8.9999999999999993E-3</v>
      </c>
      <c r="H557" s="52">
        <v>2.1999999999999999E-2</v>
      </c>
      <c r="I557" s="52">
        <v>4.7E-2</v>
      </c>
      <c r="J557" s="52">
        <v>5.7000000000000002E-2</v>
      </c>
      <c r="K557" s="52">
        <v>4.3999999999999997E-2</v>
      </c>
      <c r="L557" s="52">
        <v>0.03</v>
      </c>
      <c r="M557" s="52">
        <v>6.8000000000000005E-2</v>
      </c>
    </row>
    <row r="558" spans="1:13">
      <c r="A558" s="53">
        <v>2005.09</v>
      </c>
      <c r="B558" s="52">
        <v>1E-3</v>
      </c>
      <c r="C558" s="52">
        <v>1E-3</v>
      </c>
      <c r="D558" s="52">
        <v>4.0000000000000001E-3</v>
      </c>
      <c r="E558" s="52">
        <v>1E-3</v>
      </c>
      <c r="F558" s="52">
        <v>3.0000000000000001E-3</v>
      </c>
      <c r="G558" s="52">
        <v>1.0999999999999999E-2</v>
      </c>
      <c r="H558" s="52">
        <v>0.12</v>
      </c>
      <c r="I558" s="52">
        <v>6.3E-2</v>
      </c>
      <c r="J558" s="52">
        <v>0.03</v>
      </c>
      <c r="K558" s="52">
        <v>0.03</v>
      </c>
      <c r="L558" s="52">
        <v>0.02</v>
      </c>
      <c r="M558" s="52">
        <v>2.5000000000000001E-2</v>
      </c>
    </row>
    <row r="559" spans="1:13">
      <c r="A559" s="53">
        <v>2005.1</v>
      </c>
      <c r="B559" s="52">
        <v>1E-3</v>
      </c>
      <c r="C559" s="52">
        <v>1E-3</v>
      </c>
      <c r="D559" s="52">
        <v>0</v>
      </c>
      <c r="E559" s="52">
        <v>1E-3</v>
      </c>
      <c r="F559" s="52">
        <v>3.0000000000000001E-3</v>
      </c>
      <c r="G559" s="52">
        <v>7.0000000000000001E-3</v>
      </c>
      <c r="H559" s="52">
        <v>4.0000000000000001E-3</v>
      </c>
      <c r="I559" s="52">
        <v>4.1000000000000002E-2</v>
      </c>
      <c r="L559" s="52">
        <v>0.23</v>
      </c>
      <c r="M559" s="52">
        <v>0.09</v>
      </c>
    </row>
    <row r="560" spans="1:13">
      <c r="A560" s="53">
        <v>2005.11</v>
      </c>
      <c r="B560" s="52">
        <v>1E-3</v>
      </c>
      <c r="C560" s="52">
        <v>1E-3</v>
      </c>
      <c r="D560" s="52">
        <v>1E-3</v>
      </c>
      <c r="E560" s="52">
        <v>1E-3</v>
      </c>
      <c r="F560" s="52">
        <v>1.7000000000000001E-2</v>
      </c>
      <c r="G560" s="52">
        <v>8.9999999999999993E-3</v>
      </c>
      <c r="H560" s="52">
        <v>2.3E-2</v>
      </c>
      <c r="I560" s="52">
        <v>1.7999999999999999E-2</v>
      </c>
      <c r="J560" s="52">
        <v>2.5000000000000001E-2</v>
      </c>
      <c r="K560" s="52">
        <v>1.7999999999999999E-2</v>
      </c>
      <c r="L560" s="52">
        <v>2.5000000000000001E-2</v>
      </c>
      <c r="M560" s="52">
        <v>2.3E-2</v>
      </c>
    </row>
    <row r="561" spans="1:13">
      <c r="A561" s="53">
        <v>2005.12</v>
      </c>
      <c r="B561" s="52">
        <v>1E-3</v>
      </c>
      <c r="C561" s="52">
        <v>1E-3</v>
      </c>
      <c r="D561" s="52">
        <v>4.0000000000000001E-3</v>
      </c>
      <c r="E561" s="52">
        <v>1E-3</v>
      </c>
      <c r="F561" s="52">
        <v>2.1000000000000001E-2</v>
      </c>
      <c r="G561" s="52">
        <v>1.4999999999999999E-2</v>
      </c>
      <c r="H561" s="52">
        <v>5.6000000000000001E-2</v>
      </c>
      <c r="I561" s="52">
        <v>3.7999999999999999E-2</v>
      </c>
      <c r="J561" s="52">
        <v>0.23</v>
      </c>
      <c r="K561" s="52">
        <v>0.128</v>
      </c>
      <c r="L561" s="52">
        <v>2.5000000000000001E-2</v>
      </c>
      <c r="M561" s="52">
        <v>2.4E-2</v>
      </c>
    </row>
    <row r="562" spans="1:13">
      <c r="A562" s="53">
        <v>2006.01</v>
      </c>
      <c r="B562" s="52">
        <v>1E-3</v>
      </c>
      <c r="C562" s="52">
        <v>1E-3</v>
      </c>
      <c r="D562" s="52">
        <v>1E-3</v>
      </c>
      <c r="E562" s="52">
        <v>1E-3</v>
      </c>
      <c r="F562" s="52">
        <v>7.0000000000000001E-3</v>
      </c>
      <c r="G562" s="52">
        <v>0.01</v>
      </c>
      <c r="H562" s="52">
        <v>1.7999999999999999E-2</v>
      </c>
      <c r="I562" s="52">
        <v>3.2000000000000001E-2</v>
      </c>
      <c r="J562" s="52">
        <v>0.01</v>
      </c>
      <c r="K562" s="52">
        <v>0.01</v>
      </c>
      <c r="L562" s="52">
        <v>5.5E-2</v>
      </c>
      <c r="M562" s="52">
        <v>4.1000000000000002E-2</v>
      </c>
    </row>
    <row r="563" spans="1:13">
      <c r="A563" s="53">
        <v>2006.02</v>
      </c>
      <c r="B563" s="52">
        <v>1E-3</v>
      </c>
      <c r="C563" s="52">
        <v>1E-3</v>
      </c>
      <c r="D563" s="52">
        <v>2E-3</v>
      </c>
      <c r="E563" s="52">
        <v>1E-3</v>
      </c>
      <c r="F563" s="52">
        <v>8.0000000000000002E-3</v>
      </c>
      <c r="G563" s="52">
        <v>8.0000000000000002E-3</v>
      </c>
      <c r="H563" s="52">
        <v>0.15</v>
      </c>
      <c r="I563" s="52">
        <v>3.6999999999999998E-2</v>
      </c>
      <c r="J563" s="52">
        <v>0.12</v>
      </c>
      <c r="K563" s="52">
        <v>0.113</v>
      </c>
      <c r="L563" s="52">
        <v>0.06</v>
      </c>
      <c r="M563" s="52">
        <v>0.06</v>
      </c>
    </row>
    <row r="564" spans="1:13">
      <c r="A564" s="53">
        <v>2006.03</v>
      </c>
      <c r="B564" s="52">
        <v>1E-3</v>
      </c>
      <c r="C564" s="52">
        <v>1E-3</v>
      </c>
      <c r="D564" s="52">
        <v>4.0000000000000001E-3</v>
      </c>
      <c r="E564" s="52">
        <v>2E-3</v>
      </c>
      <c r="F564" s="52">
        <v>1.4E-2</v>
      </c>
      <c r="G564" s="52">
        <v>2.1000000000000001E-2</v>
      </c>
      <c r="H564" s="52">
        <v>4.4999999999999998E-2</v>
      </c>
      <c r="I564" s="52">
        <v>0.122</v>
      </c>
      <c r="J564" s="52">
        <v>0.28000000000000003</v>
      </c>
      <c r="K564" s="52">
        <v>0.28000000000000003</v>
      </c>
    </row>
    <row r="565" spans="1:13">
      <c r="A565" s="53">
        <v>2006.04</v>
      </c>
      <c r="B565" s="52">
        <v>1E-3</v>
      </c>
      <c r="C565" s="52">
        <v>1E-3</v>
      </c>
      <c r="D565" s="52">
        <v>6.0000000000000001E-3</v>
      </c>
      <c r="E565" s="52">
        <v>2E-3</v>
      </c>
      <c r="F565" s="52">
        <v>2.1999999999999999E-2</v>
      </c>
      <c r="G565" s="52">
        <v>1.4E-2</v>
      </c>
      <c r="H565" s="52">
        <v>0.05</v>
      </c>
      <c r="I565" s="52">
        <v>3.6999999999999998E-2</v>
      </c>
      <c r="L565" s="52">
        <v>0.1</v>
      </c>
      <c r="M565" s="52">
        <v>0.1</v>
      </c>
    </row>
    <row r="566" spans="1:13">
      <c r="A566" s="53">
        <v>2006.05</v>
      </c>
      <c r="B566" s="52">
        <v>0.01</v>
      </c>
      <c r="C566" s="52">
        <v>2E-3</v>
      </c>
      <c r="D566" s="52">
        <v>2.1000000000000001E-2</v>
      </c>
      <c r="E566" s="52">
        <v>0.02</v>
      </c>
      <c r="F566" s="52">
        <v>0.1</v>
      </c>
      <c r="G566" s="52">
        <v>6.0999999999999999E-2</v>
      </c>
      <c r="H566" s="52">
        <v>0.187</v>
      </c>
      <c r="I566" s="52">
        <v>0.113</v>
      </c>
      <c r="J566" s="52">
        <v>0.18</v>
      </c>
      <c r="K566" s="52">
        <v>0.12</v>
      </c>
      <c r="L566" s="52">
        <v>0.3</v>
      </c>
      <c r="M566" s="52">
        <v>0.3</v>
      </c>
    </row>
    <row r="567" spans="1:13">
      <c r="A567" s="53">
        <v>2006.06</v>
      </c>
      <c r="B567" s="52">
        <v>0.02</v>
      </c>
      <c r="C567" s="52">
        <v>1.2999999999999999E-2</v>
      </c>
      <c r="D567" s="52">
        <v>2.7E-2</v>
      </c>
      <c r="E567" s="52">
        <v>3.5999999999999997E-2</v>
      </c>
      <c r="F567" s="52">
        <v>0.11</v>
      </c>
      <c r="G567" s="52">
        <v>9.1999999999999998E-2</v>
      </c>
      <c r="H567" s="52">
        <v>0.2</v>
      </c>
      <c r="I567" s="52">
        <v>0.14899999999999999</v>
      </c>
      <c r="J567" s="52">
        <v>0.28000000000000003</v>
      </c>
      <c r="K567" s="52">
        <v>0.24299999999999999</v>
      </c>
    </row>
    <row r="568" spans="1:13">
      <c r="A568" s="53">
        <v>2006.07</v>
      </c>
      <c r="B568" s="52">
        <v>0.21199999999999999</v>
      </c>
      <c r="C568" s="52">
        <v>0.11600000000000001</v>
      </c>
      <c r="D568" s="52">
        <v>0.26700000000000002</v>
      </c>
      <c r="E568" s="52">
        <v>0.155</v>
      </c>
      <c r="F568" s="52">
        <v>0.317</v>
      </c>
      <c r="G568" s="52">
        <v>0.251</v>
      </c>
      <c r="H568" s="52">
        <v>0.33</v>
      </c>
      <c r="I568" s="52">
        <v>0.31900000000000001</v>
      </c>
      <c r="J568" s="52">
        <v>0.39</v>
      </c>
      <c r="K568" s="52">
        <v>0.38300000000000001</v>
      </c>
      <c r="L568" s="52">
        <v>0.42</v>
      </c>
      <c r="M568" s="52">
        <v>0.42</v>
      </c>
    </row>
    <row r="569" spans="1:13">
      <c r="A569" s="53">
        <v>2006.08</v>
      </c>
      <c r="B569" s="52">
        <v>0.22</v>
      </c>
      <c r="C569" s="52">
        <v>0.20899999999999999</v>
      </c>
      <c r="D569" s="52">
        <v>0.26600000000000001</v>
      </c>
      <c r="E569" s="52">
        <v>0.25</v>
      </c>
      <c r="F569" s="52">
        <v>0.30199999999999999</v>
      </c>
      <c r="G569" s="52">
        <v>0.30399999999999999</v>
      </c>
      <c r="H569" s="52">
        <v>0.39900000000000002</v>
      </c>
      <c r="I569" s="52">
        <v>0.36899999999999999</v>
      </c>
      <c r="J569" s="52">
        <v>0.34499999999999997</v>
      </c>
      <c r="K569" s="52">
        <v>0.41899999999999998</v>
      </c>
    </row>
    <row r="570" spans="1:13">
      <c r="A570" s="53">
        <v>2006.09</v>
      </c>
      <c r="B570" s="52">
        <v>0.252</v>
      </c>
      <c r="C570" s="52">
        <v>0.21199999999999999</v>
      </c>
      <c r="D570" s="52">
        <v>0.33900000000000002</v>
      </c>
      <c r="E570" s="52">
        <v>0.26100000000000001</v>
      </c>
      <c r="F570" s="52">
        <v>0.309</v>
      </c>
      <c r="G570" s="52">
        <v>0.32</v>
      </c>
      <c r="H570" s="52">
        <v>0.35</v>
      </c>
      <c r="I570" s="52">
        <v>0.40500000000000003</v>
      </c>
      <c r="J570" s="52">
        <v>0.41</v>
      </c>
      <c r="K570" s="52">
        <v>0.4</v>
      </c>
      <c r="L570" s="52">
        <v>0.63</v>
      </c>
      <c r="M570" s="52">
        <v>0.53400000000000003</v>
      </c>
    </row>
    <row r="571" spans="1:13">
      <c r="A571" s="53">
        <v>2006.1</v>
      </c>
      <c r="B571" s="52">
        <v>0.21099999999999999</v>
      </c>
      <c r="C571" s="52">
        <v>0.21099999999999999</v>
      </c>
      <c r="D571" s="52">
        <v>0.25600000000000001</v>
      </c>
      <c r="E571" s="52">
        <v>0.254</v>
      </c>
      <c r="F571" s="52">
        <v>0.28799999999999998</v>
      </c>
      <c r="G571" s="52">
        <v>0.29799999999999999</v>
      </c>
      <c r="H571" s="52">
        <v>0.35</v>
      </c>
      <c r="I571" s="52">
        <v>0.36699999999999999</v>
      </c>
      <c r="J571" s="52">
        <v>0.37</v>
      </c>
      <c r="K571" s="52">
        <v>0.37</v>
      </c>
      <c r="L571" s="52">
        <v>0.35</v>
      </c>
      <c r="M571" s="52">
        <v>0.40500000000000003</v>
      </c>
    </row>
    <row r="572" spans="1:13">
      <c r="A572" s="53">
        <v>2006.11</v>
      </c>
      <c r="B572" s="52">
        <v>0.22</v>
      </c>
      <c r="C572" s="52">
        <v>0.21199999999999999</v>
      </c>
      <c r="D572" s="52">
        <v>0.27100000000000002</v>
      </c>
      <c r="E572" s="52">
        <v>0.25700000000000001</v>
      </c>
      <c r="F572" s="52">
        <v>0.32600000000000001</v>
      </c>
      <c r="G572" s="52">
        <v>0.30199999999999999</v>
      </c>
      <c r="H572" s="52">
        <v>0.4</v>
      </c>
      <c r="I572" s="52">
        <v>0.35199999999999998</v>
      </c>
    </row>
    <row r="573" spans="1:13">
      <c r="A573" s="53">
        <v>2006.12</v>
      </c>
      <c r="B573" s="52">
        <v>0.22900000000000001</v>
      </c>
      <c r="C573" s="52">
        <v>0.21299999999999999</v>
      </c>
      <c r="D573" s="52">
        <v>0.27500000000000002</v>
      </c>
      <c r="E573" s="52">
        <v>0.255</v>
      </c>
      <c r="F573" s="52">
        <v>0.307</v>
      </c>
      <c r="G573" s="52">
        <v>0.33600000000000002</v>
      </c>
      <c r="H573" s="52">
        <v>0.435</v>
      </c>
      <c r="I573" s="52">
        <v>0.44400000000000001</v>
      </c>
      <c r="J573" s="52">
        <v>0.48</v>
      </c>
      <c r="K573" s="52">
        <v>0.48</v>
      </c>
      <c r="L573" s="52">
        <v>0.51300000000000001</v>
      </c>
      <c r="M573" s="52">
        <v>0.52700000000000002</v>
      </c>
    </row>
    <row r="574" spans="1:13">
      <c r="A574" s="53">
        <v>2007.01</v>
      </c>
      <c r="B574" s="52">
        <v>0.24</v>
      </c>
      <c r="C574" s="52">
        <v>0.23200000000000001</v>
      </c>
      <c r="D574" s="52">
        <v>0.28199999999999997</v>
      </c>
      <c r="E574" s="52">
        <v>0.26700000000000002</v>
      </c>
      <c r="F574" s="52">
        <v>0.32200000000000001</v>
      </c>
      <c r="G574" s="52">
        <v>0.35</v>
      </c>
      <c r="H574" s="52">
        <v>0.36499999999999999</v>
      </c>
      <c r="I574" s="52">
        <v>0.39400000000000002</v>
      </c>
      <c r="J574" s="52">
        <v>0.45</v>
      </c>
      <c r="K574" s="52">
        <v>0.49299999999999999</v>
      </c>
      <c r="L574" s="52">
        <v>0.55000000000000004</v>
      </c>
      <c r="M574" s="52">
        <v>0.55000000000000004</v>
      </c>
    </row>
    <row r="575" spans="1:13">
      <c r="A575" s="53">
        <v>2007.02</v>
      </c>
      <c r="B575" s="52">
        <v>0.48</v>
      </c>
      <c r="C575" s="52">
        <v>0.3</v>
      </c>
      <c r="D575" s="52">
        <v>0.58899999999999997</v>
      </c>
      <c r="E575" s="52">
        <v>0.35699999999999998</v>
      </c>
      <c r="F575" s="52">
        <v>0.63700000000000001</v>
      </c>
      <c r="G575" s="52">
        <v>0.43</v>
      </c>
      <c r="H575" s="52">
        <v>0.57499999999999996</v>
      </c>
      <c r="I575" s="52">
        <v>0.501</v>
      </c>
      <c r="J575" s="52">
        <v>0.7</v>
      </c>
      <c r="K575" s="52">
        <v>0.68300000000000005</v>
      </c>
      <c r="L575" s="52">
        <v>0.68</v>
      </c>
      <c r="M575" s="52">
        <v>0.623</v>
      </c>
    </row>
    <row r="576" spans="1:13">
      <c r="A576" s="53">
        <v>2007.03</v>
      </c>
      <c r="B576" s="52">
        <v>0.52400000000000002</v>
      </c>
      <c r="C576" s="52">
        <v>0.45700000000000002</v>
      </c>
      <c r="D576" s="52">
        <v>0.71499999999999997</v>
      </c>
      <c r="E576" s="52">
        <v>0.50900000000000001</v>
      </c>
      <c r="F576" s="52">
        <v>0.68899999999999995</v>
      </c>
      <c r="G576" s="52">
        <v>0.628</v>
      </c>
      <c r="H576" s="52">
        <v>0.61399999999999999</v>
      </c>
      <c r="I576" s="52">
        <v>0.67600000000000005</v>
      </c>
      <c r="J576" s="52">
        <v>0.623</v>
      </c>
      <c r="K576" s="52">
        <v>0.68300000000000005</v>
      </c>
      <c r="L576" s="52">
        <v>0.63</v>
      </c>
      <c r="M576" s="52">
        <v>0.67900000000000005</v>
      </c>
    </row>
    <row r="577" spans="1:13">
      <c r="A577" s="53">
        <v>2007.04</v>
      </c>
      <c r="B577" s="52">
        <v>0.46</v>
      </c>
      <c r="C577" s="52">
        <v>0.45300000000000001</v>
      </c>
      <c r="D577" s="52">
        <v>0.53900000000000003</v>
      </c>
      <c r="E577" s="52">
        <v>0.51100000000000001</v>
      </c>
      <c r="F577" s="52">
        <v>0.60399999999999998</v>
      </c>
      <c r="G577" s="52">
        <v>0.56399999999999995</v>
      </c>
      <c r="H577" s="52">
        <v>0.63</v>
      </c>
      <c r="I577" s="52">
        <v>0.6</v>
      </c>
      <c r="J577" s="52">
        <v>0.62</v>
      </c>
      <c r="K577" s="52">
        <v>0.61199999999999999</v>
      </c>
      <c r="L577" s="52">
        <v>0.62</v>
      </c>
      <c r="M577" s="52">
        <v>0.61799999999999999</v>
      </c>
    </row>
    <row r="578" spans="1:13">
      <c r="A578" s="53">
        <v>2007.05</v>
      </c>
      <c r="B578" s="52">
        <v>0.46</v>
      </c>
      <c r="C578" s="52">
        <v>0.45300000000000001</v>
      </c>
      <c r="D578" s="52">
        <v>0.54400000000000004</v>
      </c>
      <c r="E578" s="52">
        <v>0.52100000000000002</v>
      </c>
      <c r="F578" s="52">
        <v>0.58799999999999997</v>
      </c>
      <c r="G578" s="52">
        <v>0.56899999999999995</v>
      </c>
      <c r="H578" s="52">
        <v>0.61699999999999999</v>
      </c>
      <c r="I578" s="52">
        <v>0.59699999999999998</v>
      </c>
      <c r="J578" s="52">
        <v>0.62</v>
      </c>
      <c r="K578" s="52">
        <v>0.63200000000000001</v>
      </c>
      <c r="L578" s="52">
        <v>0.65</v>
      </c>
      <c r="M578" s="52">
        <v>0.63</v>
      </c>
    </row>
    <row r="579" spans="1:13">
      <c r="A579" s="53">
        <v>2007.06</v>
      </c>
      <c r="B579" s="52">
        <v>0.48399999999999999</v>
      </c>
      <c r="C579" s="52">
        <v>0.45200000000000001</v>
      </c>
      <c r="D579" s="52">
        <v>0.60499999999999998</v>
      </c>
      <c r="E579" s="52">
        <v>0.51</v>
      </c>
      <c r="F579" s="52">
        <v>0.58799999999999997</v>
      </c>
      <c r="G579" s="52">
        <v>0.56799999999999995</v>
      </c>
      <c r="H579" s="52">
        <v>0.61</v>
      </c>
      <c r="I579" s="52">
        <v>0.59899999999999998</v>
      </c>
      <c r="J579" s="52">
        <v>0.66</v>
      </c>
      <c r="K579" s="52">
        <v>0.63800000000000001</v>
      </c>
      <c r="L579" s="52">
        <v>0.73</v>
      </c>
      <c r="M579" s="52">
        <v>0.68</v>
      </c>
    </row>
    <row r="580" spans="1:13">
      <c r="A580" s="53">
        <v>2007.07</v>
      </c>
      <c r="B580" s="52">
        <v>0.45</v>
      </c>
      <c r="C580" s="52">
        <v>0.44900000000000001</v>
      </c>
      <c r="D580" s="52">
        <v>0.51600000000000001</v>
      </c>
      <c r="E580" s="52">
        <v>0.499</v>
      </c>
      <c r="F580" s="52">
        <v>0.53400000000000003</v>
      </c>
      <c r="G580" s="52">
        <v>0.55000000000000004</v>
      </c>
      <c r="H580" s="52">
        <v>0.65</v>
      </c>
      <c r="I580" s="52">
        <v>0.6</v>
      </c>
      <c r="J580" s="52">
        <v>0.67200000000000004</v>
      </c>
      <c r="K580" s="52">
        <v>0.66900000000000004</v>
      </c>
      <c r="L580" s="52">
        <v>0.746</v>
      </c>
      <c r="M580" s="52">
        <v>0.74099999999999999</v>
      </c>
    </row>
    <row r="581" spans="1:13">
      <c r="A581" s="53">
        <v>2007.08</v>
      </c>
      <c r="B581" s="52">
        <v>0.46</v>
      </c>
      <c r="C581" s="52">
        <v>0.439</v>
      </c>
      <c r="D581" s="52">
        <v>0.498</v>
      </c>
      <c r="E581" s="52">
        <v>0.48499999999999999</v>
      </c>
      <c r="F581" s="52">
        <v>0.59699999999999998</v>
      </c>
      <c r="G581" s="52">
        <v>0.57999999999999996</v>
      </c>
      <c r="H581" s="52">
        <v>0.9</v>
      </c>
      <c r="I581" s="52">
        <v>0.69399999999999995</v>
      </c>
      <c r="J581" s="52">
        <v>0.82</v>
      </c>
      <c r="K581" s="52">
        <v>0.78900000000000003</v>
      </c>
      <c r="L581" s="52">
        <v>0.88500000000000001</v>
      </c>
      <c r="M581" s="52">
        <v>0.82699999999999996</v>
      </c>
    </row>
    <row r="582" spans="1:13">
      <c r="A582" s="53">
        <v>2007.09</v>
      </c>
      <c r="B582" s="52">
        <v>0.55000000000000004</v>
      </c>
      <c r="C582" s="52">
        <v>0.45400000000000001</v>
      </c>
      <c r="D582" s="52">
        <v>0.67500000000000004</v>
      </c>
      <c r="E582" s="52">
        <v>0.51</v>
      </c>
      <c r="F582" s="52">
        <v>0.60199999999999998</v>
      </c>
      <c r="G582" s="52">
        <v>0.622</v>
      </c>
      <c r="H582" s="52">
        <v>0.63500000000000001</v>
      </c>
      <c r="I582" s="52">
        <v>0.751</v>
      </c>
      <c r="J582" s="52">
        <v>0.8</v>
      </c>
      <c r="K582" s="52">
        <v>0.79800000000000004</v>
      </c>
      <c r="L582" s="52">
        <v>0.7</v>
      </c>
      <c r="M582" s="52">
        <v>0.871</v>
      </c>
    </row>
    <row r="583" spans="1:13">
      <c r="A583" s="53">
        <v>2007.1</v>
      </c>
      <c r="B583" s="52">
        <v>0.46899999999999997</v>
      </c>
      <c r="C583" s="52">
        <v>0.45100000000000001</v>
      </c>
      <c r="D583" s="52">
        <v>0.52400000000000002</v>
      </c>
      <c r="E583" s="52">
        <v>0.50600000000000001</v>
      </c>
      <c r="F583" s="52">
        <v>0.58599999999999997</v>
      </c>
      <c r="G583" s="52">
        <v>0.55000000000000004</v>
      </c>
      <c r="H583" s="52">
        <v>0.60199999999999998</v>
      </c>
      <c r="I583" s="52">
        <v>0.66500000000000004</v>
      </c>
      <c r="J583" s="52">
        <v>0.78500000000000003</v>
      </c>
      <c r="K583" s="52">
        <v>0.752</v>
      </c>
      <c r="L583" s="52">
        <v>0.87</v>
      </c>
      <c r="M583" s="52">
        <v>0.88400000000000001</v>
      </c>
    </row>
    <row r="584" spans="1:13">
      <c r="A584" s="53">
        <v>2007.11</v>
      </c>
      <c r="B584" s="52">
        <v>0.45</v>
      </c>
      <c r="C584" s="52">
        <v>0.45</v>
      </c>
      <c r="D584" s="52">
        <v>0.52</v>
      </c>
      <c r="E584" s="52">
        <v>0.5</v>
      </c>
      <c r="F584" s="52">
        <v>0.59</v>
      </c>
      <c r="G584" s="52">
        <v>0.55800000000000005</v>
      </c>
      <c r="H584" s="52">
        <v>0.68100000000000005</v>
      </c>
      <c r="I584" s="52">
        <v>0.60799999999999998</v>
      </c>
      <c r="J584" s="52">
        <v>0.86</v>
      </c>
      <c r="K584" s="52">
        <v>0.78500000000000003</v>
      </c>
      <c r="L584" s="52">
        <v>0.93</v>
      </c>
      <c r="M584" s="52">
        <v>0.82199999999999995</v>
      </c>
    </row>
    <row r="585" spans="1:13">
      <c r="A585" s="53">
        <v>2007.12</v>
      </c>
      <c r="B585" s="52">
        <v>0.5</v>
      </c>
      <c r="C585" s="52">
        <v>0.45300000000000001</v>
      </c>
      <c r="D585" s="52">
        <v>0.45900000000000002</v>
      </c>
      <c r="E585" s="52">
        <v>0.497</v>
      </c>
      <c r="F585" s="52">
        <v>0.56299999999999994</v>
      </c>
      <c r="G585" s="52">
        <v>0.59299999999999997</v>
      </c>
      <c r="H585" s="52">
        <v>0.61399999999999999</v>
      </c>
      <c r="I585" s="52">
        <v>0.81100000000000005</v>
      </c>
      <c r="J585" s="52">
        <v>0.93</v>
      </c>
      <c r="K585" s="52">
        <v>0.82</v>
      </c>
      <c r="L585" s="52">
        <v>0.73</v>
      </c>
      <c r="M585" s="52">
        <v>0.84</v>
      </c>
    </row>
    <row r="586" spans="1:13">
      <c r="A586" s="53">
        <v>2008.01</v>
      </c>
      <c r="B586" s="52">
        <v>0.45</v>
      </c>
      <c r="C586" s="52">
        <v>0.45</v>
      </c>
      <c r="D586" s="52">
        <v>0.50800000000000001</v>
      </c>
      <c r="E586" s="52">
        <v>0.502</v>
      </c>
      <c r="F586" s="52">
        <v>0.56000000000000005</v>
      </c>
      <c r="G586" s="52">
        <v>0.55000000000000004</v>
      </c>
      <c r="H586" s="52">
        <v>0.55500000000000005</v>
      </c>
      <c r="I586" s="52">
        <v>0.60299999999999998</v>
      </c>
      <c r="J586" s="52">
        <v>0.8</v>
      </c>
      <c r="K586" s="52">
        <v>0.64500000000000002</v>
      </c>
      <c r="L586" s="52">
        <v>0.7</v>
      </c>
      <c r="M586" s="52">
        <v>0.78</v>
      </c>
    </row>
    <row r="587" spans="1:13">
      <c r="A587" s="53">
        <v>2008.02</v>
      </c>
      <c r="B587" s="52">
        <v>0.45</v>
      </c>
      <c r="C587" s="52">
        <v>0.45</v>
      </c>
      <c r="D587" s="52">
        <v>0.51200000000000001</v>
      </c>
      <c r="E587" s="52">
        <v>0.504</v>
      </c>
      <c r="F587" s="52">
        <v>0.57499999999999996</v>
      </c>
      <c r="G587" s="52">
        <v>0.55500000000000005</v>
      </c>
      <c r="H587" s="52">
        <v>0.79</v>
      </c>
      <c r="I587" s="52">
        <v>0.60299999999999998</v>
      </c>
      <c r="J587" s="52">
        <v>0.75</v>
      </c>
      <c r="K587" s="52">
        <v>0.76100000000000001</v>
      </c>
      <c r="L587" s="52">
        <v>0.82</v>
      </c>
      <c r="M587" s="52">
        <v>0.77600000000000002</v>
      </c>
    </row>
    <row r="588" spans="1:13">
      <c r="A588" s="53">
        <v>2008.03</v>
      </c>
      <c r="B588" s="52">
        <v>0.504</v>
      </c>
      <c r="C588" s="52">
        <v>0.45300000000000001</v>
      </c>
      <c r="D588" s="52">
        <v>0.64100000000000001</v>
      </c>
      <c r="E588" s="52">
        <v>0.51100000000000001</v>
      </c>
      <c r="F588" s="52">
        <v>0.56999999999999995</v>
      </c>
      <c r="G588" s="52">
        <v>0.61899999999999999</v>
      </c>
      <c r="H588" s="52">
        <v>0.621</v>
      </c>
      <c r="I588" s="52">
        <v>0.80900000000000005</v>
      </c>
      <c r="J588" s="52">
        <v>1.2</v>
      </c>
      <c r="K588" s="52">
        <v>0.86899999999999999</v>
      </c>
      <c r="L588" s="52">
        <v>0.73</v>
      </c>
      <c r="M588" s="52">
        <v>0.76700000000000002</v>
      </c>
    </row>
    <row r="589" spans="1:13">
      <c r="A589" s="53">
        <v>2008.04</v>
      </c>
      <c r="B589" s="52">
        <v>0.45</v>
      </c>
      <c r="C589" s="52">
        <v>0.45</v>
      </c>
      <c r="D589" s="52">
        <v>0.52200000000000002</v>
      </c>
      <c r="E589" s="52">
        <v>0.50600000000000001</v>
      </c>
      <c r="F589" s="52">
        <v>0.57199999999999995</v>
      </c>
      <c r="G589" s="52">
        <v>0.55600000000000005</v>
      </c>
      <c r="H589" s="52">
        <v>0.63</v>
      </c>
      <c r="I589" s="52">
        <v>0.623</v>
      </c>
      <c r="J589" s="52">
        <v>0.66500000000000004</v>
      </c>
      <c r="K589" s="52">
        <v>0.65</v>
      </c>
      <c r="L589" s="52">
        <v>0.8</v>
      </c>
      <c r="M589" s="52">
        <v>0.73</v>
      </c>
    </row>
  </sheetData>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348"/>
  <sheetViews>
    <sheetView workbookViewId="0">
      <pane xSplit="18795" topLeftCell="AJ1"/>
      <selection pane="topRight" activeCell="AJ273" sqref="AJ273"/>
    </sheetView>
  </sheetViews>
  <sheetFormatPr defaultColWidth="10.28515625" defaultRowHeight="13.5"/>
  <cols>
    <col min="1" max="33" width="10.28515625" style="16" customWidth="1"/>
    <col min="34" max="34" width="10.85546875" style="16" bestFit="1" customWidth="1"/>
    <col min="35" max="37" width="10.28515625" style="16" customWidth="1"/>
    <col min="38" max="38" width="12.28515625" style="16" bestFit="1" customWidth="1"/>
    <col min="39" max="42" width="10.28515625" style="21" customWidth="1"/>
    <col min="43" max="16384" width="10.28515625" style="16"/>
  </cols>
  <sheetData>
    <row r="1" spans="1:42">
      <c r="A1" s="16" t="s">
        <v>37</v>
      </c>
      <c r="B1" s="16" t="s">
        <v>38</v>
      </c>
      <c r="C1" s="16" t="s">
        <v>38</v>
      </c>
      <c r="D1" s="16" t="s">
        <v>38</v>
      </c>
      <c r="E1" s="16" t="s">
        <v>38</v>
      </c>
      <c r="F1" s="16" t="s">
        <v>38</v>
      </c>
      <c r="G1" s="16" t="s">
        <v>38</v>
      </c>
      <c r="H1" s="16" t="s">
        <v>39</v>
      </c>
      <c r="I1" s="16" t="s">
        <v>39</v>
      </c>
      <c r="J1" s="16" t="s">
        <v>39</v>
      </c>
      <c r="K1" s="16" t="s">
        <v>39</v>
      </c>
      <c r="L1" s="16" t="s">
        <v>39</v>
      </c>
      <c r="M1" s="16" t="s">
        <v>39</v>
      </c>
      <c r="N1" s="16" t="s">
        <v>40</v>
      </c>
      <c r="O1" s="16" t="s">
        <v>40</v>
      </c>
      <c r="P1" s="16" t="s">
        <v>40</v>
      </c>
      <c r="Q1" s="16" t="s">
        <v>40</v>
      </c>
      <c r="R1" s="16" t="s">
        <v>40</v>
      </c>
      <c r="S1" s="16" t="s">
        <v>40</v>
      </c>
      <c r="T1" s="16" t="s">
        <v>41</v>
      </c>
      <c r="U1" s="16" t="s">
        <v>41</v>
      </c>
      <c r="V1" s="16" t="s">
        <v>41</v>
      </c>
      <c r="W1" s="16" t="s">
        <v>41</v>
      </c>
      <c r="X1" s="16" t="s">
        <v>41</v>
      </c>
      <c r="Y1" s="16" t="s">
        <v>41</v>
      </c>
      <c r="Z1" s="16" t="s">
        <v>42</v>
      </c>
      <c r="AA1" s="16" t="s">
        <v>42</v>
      </c>
      <c r="AB1" s="16" t="s">
        <v>42</v>
      </c>
      <c r="AC1" s="16" t="s">
        <v>42</v>
      </c>
      <c r="AD1" s="16" t="s">
        <v>42</v>
      </c>
      <c r="AE1" s="16" t="s">
        <v>42</v>
      </c>
      <c r="AL1" s="20" t="s">
        <v>87</v>
      </c>
    </row>
    <row r="2" spans="1:42">
      <c r="A2" s="16" t="s">
        <v>43</v>
      </c>
      <c r="B2" s="16" t="s">
        <v>44</v>
      </c>
      <c r="C2" s="16" t="s">
        <v>45</v>
      </c>
      <c r="D2" s="16" t="s">
        <v>46</v>
      </c>
      <c r="E2" s="16" t="s">
        <v>47</v>
      </c>
      <c r="F2" s="16" t="s">
        <v>48</v>
      </c>
      <c r="G2" s="16" t="s">
        <v>49</v>
      </c>
      <c r="H2" s="16" t="s">
        <v>44</v>
      </c>
      <c r="I2" s="16" t="s">
        <v>45</v>
      </c>
      <c r="J2" s="16" t="s">
        <v>46</v>
      </c>
      <c r="K2" s="16" t="s">
        <v>47</v>
      </c>
      <c r="L2" s="16" t="s">
        <v>48</v>
      </c>
      <c r="M2" s="16" t="s">
        <v>49</v>
      </c>
      <c r="N2" s="16" t="s">
        <v>44</v>
      </c>
      <c r="O2" s="16" t="s">
        <v>45</v>
      </c>
      <c r="P2" s="16" t="s">
        <v>46</v>
      </c>
      <c r="Q2" s="16" t="s">
        <v>47</v>
      </c>
      <c r="R2" s="16" t="s">
        <v>48</v>
      </c>
      <c r="S2" s="16" t="s">
        <v>49</v>
      </c>
      <c r="T2" s="16" t="s">
        <v>44</v>
      </c>
      <c r="U2" s="16" t="s">
        <v>45</v>
      </c>
      <c r="V2" s="16" t="s">
        <v>46</v>
      </c>
      <c r="W2" s="16" t="s">
        <v>47</v>
      </c>
      <c r="X2" s="16" t="s">
        <v>48</v>
      </c>
      <c r="Y2" s="16" t="s">
        <v>49</v>
      </c>
      <c r="Z2" s="16" t="s">
        <v>44</v>
      </c>
      <c r="AA2" s="16" t="s">
        <v>45</v>
      </c>
      <c r="AB2" s="16" t="s">
        <v>46</v>
      </c>
      <c r="AC2" s="16" t="s">
        <v>47</v>
      </c>
      <c r="AD2" s="16" t="s">
        <v>48</v>
      </c>
      <c r="AE2" s="16" t="s">
        <v>49</v>
      </c>
      <c r="AL2" s="20" t="s">
        <v>86</v>
      </c>
    </row>
    <row r="3" spans="1:42">
      <c r="A3" s="49">
        <v>19791229</v>
      </c>
      <c r="B3" s="49">
        <v>0</v>
      </c>
      <c r="C3" s="49">
        <v>0</v>
      </c>
      <c r="D3" s="49">
        <v>0</v>
      </c>
      <c r="E3" s="49">
        <v>0</v>
      </c>
      <c r="F3" s="49">
        <v>0</v>
      </c>
      <c r="G3" s="49">
        <v>0</v>
      </c>
      <c r="H3" s="49">
        <v>0</v>
      </c>
      <c r="I3" s="49">
        <v>0</v>
      </c>
      <c r="J3" s="49">
        <v>0</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c r="AI3" s="20" t="s">
        <v>88</v>
      </c>
      <c r="AJ3" s="16" t="s">
        <v>50</v>
      </c>
      <c r="AK3" s="20" t="s">
        <v>91</v>
      </c>
      <c r="AL3" s="20" t="s">
        <v>85</v>
      </c>
      <c r="AM3" s="22" t="s">
        <v>89</v>
      </c>
      <c r="AN3" s="22" t="s">
        <v>90</v>
      </c>
      <c r="AO3" s="22" t="s">
        <v>91</v>
      </c>
      <c r="AP3" s="22"/>
    </row>
    <row r="4" spans="1:42">
      <c r="A4" s="49">
        <v>19800131</v>
      </c>
      <c r="B4" s="49">
        <v>1.7331000000000001</v>
      </c>
      <c r="C4" s="49">
        <v>1.7609999999999999</v>
      </c>
      <c r="D4" s="49">
        <v>2.9714</v>
      </c>
      <c r="E4" s="49">
        <v>2.9992000000000001</v>
      </c>
      <c r="F4" s="49">
        <v>0.53129999999999999</v>
      </c>
      <c r="G4" s="49">
        <v>0.55940000000000001</v>
      </c>
      <c r="H4" s="49">
        <v>1.5647</v>
      </c>
      <c r="I4" s="49">
        <v>1.5928</v>
      </c>
      <c r="J4" s="49">
        <v>2.7717000000000001</v>
      </c>
      <c r="K4" s="49">
        <v>2.8</v>
      </c>
      <c r="L4" s="49">
        <v>0.34060000000000001</v>
      </c>
      <c r="M4" s="49">
        <v>0.36859999999999998</v>
      </c>
      <c r="N4" s="49">
        <v>2.5945999999999998</v>
      </c>
      <c r="O4" s="49">
        <v>2.6217000000000001</v>
      </c>
      <c r="P4" s="49">
        <v>4.1501999999999999</v>
      </c>
      <c r="Q4" s="49">
        <v>4.1753999999999998</v>
      </c>
      <c r="R4" s="49">
        <v>1.3909</v>
      </c>
      <c r="S4" s="49">
        <v>1.4193</v>
      </c>
      <c r="T4" s="49">
        <v>1.3058000000000001</v>
      </c>
      <c r="U4" s="49">
        <v>1.3264</v>
      </c>
      <c r="V4" s="49">
        <v>3.048</v>
      </c>
      <c r="W4" s="49">
        <v>3.0670999999999999</v>
      </c>
      <c r="X4" s="49">
        <v>-0.48409999999999997</v>
      </c>
      <c r="Y4" s="49">
        <v>-0.46189999999999998</v>
      </c>
      <c r="Z4" s="49">
        <v>1.8927</v>
      </c>
      <c r="AA4" s="49">
        <v>1.9302999999999999</v>
      </c>
      <c r="AB4" s="49">
        <v>2.4165999999999999</v>
      </c>
      <c r="AC4" s="49">
        <v>2.4567000000000001</v>
      </c>
      <c r="AD4" s="49">
        <v>1.37</v>
      </c>
      <c r="AE4" s="49">
        <v>1.4052</v>
      </c>
      <c r="AH4" s="16">
        <f t="shared" ref="AH4:AH67" si="0">+A4</f>
        <v>19800131</v>
      </c>
      <c r="AI4" s="16">
        <f t="shared" ref="AI4:AI67" si="1">+C4</f>
        <v>1.7609999999999999</v>
      </c>
      <c r="AJ4" s="16">
        <f t="shared" ref="AJ4:AJ67" si="2">+(K4-M4)+(Q4-S4)</f>
        <v>5.1875</v>
      </c>
      <c r="AK4" s="16">
        <f>(S4+Q4)-(M4+K4)</f>
        <v>2.4260999999999999</v>
      </c>
      <c r="AL4" s="19">
        <v>8.375</v>
      </c>
      <c r="AM4" s="17">
        <f>+AI4-AL4/12</f>
        <v>1.0630833333333332</v>
      </c>
      <c r="AN4" s="17">
        <f>+AJ4</f>
        <v>5.1875</v>
      </c>
      <c r="AO4" s="17">
        <f>+AK4</f>
        <v>2.4260999999999999</v>
      </c>
      <c r="AP4" s="17"/>
    </row>
    <row r="5" spans="1:42">
      <c r="A5" s="49">
        <v>19800229</v>
      </c>
      <c r="B5" s="49">
        <v>-0.2651</v>
      </c>
      <c r="C5" s="49">
        <v>-0.21909999999999999</v>
      </c>
      <c r="D5" s="49">
        <v>-0.2833</v>
      </c>
      <c r="E5" s="49">
        <v>-0.2487</v>
      </c>
      <c r="F5" s="49">
        <v>-0.247</v>
      </c>
      <c r="G5" s="49">
        <v>-0.18959999999999999</v>
      </c>
      <c r="H5" s="49">
        <v>-0.2014</v>
      </c>
      <c r="I5" s="49">
        <v>-0.1552</v>
      </c>
      <c r="J5" s="49">
        <v>-0.15590000000000001</v>
      </c>
      <c r="K5" s="49">
        <v>-0.1225</v>
      </c>
      <c r="L5" s="49">
        <v>-0.24859999999999999</v>
      </c>
      <c r="M5" s="49">
        <v>-0.18909999999999999</v>
      </c>
      <c r="N5" s="49">
        <v>-0.58779999999999999</v>
      </c>
      <c r="O5" s="49">
        <v>-0.54259999999999997</v>
      </c>
      <c r="P5" s="49">
        <v>-1.0263</v>
      </c>
      <c r="Q5" s="49">
        <v>-0.98450000000000004</v>
      </c>
      <c r="R5" s="49">
        <v>-0.2397</v>
      </c>
      <c r="S5" s="49">
        <v>-0.19170000000000001</v>
      </c>
      <c r="T5" s="49">
        <v>-0.25469999999999998</v>
      </c>
      <c r="U5" s="49">
        <v>-0.2306</v>
      </c>
      <c r="V5" s="49">
        <v>3.32E-2</v>
      </c>
      <c r="W5" s="49">
        <v>5.7500000000000002E-2</v>
      </c>
      <c r="X5" s="49">
        <v>-0.56079999999999997</v>
      </c>
      <c r="Y5" s="49">
        <v>-0.53700000000000003</v>
      </c>
      <c r="Z5" s="49">
        <v>-0.13420000000000001</v>
      </c>
      <c r="AA5" s="49">
        <v>-6.0199999999999997E-2</v>
      </c>
      <c r="AB5" s="49">
        <v>-0.40029999999999999</v>
      </c>
      <c r="AC5" s="49">
        <v>-0.35510000000000003</v>
      </c>
      <c r="AD5" s="49">
        <v>0.13370000000000001</v>
      </c>
      <c r="AE5" s="49">
        <v>0.23680000000000001</v>
      </c>
      <c r="AH5" s="16">
        <f t="shared" si="0"/>
        <v>19800229</v>
      </c>
      <c r="AI5" s="16">
        <f t="shared" si="1"/>
        <v>-0.21909999999999999</v>
      </c>
      <c r="AJ5" s="16">
        <f t="shared" si="2"/>
        <v>-0.72620000000000007</v>
      </c>
      <c r="AK5" s="16">
        <f t="shared" ref="AK5:AK67" si="3">(S5+Q5)-(M5+K5)</f>
        <v>-0.86460000000000015</v>
      </c>
      <c r="AL5" s="19">
        <v>8.1875</v>
      </c>
      <c r="AM5" s="17">
        <f t="shared" ref="AM5:AM68" si="4">+AI5-AL5/12</f>
        <v>-0.90139166666666659</v>
      </c>
      <c r="AN5" s="17">
        <f t="shared" ref="AN5:AN68" si="5">+AJ5</f>
        <v>-0.72620000000000007</v>
      </c>
      <c r="AO5" s="17">
        <f t="shared" ref="AO5:AO68" si="6">+AK5</f>
        <v>-0.86460000000000015</v>
      </c>
      <c r="AP5" s="17"/>
    </row>
    <row r="6" spans="1:42">
      <c r="A6" s="49">
        <v>19800331</v>
      </c>
      <c r="B6" s="49">
        <v>-3.0421999999999998</v>
      </c>
      <c r="C6" s="49">
        <v>-2.2814999999999999</v>
      </c>
      <c r="D6" s="49">
        <v>-3.4967999999999999</v>
      </c>
      <c r="E6" s="49">
        <v>-2.5684999999999998</v>
      </c>
      <c r="F6" s="49">
        <v>-2.5912999999999999</v>
      </c>
      <c r="G6" s="49">
        <v>-1.9966999999999999</v>
      </c>
      <c r="H6" s="49">
        <v>-3.1452</v>
      </c>
      <c r="I6" s="49">
        <v>-2.3586999999999998</v>
      </c>
      <c r="J6" s="49">
        <v>-3.6189</v>
      </c>
      <c r="K6" s="49">
        <v>-2.6530999999999998</v>
      </c>
      <c r="L6" s="49">
        <v>-2.6535000000000002</v>
      </c>
      <c r="M6" s="49">
        <v>-2.0531000000000001</v>
      </c>
      <c r="N6" s="49">
        <v>-2.5186999999999999</v>
      </c>
      <c r="O6" s="49">
        <v>-1.8885000000000001</v>
      </c>
      <c r="P6" s="49">
        <v>-2.7789000000000001</v>
      </c>
      <c r="Q6" s="49">
        <v>-2.0706000000000002</v>
      </c>
      <c r="R6" s="49">
        <v>-2.3136999999999999</v>
      </c>
      <c r="S6" s="49">
        <v>-1.7451000000000001</v>
      </c>
      <c r="T6" s="49">
        <v>-3.2431000000000001</v>
      </c>
      <c r="U6" s="49">
        <v>-2.4577</v>
      </c>
      <c r="V6" s="49">
        <v>-4.1928000000000001</v>
      </c>
      <c r="W6" s="49">
        <v>-3.2057000000000002</v>
      </c>
      <c r="X6" s="49">
        <v>-2.2290000000000001</v>
      </c>
      <c r="Y6" s="49">
        <v>-1.6589</v>
      </c>
      <c r="Z6" s="49">
        <v>-3.0219999999999998</v>
      </c>
      <c r="AA6" s="49">
        <v>-2.2343000000000002</v>
      </c>
      <c r="AB6" s="49">
        <v>-2.8744000000000001</v>
      </c>
      <c r="AC6" s="49">
        <v>-1.9363999999999999</v>
      </c>
      <c r="AD6" s="49">
        <v>-3.1698</v>
      </c>
      <c r="AE6" s="49">
        <v>-2.5326</v>
      </c>
      <c r="AH6" s="16">
        <f t="shared" si="0"/>
        <v>19800331</v>
      </c>
      <c r="AI6" s="16">
        <f t="shared" si="1"/>
        <v>-2.2814999999999999</v>
      </c>
      <c r="AJ6" s="16">
        <f t="shared" si="2"/>
        <v>-0.92549999999999977</v>
      </c>
      <c r="AK6" s="16">
        <f t="shared" si="3"/>
        <v>0.8904999999999994</v>
      </c>
      <c r="AL6" s="19">
        <v>9.4375</v>
      </c>
      <c r="AM6" s="17">
        <f t="shared" si="4"/>
        <v>-3.0679583333333333</v>
      </c>
      <c r="AN6" s="17">
        <f t="shared" si="5"/>
        <v>-0.92549999999999977</v>
      </c>
      <c r="AO6" s="17">
        <f t="shared" si="6"/>
        <v>0.8904999999999994</v>
      </c>
      <c r="AP6" s="17"/>
    </row>
    <row r="7" spans="1:42">
      <c r="A7" s="49">
        <v>19800430</v>
      </c>
      <c r="B7" s="49">
        <v>3.0232999999999999</v>
      </c>
      <c r="C7" s="49">
        <v>3.073</v>
      </c>
      <c r="D7" s="49">
        <v>2.6194000000000002</v>
      </c>
      <c r="E7" s="49">
        <v>2.6667000000000001</v>
      </c>
      <c r="F7" s="49">
        <v>3.42</v>
      </c>
      <c r="G7" s="49">
        <v>3.4722</v>
      </c>
      <c r="H7" s="49">
        <v>3.0554999999999999</v>
      </c>
      <c r="I7" s="49">
        <v>3.1009000000000002</v>
      </c>
      <c r="J7" s="49">
        <v>2.5531000000000001</v>
      </c>
      <c r="K7" s="49">
        <v>2.5935999999999999</v>
      </c>
      <c r="L7" s="49">
        <v>3.5714999999999999</v>
      </c>
      <c r="M7" s="49">
        <v>3.6217999999999999</v>
      </c>
      <c r="N7" s="49">
        <v>2.8603000000000001</v>
      </c>
      <c r="O7" s="49">
        <v>2.9323000000000001</v>
      </c>
      <c r="P7" s="49">
        <v>3.0049999999999999</v>
      </c>
      <c r="Q7" s="49">
        <v>3.0922999999999998</v>
      </c>
      <c r="R7" s="49">
        <v>2.7467000000000001</v>
      </c>
      <c r="S7" s="49">
        <v>2.8068</v>
      </c>
      <c r="T7" s="49">
        <v>3.9992999999999999</v>
      </c>
      <c r="U7" s="49">
        <v>4.0416999999999996</v>
      </c>
      <c r="V7" s="49">
        <v>3.7479</v>
      </c>
      <c r="W7" s="49">
        <v>3.7705000000000002</v>
      </c>
      <c r="X7" s="49">
        <v>4.2622</v>
      </c>
      <c r="Y7" s="49">
        <v>4.3253000000000004</v>
      </c>
      <c r="Z7" s="49">
        <v>1.8731</v>
      </c>
      <c r="AA7" s="49">
        <v>1.9220999999999999</v>
      </c>
      <c r="AB7" s="49">
        <v>1.0257000000000001</v>
      </c>
      <c r="AC7" s="49">
        <v>1.089</v>
      </c>
      <c r="AD7" s="49">
        <v>2.7238000000000002</v>
      </c>
      <c r="AE7" s="49">
        <v>2.7584</v>
      </c>
      <c r="AH7" s="16">
        <f t="shared" si="0"/>
        <v>19800430</v>
      </c>
      <c r="AI7" s="16">
        <f t="shared" si="1"/>
        <v>3.073</v>
      </c>
      <c r="AJ7" s="16">
        <f t="shared" si="2"/>
        <v>-0.74270000000000014</v>
      </c>
      <c r="AK7" s="16">
        <f t="shared" si="3"/>
        <v>-0.31630000000000003</v>
      </c>
      <c r="AL7" s="19">
        <v>12.125</v>
      </c>
      <c r="AM7" s="17">
        <f t="shared" si="4"/>
        <v>2.0625833333333334</v>
      </c>
      <c r="AN7" s="17">
        <f t="shared" si="5"/>
        <v>-0.74270000000000014</v>
      </c>
      <c r="AO7" s="17">
        <f t="shared" si="6"/>
        <v>-0.31630000000000003</v>
      </c>
    </row>
    <row r="8" spans="1:42">
      <c r="A8" s="49">
        <v>19800531</v>
      </c>
      <c r="B8" s="49">
        <v>0.10979999999999999</v>
      </c>
      <c r="C8" s="49">
        <v>0.16789999999999999</v>
      </c>
      <c r="D8" s="49">
        <v>7.46E-2</v>
      </c>
      <c r="E8" s="49">
        <v>0.14030000000000001</v>
      </c>
      <c r="F8" s="49">
        <v>0.14419999999999999</v>
      </c>
      <c r="G8" s="49">
        <v>0.1948</v>
      </c>
      <c r="H8" s="49">
        <v>-0.15329999999999999</v>
      </c>
      <c r="I8" s="49">
        <v>-9.8100000000000007E-2</v>
      </c>
      <c r="J8" s="49">
        <v>-0.3518</v>
      </c>
      <c r="K8" s="49">
        <v>-0.2868</v>
      </c>
      <c r="L8" s="49">
        <v>4.8399999999999999E-2</v>
      </c>
      <c r="M8" s="49">
        <v>9.3799999999999994E-2</v>
      </c>
      <c r="N8" s="49">
        <v>1.4409000000000001</v>
      </c>
      <c r="O8" s="49">
        <v>1.5132000000000001</v>
      </c>
      <c r="P8" s="49">
        <v>2.5455999999999999</v>
      </c>
      <c r="Q8" s="49">
        <v>2.6156999999999999</v>
      </c>
      <c r="R8" s="49">
        <v>0.57340000000000002</v>
      </c>
      <c r="S8" s="49">
        <v>0.64739999999999998</v>
      </c>
      <c r="T8" s="49">
        <v>0.34489999999999998</v>
      </c>
      <c r="U8" s="49">
        <v>0.40760000000000002</v>
      </c>
      <c r="V8" s="49">
        <v>-0.19719999999999999</v>
      </c>
      <c r="W8" s="49">
        <v>-0.1172</v>
      </c>
      <c r="X8" s="49">
        <v>0.90869999999999995</v>
      </c>
      <c r="Y8" s="49">
        <v>0.95330000000000004</v>
      </c>
      <c r="Z8" s="49">
        <v>-0.79059999999999997</v>
      </c>
      <c r="AA8" s="49">
        <v>-0.74480000000000002</v>
      </c>
      <c r="AB8" s="49">
        <v>-0.55459999999999998</v>
      </c>
      <c r="AC8" s="49">
        <v>-0.50939999999999996</v>
      </c>
      <c r="AD8" s="49">
        <v>-1.0237000000000001</v>
      </c>
      <c r="AE8" s="49">
        <v>-0.97729999999999995</v>
      </c>
      <c r="AH8" s="16">
        <f t="shared" si="0"/>
        <v>19800531</v>
      </c>
      <c r="AI8" s="16">
        <f t="shared" si="1"/>
        <v>0.16789999999999999</v>
      </c>
      <c r="AJ8" s="16">
        <f t="shared" si="2"/>
        <v>1.5876999999999999</v>
      </c>
      <c r="AK8" s="16">
        <f t="shared" si="3"/>
        <v>3.4560999999999997</v>
      </c>
      <c r="AL8" s="19">
        <v>12.375</v>
      </c>
      <c r="AM8" s="17">
        <f t="shared" si="4"/>
        <v>-0.86335000000000006</v>
      </c>
      <c r="AN8" s="17">
        <f t="shared" si="5"/>
        <v>1.5876999999999999</v>
      </c>
      <c r="AO8" s="17">
        <f t="shared" si="6"/>
        <v>3.4560999999999997</v>
      </c>
    </row>
    <row r="9" spans="1:42">
      <c r="A9" s="49">
        <v>19800630</v>
      </c>
      <c r="B9" s="49">
        <v>1.0918000000000001</v>
      </c>
      <c r="C9" s="49">
        <v>1.1444000000000001</v>
      </c>
      <c r="D9" s="49">
        <v>2.0768</v>
      </c>
      <c r="E9" s="49">
        <v>2.1315</v>
      </c>
      <c r="F9" s="49">
        <v>0.1348</v>
      </c>
      <c r="G9" s="49">
        <v>0.1852</v>
      </c>
      <c r="H9" s="49">
        <v>0.97019999999999995</v>
      </c>
      <c r="I9" s="49">
        <v>1.0227999999999999</v>
      </c>
      <c r="J9" s="49">
        <v>2.1777000000000002</v>
      </c>
      <c r="K9" s="49">
        <v>2.2317</v>
      </c>
      <c r="L9" s="49">
        <v>-0.2492</v>
      </c>
      <c r="M9" s="49">
        <v>-0.19800000000000001</v>
      </c>
      <c r="N9" s="49">
        <v>1.6978</v>
      </c>
      <c r="O9" s="49">
        <v>1.7499</v>
      </c>
      <c r="P9" s="49">
        <v>1.5085</v>
      </c>
      <c r="Q9" s="49">
        <v>1.5676000000000001</v>
      </c>
      <c r="R9" s="49">
        <v>1.8493999999999999</v>
      </c>
      <c r="S9" s="49">
        <v>1.8957999999999999</v>
      </c>
      <c r="T9" s="49">
        <v>-0.31990000000000002</v>
      </c>
      <c r="U9" s="49">
        <v>-0.24840000000000001</v>
      </c>
      <c r="V9" s="49">
        <v>1.1173</v>
      </c>
      <c r="W9" s="49">
        <v>1.1861999999999999</v>
      </c>
      <c r="X9" s="49">
        <v>-1.7946</v>
      </c>
      <c r="Y9" s="49">
        <v>-1.7203999999999999</v>
      </c>
      <c r="Z9" s="49">
        <v>2.6381999999999999</v>
      </c>
      <c r="AA9" s="49">
        <v>2.6665000000000001</v>
      </c>
      <c r="AB9" s="49">
        <v>3.5741000000000001</v>
      </c>
      <c r="AC9" s="49">
        <v>3.6084999999999998</v>
      </c>
      <c r="AD9" s="49">
        <v>1.7123999999999999</v>
      </c>
      <c r="AE9" s="49">
        <v>1.7345999999999999</v>
      </c>
      <c r="AH9" s="16">
        <f t="shared" si="0"/>
        <v>19800630</v>
      </c>
      <c r="AI9" s="16">
        <f t="shared" si="1"/>
        <v>1.1444000000000001</v>
      </c>
      <c r="AJ9" s="16">
        <f t="shared" si="2"/>
        <v>2.1015000000000001</v>
      </c>
      <c r="AK9" s="16">
        <f t="shared" si="3"/>
        <v>1.4297</v>
      </c>
      <c r="AL9" s="19">
        <v>12.75</v>
      </c>
      <c r="AM9" s="17">
        <f t="shared" si="4"/>
        <v>8.1900000000000084E-2</v>
      </c>
      <c r="AN9" s="17">
        <f t="shared" si="5"/>
        <v>2.1015000000000001</v>
      </c>
      <c r="AO9" s="17">
        <f t="shared" si="6"/>
        <v>1.4297</v>
      </c>
    </row>
    <row r="10" spans="1:42">
      <c r="A10" s="49">
        <v>19800731</v>
      </c>
      <c r="B10" s="49">
        <v>-0.52159999999999995</v>
      </c>
      <c r="C10" s="49">
        <v>-0.50139999999999996</v>
      </c>
      <c r="D10" s="49">
        <v>-9.06E-2</v>
      </c>
      <c r="E10" s="49">
        <v>-7.7299999999999994E-2</v>
      </c>
      <c r="F10" s="49">
        <v>-0.94840000000000002</v>
      </c>
      <c r="G10" s="49">
        <v>-0.92130000000000001</v>
      </c>
      <c r="H10" s="49">
        <v>-1.0037</v>
      </c>
      <c r="I10" s="49">
        <v>-0.98370000000000002</v>
      </c>
      <c r="J10" s="49">
        <v>-0.54300000000000004</v>
      </c>
      <c r="K10" s="49">
        <v>-0.52990000000000004</v>
      </c>
      <c r="L10" s="49">
        <v>-1.4802</v>
      </c>
      <c r="M10" s="49">
        <v>-1.4530000000000001</v>
      </c>
      <c r="N10" s="49">
        <v>1.8622000000000001</v>
      </c>
      <c r="O10" s="49">
        <v>1.8834</v>
      </c>
      <c r="P10" s="49">
        <v>2.4727000000000001</v>
      </c>
      <c r="Q10" s="49">
        <v>2.4868999999999999</v>
      </c>
      <c r="R10" s="49">
        <v>1.3753</v>
      </c>
      <c r="S10" s="49">
        <v>1.4019999999999999</v>
      </c>
      <c r="T10" s="49">
        <v>-1.1466000000000001</v>
      </c>
      <c r="U10" s="49">
        <v>-1.1295999999999999</v>
      </c>
      <c r="V10" s="49">
        <v>-0.25080000000000002</v>
      </c>
      <c r="W10" s="49">
        <v>-0.2341</v>
      </c>
      <c r="X10" s="49">
        <v>-2.0924999999999998</v>
      </c>
      <c r="Y10" s="49">
        <v>-2.0750999999999999</v>
      </c>
      <c r="Z10" s="49">
        <v>-0.8246</v>
      </c>
      <c r="AA10" s="49">
        <v>-0.80069999999999997</v>
      </c>
      <c r="AB10" s="49">
        <v>-0.91820000000000002</v>
      </c>
      <c r="AC10" s="49">
        <v>-0.90949999999999998</v>
      </c>
      <c r="AD10" s="49">
        <v>-0.73029999999999995</v>
      </c>
      <c r="AE10" s="49">
        <v>-0.69099999999999995</v>
      </c>
      <c r="AH10" s="16">
        <f t="shared" si="0"/>
        <v>19800731</v>
      </c>
      <c r="AI10" s="16">
        <f t="shared" si="1"/>
        <v>-0.50139999999999996</v>
      </c>
      <c r="AJ10" s="16">
        <f t="shared" si="2"/>
        <v>2.008</v>
      </c>
      <c r="AK10" s="16">
        <f t="shared" si="3"/>
        <v>5.8717999999999995</v>
      </c>
      <c r="AL10" s="19">
        <v>12.6875</v>
      </c>
      <c r="AM10" s="17">
        <f t="shared" si="4"/>
        <v>-1.5586916666666668</v>
      </c>
      <c r="AN10" s="17">
        <f t="shared" si="5"/>
        <v>2.008</v>
      </c>
      <c r="AO10" s="17">
        <f t="shared" si="6"/>
        <v>5.8717999999999995</v>
      </c>
    </row>
    <row r="11" spans="1:42">
      <c r="A11" s="49">
        <v>19800831</v>
      </c>
      <c r="B11" s="49">
        <v>1.6961999999999999</v>
      </c>
      <c r="C11" s="49">
        <v>1.7269000000000001</v>
      </c>
      <c r="D11" s="49">
        <v>2.2538999999999998</v>
      </c>
      <c r="E11" s="49">
        <v>2.2789999999999999</v>
      </c>
      <c r="F11" s="49">
        <v>1.1400999999999999</v>
      </c>
      <c r="G11" s="49">
        <v>1.1762999999999999</v>
      </c>
      <c r="H11" s="49">
        <v>2.1017999999999999</v>
      </c>
      <c r="I11" s="49">
        <v>2.133</v>
      </c>
      <c r="J11" s="49">
        <v>2.7</v>
      </c>
      <c r="K11" s="49">
        <v>2.7254999999999998</v>
      </c>
      <c r="L11" s="49">
        <v>1.4782999999999999</v>
      </c>
      <c r="M11" s="49">
        <v>1.5153000000000001</v>
      </c>
      <c r="N11" s="49">
        <v>-0.2515</v>
      </c>
      <c r="O11" s="49">
        <v>-0.22320000000000001</v>
      </c>
      <c r="P11" s="49">
        <v>-0.19689999999999999</v>
      </c>
      <c r="Q11" s="49">
        <v>-0.17419999999999999</v>
      </c>
      <c r="R11" s="49">
        <v>-0.29549999999999998</v>
      </c>
      <c r="S11" s="49">
        <v>-0.26269999999999999</v>
      </c>
      <c r="T11" s="49">
        <v>3.0144000000000002</v>
      </c>
      <c r="U11" s="49">
        <v>3.0407999999999999</v>
      </c>
      <c r="V11" s="49">
        <v>4.1588000000000003</v>
      </c>
      <c r="W11" s="49">
        <v>4.1833999999999998</v>
      </c>
      <c r="X11" s="49">
        <v>1.7850999999999999</v>
      </c>
      <c r="Y11" s="49">
        <v>1.8131999999999999</v>
      </c>
      <c r="Z11" s="49">
        <v>0.95960000000000001</v>
      </c>
      <c r="AA11" s="49">
        <v>0.99680000000000002</v>
      </c>
      <c r="AB11" s="49">
        <v>0.8125</v>
      </c>
      <c r="AC11" s="49">
        <v>0.83919999999999995</v>
      </c>
      <c r="AD11" s="49">
        <v>1.1073</v>
      </c>
      <c r="AE11" s="49">
        <v>1.155</v>
      </c>
      <c r="AH11" s="16">
        <f t="shared" si="0"/>
        <v>19800831</v>
      </c>
      <c r="AI11" s="16">
        <f t="shared" si="1"/>
        <v>1.7269000000000001</v>
      </c>
      <c r="AJ11" s="16">
        <f t="shared" si="2"/>
        <v>1.2986999999999997</v>
      </c>
      <c r="AK11" s="16">
        <f t="shared" si="3"/>
        <v>-4.6776999999999997</v>
      </c>
      <c r="AL11" s="19">
        <v>12.75</v>
      </c>
      <c r="AM11" s="17">
        <f t="shared" si="4"/>
        <v>0.6644000000000001</v>
      </c>
      <c r="AN11" s="17">
        <f t="shared" si="5"/>
        <v>1.2986999999999997</v>
      </c>
      <c r="AO11" s="17">
        <f t="shared" si="6"/>
        <v>-4.6776999999999997</v>
      </c>
    </row>
    <row r="12" spans="1:42">
      <c r="A12" s="49">
        <v>19800930</v>
      </c>
      <c r="B12" s="49">
        <v>2.2429000000000001</v>
      </c>
      <c r="C12" s="49">
        <v>2.7768000000000002</v>
      </c>
      <c r="D12" s="49">
        <v>2.8942999999999999</v>
      </c>
      <c r="E12" s="49">
        <v>3.5489999999999999</v>
      </c>
      <c r="F12" s="49">
        <v>1.5863</v>
      </c>
      <c r="G12" s="49">
        <v>1.9984</v>
      </c>
      <c r="H12" s="49">
        <v>2.2885</v>
      </c>
      <c r="I12" s="49">
        <v>2.8489</v>
      </c>
      <c r="J12" s="49">
        <v>2.9397000000000002</v>
      </c>
      <c r="K12" s="49">
        <v>3.6347999999999998</v>
      </c>
      <c r="L12" s="49">
        <v>1.6008</v>
      </c>
      <c r="M12" s="49">
        <v>2.0190000000000001</v>
      </c>
      <c r="N12" s="49">
        <v>2.0194000000000001</v>
      </c>
      <c r="O12" s="49">
        <v>2.4232999999999998</v>
      </c>
      <c r="P12" s="49">
        <v>2.6375000000000002</v>
      </c>
      <c r="Q12" s="49">
        <v>3.0634999999999999</v>
      </c>
      <c r="R12" s="49">
        <v>1.5239</v>
      </c>
      <c r="S12" s="49">
        <v>1.9100999999999999</v>
      </c>
      <c r="T12" s="49">
        <v>2.5503999999999998</v>
      </c>
      <c r="U12" s="49">
        <v>3.1299000000000001</v>
      </c>
      <c r="V12" s="49">
        <v>4.0434000000000001</v>
      </c>
      <c r="W12" s="49">
        <v>4.7952000000000004</v>
      </c>
      <c r="X12" s="49">
        <v>0.90300000000000002</v>
      </c>
      <c r="Y12" s="49">
        <v>1.2924</v>
      </c>
      <c r="Z12" s="49">
        <v>1.9548000000000001</v>
      </c>
      <c r="AA12" s="49">
        <v>2.4908999999999999</v>
      </c>
      <c r="AB12" s="49">
        <v>1.4632000000000001</v>
      </c>
      <c r="AC12" s="49">
        <v>2.0823999999999998</v>
      </c>
      <c r="AD12" s="49">
        <v>2.4457</v>
      </c>
      <c r="AE12" s="49">
        <v>2.8988</v>
      </c>
      <c r="AH12" s="16">
        <f t="shared" si="0"/>
        <v>19800930</v>
      </c>
      <c r="AI12" s="16">
        <f t="shared" si="1"/>
        <v>2.7768000000000002</v>
      </c>
      <c r="AJ12" s="16">
        <f t="shared" si="2"/>
        <v>2.7691999999999997</v>
      </c>
      <c r="AK12" s="16">
        <f t="shared" si="3"/>
        <v>-0.68020000000000103</v>
      </c>
      <c r="AL12" s="19">
        <v>11.625</v>
      </c>
      <c r="AM12" s="17">
        <f t="shared" si="4"/>
        <v>1.8080500000000002</v>
      </c>
      <c r="AN12" s="17">
        <f t="shared" si="5"/>
        <v>2.7691999999999997</v>
      </c>
      <c r="AO12" s="17">
        <f t="shared" si="6"/>
        <v>-0.68020000000000103</v>
      </c>
    </row>
    <row r="13" spans="1:42">
      <c r="A13" s="49">
        <v>19801031</v>
      </c>
      <c r="B13" s="49">
        <v>1.4450000000000001</v>
      </c>
      <c r="C13" s="49">
        <v>1.4823999999999999</v>
      </c>
      <c r="D13" s="49">
        <v>1.7059</v>
      </c>
      <c r="E13" s="49">
        <v>1.7355</v>
      </c>
      <c r="F13" s="49">
        <v>1.1788000000000001</v>
      </c>
      <c r="G13" s="49">
        <v>1.2241</v>
      </c>
      <c r="H13" s="49">
        <v>2.0962000000000001</v>
      </c>
      <c r="I13" s="49">
        <v>2.1276000000000002</v>
      </c>
      <c r="J13" s="49">
        <v>2.3595999999999999</v>
      </c>
      <c r="K13" s="49">
        <v>2.3815</v>
      </c>
      <c r="L13" s="49">
        <v>1.8146</v>
      </c>
      <c r="M13" s="49">
        <v>1.8561000000000001</v>
      </c>
      <c r="N13" s="49">
        <v>-1.7503</v>
      </c>
      <c r="O13" s="49">
        <v>-1.6835</v>
      </c>
      <c r="P13" s="49">
        <v>-2.0005000000000002</v>
      </c>
      <c r="Q13" s="49">
        <v>-1.9273</v>
      </c>
      <c r="R13" s="49">
        <v>-1.548</v>
      </c>
      <c r="S13" s="49">
        <v>-1.4863</v>
      </c>
      <c r="T13" s="49">
        <v>3.1556000000000002</v>
      </c>
      <c r="U13" s="49">
        <v>3.1905999999999999</v>
      </c>
      <c r="V13" s="49">
        <v>3.7002999999999999</v>
      </c>
      <c r="W13" s="49">
        <v>3.7191999999999998</v>
      </c>
      <c r="X13" s="49">
        <v>2.5348999999999999</v>
      </c>
      <c r="Y13" s="49">
        <v>2.5880999999999998</v>
      </c>
      <c r="Z13" s="49">
        <v>0.74199999999999999</v>
      </c>
      <c r="AA13" s="49">
        <v>0.76880000000000004</v>
      </c>
      <c r="AB13" s="49">
        <v>0.52080000000000004</v>
      </c>
      <c r="AC13" s="49">
        <v>0.54700000000000004</v>
      </c>
      <c r="AD13" s="49">
        <v>0.95989999999999998</v>
      </c>
      <c r="AE13" s="49">
        <v>0.98750000000000004</v>
      </c>
      <c r="AH13" s="16">
        <f t="shared" si="0"/>
        <v>19801031</v>
      </c>
      <c r="AI13" s="16">
        <f t="shared" si="1"/>
        <v>1.4823999999999999</v>
      </c>
      <c r="AJ13" s="16">
        <f t="shared" si="2"/>
        <v>8.4399999999999809E-2</v>
      </c>
      <c r="AK13" s="16">
        <f t="shared" si="3"/>
        <v>-7.6512000000000002</v>
      </c>
      <c r="AL13" s="19">
        <v>11.3125</v>
      </c>
      <c r="AM13" s="17">
        <f t="shared" si="4"/>
        <v>0.53969166666666657</v>
      </c>
      <c r="AN13" s="17">
        <f t="shared" si="5"/>
        <v>8.4399999999999809E-2</v>
      </c>
      <c r="AO13" s="17">
        <f t="shared" si="6"/>
        <v>-7.6512000000000002</v>
      </c>
    </row>
    <row r="14" spans="1:42">
      <c r="A14" s="49">
        <v>19801130</v>
      </c>
      <c r="B14" s="49">
        <v>-0.625</v>
      </c>
      <c r="C14" s="49">
        <v>-0.55200000000000005</v>
      </c>
      <c r="D14" s="49">
        <v>-1.3205</v>
      </c>
      <c r="E14" s="49">
        <v>-1.2395</v>
      </c>
      <c r="F14" s="49">
        <v>8.8800000000000004E-2</v>
      </c>
      <c r="G14" s="49">
        <v>0.1535</v>
      </c>
      <c r="H14" s="49">
        <v>-0.71779999999999999</v>
      </c>
      <c r="I14" s="49">
        <v>-0.65069999999999995</v>
      </c>
      <c r="J14" s="49">
        <v>-1.4834000000000001</v>
      </c>
      <c r="K14" s="49">
        <v>-1.4105000000000001</v>
      </c>
      <c r="L14" s="49">
        <v>0.1062</v>
      </c>
      <c r="M14" s="49">
        <v>0.16719999999999999</v>
      </c>
      <c r="N14" s="49">
        <v>-0.1517</v>
      </c>
      <c r="O14" s="49">
        <v>-4.8800000000000003E-2</v>
      </c>
      <c r="P14" s="49">
        <v>-0.35470000000000002</v>
      </c>
      <c r="Q14" s="49">
        <v>-0.22509999999999999</v>
      </c>
      <c r="R14" s="49">
        <v>1.1599999999999999E-2</v>
      </c>
      <c r="S14" s="49">
        <v>9.2999999999999999E-2</v>
      </c>
      <c r="T14" s="49">
        <v>-1.6754</v>
      </c>
      <c r="U14" s="49">
        <v>-1.6125</v>
      </c>
      <c r="V14" s="49">
        <v>-2.2277</v>
      </c>
      <c r="W14" s="49">
        <v>-2.1524000000000001</v>
      </c>
      <c r="X14" s="49">
        <v>-1.0375000000000001</v>
      </c>
      <c r="Y14" s="49">
        <v>-0.9889</v>
      </c>
      <c r="Z14" s="49">
        <v>0.53790000000000004</v>
      </c>
      <c r="AA14" s="49">
        <v>0.61060000000000003</v>
      </c>
      <c r="AB14" s="49">
        <v>-0.42720000000000002</v>
      </c>
      <c r="AC14" s="49">
        <v>-0.35759999999999997</v>
      </c>
      <c r="AD14" s="49">
        <v>1.4846999999999999</v>
      </c>
      <c r="AE14" s="49">
        <v>1.5605</v>
      </c>
      <c r="AH14" s="16">
        <f t="shared" si="0"/>
        <v>19801130</v>
      </c>
      <c r="AI14" s="16">
        <f t="shared" si="1"/>
        <v>-0.55200000000000005</v>
      </c>
      <c r="AJ14" s="16">
        <f t="shared" si="2"/>
        <v>-1.8958000000000002</v>
      </c>
      <c r="AK14" s="16">
        <f t="shared" si="3"/>
        <v>1.1112000000000002</v>
      </c>
      <c r="AL14" s="19">
        <v>10.8125</v>
      </c>
      <c r="AM14" s="17">
        <f t="shared" si="4"/>
        <v>-1.4530416666666666</v>
      </c>
      <c r="AN14" s="17">
        <f t="shared" si="5"/>
        <v>-1.8958000000000002</v>
      </c>
      <c r="AO14" s="17">
        <f t="shared" si="6"/>
        <v>1.1112000000000002</v>
      </c>
    </row>
    <row r="15" spans="1:42">
      <c r="A15" s="49">
        <v>19801231</v>
      </c>
      <c r="B15" s="49">
        <v>0.29139999999999999</v>
      </c>
      <c r="C15" s="49">
        <v>0.38</v>
      </c>
      <c r="D15" s="49">
        <v>1.1443000000000001</v>
      </c>
      <c r="E15" s="49">
        <v>1.2272000000000001</v>
      </c>
      <c r="F15" s="49">
        <v>-0.56859999999999999</v>
      </c>
      <c r="G15" s="49">
        <v>-0.47420000000000001</v>
      </c>
      <c r="H15" s="49">
        <v>4.53E-2</v>
      </c>
      <c r="I15" s="49">
        <v>0.12889999999999999</v>
      </c>
      <c r="J15" s="49">
        <v>1.0960000000000001</v>
      </c>
      <c r="K15" s="49">
        <v>1.1716</v>
      </c>
      <c r="L15" s="49">
        <v>-1.0628</v>
      </c>
      <c r="M15" s="49">
        <v>-0.97070000000000001</v>
      </c>
      <c r="N15" s="49">
        <v>1.5376000000000001</v>
      </c>
      <c r="O15" s="49">
        <v>1.6515</v>
      </c>
      <c r="P15" s="49">
        <v>1.4261999999999999</v>
      </c>
      <c r="Q15" s="49">
        <v>1.5518000000000001</v>
      </c>
      <c r="R15" s="49">
        <v>1.6269</v>
      </c>
      <c r="S15" s="49">
        <v>1.7314000000000001</v>
      </c>
      <c r="T15" s="49">
        <v>-0.1227</v>
      </c>
      <c r="U15" s="49">
        <v>-2.76E-2</v>
      </c>
      <c r="V15" s="49">
        <v>0.97070000000000001</v>
      </c>
      <c r="W15" s="49">
        <v>1.0579000000000001</v>
      </c>
      <c r="X15" s="49">
        <v>-1.3656999999999999</v>
      </c>
      <c r="Y15" s="49">
        <v>-1.2616000000000001</v>
      </c>
      <c r="Z15" s="49">
        <v>0.26069999999999999</v>
      </c>
      <c r="AA15" s="49">
        <v>0.3296</v>
      </c>
      <c r="AB15" s="49">
        <v>1.2707999999999999</v>
      </c>
      <c r="AC15" s="49">
        <v>1.3301000000000001</v>
      </c>
      <c r="AD15" s="49">
        <v>-0.70709999999999995</v>
      </c>
      <c r="AE15" s="49">
        <v>-0.629</v>
      </c>
      <c r="AH15" s="16">
        <f t="shared" si="0"/>
        <v>19801231</v>
      </c>
      <c r="AI15" s="16">
        <f t="shared" si="1"/>
        <v>0.38</v>
      </c>
      <c r="AJ15" s="16">
        <f t="shared" si="2"/>
        <v>1.9627000000000001</v>
      </c>
      <c r="AK15" s="16">
        <f t="shared" si="3"/>
        <v>3.0823</v>
      </c>
      <c r="AL15" s="19">
        <v>9.5</v>
      </c>
      <c r="AM15" s="17">
        <f t="shared" si="4"/>
        <v>-0.41166666666666663</v>
      </c>
      <c r="AN15" s="17">
        <f t="shared" si="5"/>
        <v>1.9627000000000001</v>
      </c>
      <c r="AO15" s="17">
        <f t="shared" si="6"/>
        <v>3.0823</v>
      </c>
    </row>
    <row r="16" spans="1:42">
      <c r="A16" s="49">
        <v>19810131</v>
      </c>
      <c r="B16" s="49">
        <v>3.1107999999999998</v>
      </c>
      <c r="C16" s="49">
        <v>3.1352000000000002</v>
      </c>
      <c r="D16" s="49">
        <v>3.1086</v>
      </c>
      <c r="E16" s="49">
        <v>3.1379000000000001</v>
      </c>
      <c r="F16" s="49">
        <v>3.1131000000000002</v>
      </c>
      <c r="G16" s="49">
        <v>3.1324999999999998</v>
      </c>
      <c r="H16" s="49">
        <v>2.7524000000000002</v>
      </c>
      <c r="I16" s="49">
        <v>2.7765</v>
      </c>
      <c r="J16" s="49">
        <v>2.7067999999999999</v>
      </c>
      <c r="K16" s="49">
        <v>2.7364000000000002</v>
      </c>
      <c r="L16" s="49">
        <v>2.8001</v>
      </c>
      <c r="M16" s="49">
        <v>2.8184999999999998</v>
      </c>
      <c r="N16" s="49">
        <v>4.8963999999999999</v>
      </c>
      <c r="O16" s="49">
        <v>4.9222999999999999</v>
      </c>
      <c r="P16" s="49">
        <v>5.3456000000000001</v>
      </c>
      <c r="Q16" s="49">
        <v>5.3733000000000004</v>
      </c>
      <c r="R16" s="49">
        <v>4.5172999999999996</v>
      </c>
      <c r="S16" s="49">
        <v>4.5416999999999996</v>
      </c>
      <c r="T16" s="49">
        <v>2.1663999999999999</v>
      </c>
      <c r="U16" s="49">
        <v>2.1844000000000001</v>
      </c>
      <c r="V16" s="49">
        <v>2.3725000000000001</v>
      </c>
      <c r="W16" s="49">
        <v>2.3898000000000001</v>
      </c>
      <c r="X16" s="49">
        <v>1.9410000000000001</v>
      </c>
      <c r="Y16" s="49">
        <v>1.9598</v>
      </c>
      <c r="Z16" s="49">
        <v>3.5011000000000001</v>
      </c>
      <c r="AA16" s="49">
        <v>3.5329999999999999</v>
      </c>
      <c r="AB16" s="49">
        <v>3.1554000000000002</v>
      </c>
      <c r="AC16" s="49">
        <v>3.2014999999999998</v>
      </c>
      <c r="AD16" s="49">
        <v>3.8435000000000001</v>
      </c>
      <c r="AE16" s="49">
        <v>3.8612000000000002</v>
      </c>
      <c r="AH16" s="16">
        <f t="shared" si="0"/>
        <v>19810131</v>
      </c>
      <c r="AI16" s="16">
        <f t="shared" si="1"/>
        <v>3.1352000000000002</v>
      </c>
      <c r="AJ16" s="16">
        <f t="shared" si="2"/>
        <v>0.74950000000000117</v>
      </c>
      <c r="AK16" s="16">
        <f t="shared" si="3"/>
        <v>4.3600999999999992</v>
      </c>
      <c r="AL16" s="19">
        <v>9.375</v>
      </c>
      <c r="AM16" s="17">
        <f t="shared" si="4"/>
        <v>2.3539500000000002</v>
      </c>
      <c r="AN16" s="17">
        <f t="shared" si="5"/>
        <v>0.74950000000000117</v>
      </c>
      <c r="AO16" s="17">
        <f t="shared" si="6"/>
        <v>4.3600999999999992</v>
      </c>
    </row>
    <row r="17" spans="1:41">
      <c r="A17" s="49">
        <v>19810228</v>
      </c>
      <c r="B17" s="49">
        <v>-0.51700000000000002</v>
      </c>
      <c r="C17" s="49">
        <v>-0.47020000000000001</v>
      </c>
      <c r="D17" s="49">
        <v>-0.7107</v>
      </c>
      <c r="E17" s="49">
        <v>-0.67490000000000006</v>
      </c>
      <c r="F17" s="49">
        <v>-0.3216</v>
      </c>
      <c r="G17" s="49">
        <v>-0.2636</v>
      </c>
      <c r="H17" s="49">
        <v>-0.25629999999999997</v>
      </c>
      <c r="I17" s="49">
        <v>-0.2092</v>
      </c>
      <c r="J17" s="49">
        <v>-0.39979999999999999</v>
      </c>
      <c r="K17" s="49">
        <v>-0.36199999999999999</v>
      </c>
      <c r="L17" s="49">
        <v>-0.10639999999999999</v>
      </c>
      <c r="M17" s="49">
        <v>-4.9599999999999998E-2</v>
      </c>
      <c r="N17" s="49">
        <v>-1.7887999999999999</v>
      </c>
      <c r="O17" s="49">
        <v>-1.7434000000000001</v>
      </c>
      <c r="P17" s="49">
        <v>-2.3969</v>
      </c>
      <c r="Q17" s="49">
        <v>-2.3723999999999998</v>
      </c>
      <c r="R17" s="49">
        <v>-1.2716000000000001</v>
      </c>
      <c r="S17" s="49">
        <v>-1.2083999999999999</v>
      </c>
      <c r="T17" s="49">
        <v>-6.93E-2</v>
      </c>
      <c r="U17" s="49">
        <v>-4.53E-2</v>
      </c>
      <c r="V17" s="49">
        <v>-0.13769999999999999</v>
      </c>
      <c r="W17" s="49">
        <v>-0.112</v>
      </c>
      <c r="X17" s="49">
        <v>5.7000000000000002E-3</v>
      </c>
      <c r="Y17" s="49">
        <v>2.8000000000000001E-2</v>
      </c>
      <c r="Z17" s="49">
        <v>-0.49159999999999998</v>
      </c>
      <c r="AA17" s="49">
        <v>-0.41549999999999998</v>
      </c>
      <c r="AB17" s="49">
        <v>-0.74860000000000004</v>
      </c>
      <c r="AC17" s="49">
        <v>-0.6946</v>
      </c>
      <c r="AD17" s="49">
        <v>-0.23960000000000001</v>
      </c>
      <c r="AE17" s="49">
        <v>-0.14180000000000001</v>
      </c>
      <c r="AH17" s="16">
        <f t="shared" si="0"/>
        <v>19810228</v>
      </c>
      <c r="AI17" s="16">
        <f t="shared" si="1"/>
        <v>-0.47020000000000001</v>
      </c>
      <c r="AJ17" s="16">
        <f t="shared" si="2"/>
        <v>-1.4763999999999999</v>
      </c>
      <c r="AK17" s="16">
        <f t="shared" si="3"/>
        <v>-3.1692</v>
      </c>
      <c r="AL17" s="19">
        <v>8.875</v>
      </c>
      <c r="AM17" s="17">
        <f t="shared" si="4"/>
        <v>-1.2097833333333334</v>
      </c>
      <c r="AN17" s="17">
        <f t="shared" si="5"/>
        <v>-1.4763999999999999</v>
      </c>
      <c r="AO17" s="17">
        <f t="shared" si="6"/>
        <v>-3.1692</v>
      </c>
    </row>
    <row r="18" spans="1:41">
      <c r="A18" s="49">
        <v>19810331</v>
      </c>
      <c r="B18" s="49">
        <v>4.5888</v>
      </c>
      <c r="C18" s="49">
        <v>5.5072999999999999</v>
      </c>
      <c r="D18" s="49">
        <v>6.4957000000000003</v>
      </c>
      <c r="E18" s="49">
        <v>7.4333</v>
      </c>
      <c r="F18" s="49">
        <v>2.6766000000000001</v>
      </c>
      <c r="G18" s="49">
        <v>3.5758999999999999</v>
      </c>
      <c r="H18" s="49">
        <v>5.8742000000000001</v>
      </c>
      <c r="I18" s="49">
        <v>6.8593000000000002</v>
      </c>
      <c r="J18" s="49">
        <v>7.9333</v>
      </c>
      <c r="K18" s="49">
        <v>8.9194999999999993</v>
      </c>
      <c r="L18" s="49">
        <v>3.7339000000000002</v>
      </c>
      <c r="M18" s="49">
        <v>4.7176999999999998</v>
      </c>
      <c r="N18" s="49">
        <v>-1.7817000000000001</v>
      </c>
      <c r="O18" s="49">
        <v>-1.1934</v>
      </c>
      <c r="P18" s="49">
        <v>-1.4649000000000001</v>
      </c>
      <c r="Q18" s="49">
        <v>-0.79720000000000002</v>
      </c>
      <c r="R18" s="49">
        <v>-2.0474999999999999</v>
      </c>
      <c r="S18" s="49">
        <v>-1.5256000000000001</v>
      </c>
      <c r="T18" s="49">
        <v>8.6821999999999999</v>
      </c>
      <c r="U18" s="49">
        <v>9.8454999999999995</v>
      </c>
      <c r="V18" s="49">
        <v>12.2126</v>
      </c>
      <c r="W18" s="49">
        <v>13.2195</v>
      </c>
      <c r="X18" s="49">
        <v>4.8121999999999998</v>
      </c>
      <c r="Y18" s="49">
        <v>6.1468999999999996</v>
      </c>
      <c r="Z18" s="49">
        <v>2.343</v>
      </c>
      <c r="AA18" s="49">
        <v>3.1040000000000001</v>
      </c>
      <c r="AB18" s="49">
        <v>2.2250000000000001</v>
      </c>
      <c r="AC18" s="49">
        <v>3.1837</v>
      </c>
      <c r="AD18" s="49">
        <v>2.4578000000000002</v>
      </c>
      <c r="AE18" s="49">
        <v>3.0264000000000002</v>
      </c>
      <c r="AH18" s="16">
        <f t="shared" si="0"/>
        <v>19810331</v>
      </c>
      <c r="AI18" s="16">
        <f t="shared" si="1"/>
        <v>5.5072999999999999</v>
      </c>
      <c r="AJ18" s="16">
        <f t="shared" si="2"/>
        <v>4.9301999999999992</v>
      </c>
      <c r="AK18" s="16">
        <f t="shared" si="3"/>
        <v>-15.96</v>
      </c>
      <c r="AL18" s="19">
        <v>8.625</v>
      </c>
      <c r="AM18" s="17">
        <f t="shared" si="4"/>
        <v>4.7885499999999999</v>
      </c>
      <c r="AN18" s="17">
        <f t="shared" si="5"/>
        <v>4.9301999999999992</v>
      </c>
      <c r="AO18" s="17">
        <f t="shared" si="6"/>
        <v>-15.96</v>
      </c>
    </row>
    <row r="19" spans="1:41">
      <c r="A19" s="49">
        <v>19810430</v>
      </c>
      <c r="B19" s="49">
        <v>6.0906000000000002</v>
      </c>
      <c r="C19" s="49">
        <v>6.1325000000000003</v>
      </c>
      <c r="D19" s="49">
        <v>9.1377000000000006</v>
      </c>
      <c r="E19" s="49">
        <v>9.1720000000000006</v>
      </c>
      <c r="F19" s="49">
        <v>2.9285000000000001</v>
      </c>
      <c r="G19" s="49">
        <v>2.9782000000000002</v>
      </c>
      <c r="H19" s="49">
        <v>7.7188999999999997</v>
      </c>
      <c r="I19" s="49">
        <v>7.7565999999999997</v>
      </c>
      <c r="J19" s="49">
        <v>11.0725</v>
      </c>
      <c r="K19" s="49">
        <v>11.100300000000001</v>
      </c>
      <c r="L19" s="49">
        <v>4.1024000000000003</v>
      </c>
      <c r="M19" s="49">
        <v>4.1508000000000003</v>
      </c>
      <c r="N19" s="49">
        <v>-2.6173999999999999</v>
      </c>
      <c r="O19" s="49">
        <v>-2.5531999999999999</v>
      </c>
      <c r="P19" s="49">
        <v>-2.5857999999999999</v>
      </c>
      <c r="Q19" s="49">
        <v>-2.5116999999999998</v>
      </c>
      <c r="R19" s="49">
        <v>-2.6440999999999999</v>
      </c>
      <c r="S19" s="49">
        <v>-2.5882000000000001</v>
      </c>
      <c r="T19" s="49">
        <v>12.4444</v>
      </c>
      <c r="U19" s="49">
        <v>12.477499999999999</v>
      </c>
      <c r="V19" s="49">
        <v>17.023099999999999</v>
      </c>
      <c r="W19" s="49">
        <v>17.0336</v>
      </c>
      <c r="X19" s="49">
        <v>7.0936000000000003</v>
      </c>
      <c r="Y19" s="49">
        <v>7.1531000000000002</v>
      </c>
      <c r="Z19" s="49">
        <v>1.403</v>
      </c>
      <c r="AA19" s="49">
        <v>1.4468000000000001</v>
      </c>
      <c r="AB19" s="49">
        <v>2.3631000000000002</v>
      </c>
      <c r="AC19" s="49">
        <v>2.4161000000000001</v>
      </c>
      <c r="AD19" s="49">
        <v>0.4728</v>
      </c>
      <c r="AE19" s="49">
        <v>0.50770000000000004</v>
      </c>
      <c r="AH19" s="16">
        <f t="shared" si="0"/>
        <v>19810430</v>
      </c>
      <c r="AI19" s="16">
        <f t="shared" si="1"/>
        <v>6.1325000000000003</v>
      </c>
      <c r="AJ19" s="16">
        <f t="shared" si="2"/>
        <v>7.0260000000000007</v>
      </c>
      <c r="AK19" s="16">
        <f t="shared" si="3"/>
        <v>-20.350999999999999</v>
      </c>
      <c r="AL19" s="19">
        <v>7.4375</v>
      </c>
      <c r="AM19" s="17">
        <f t="shared" si="4"/>
        <v>5.5127083333333333</v>
      </c>
      <c r="AN19" s="17">
        <f t="shared" si="5"/>
        <v>7.0260000000000007</v>
      </c>
      <c r="AO19" s="17">
        <f t="shared" si="6"/>
        <v>-20.350999999999999</v>
      </c>
    </row>
    <row r="20" spans="1:41">
      <c r="A20" s="49">
        <v>19810531</v>
      </c>
      <c r="B20" s="49">
        <v>-5.8999999999999999E-3</v>
      </c>
      <c r="C20" s="49">
        <v>4.41E-2</v>
      </c>
      <c r="D20" s="49">
        <v>0.28470000000000001</v>
      </c>
      <c r="E20" s="49">
        <v>0.34560000000000002</v>
      </c>
      <c r="F20" s="49">
        <v>-0.3261</v>
      </c>
      <c r="G20" s="49">
        <v>-0.28810000000000002</v>
      </c>
      <c r="H20" s="49">
        <v>0.69040000000000001</v>
      </c>
      <c r="I20" s="49">
        <v>0.73719999999999997</v>
      </c>
      <c r="J20" s="49">
        <v>1.0144</v>
      </c>
      <c r="K20" s="49">
        <v>1.0712999999999999</v>
      </c>
      <c r="L20" s="49">
        <v>0.31690000000000002</v>
      </c>
      <c r="M20" s="49">
        <v>0.3523</v>
      </c>
      <c r="N20" s="49">
        <v>-4.1311999999999998</v>
      </c>
      <c r="O20" s="49">
        <v>-4.0624000000000002</v>
      </c>
      <c r="P20" s="49">
        <v>-4.7652000000000001</v>
      </c>
      <c r="Q20" s="49">
        <v>-4.6759000000000004</v>
      </c>
      <c r="R20" s="49">
        <v>-3.5945999999999998</v>
      </c>
      <c r="S20" s="49">
        <v>-3.5430999999999999</v>
      </c>
      <c r="T20" s="49">
        <v>2.8431999999999999</v>
      </c>
      <c r="U20" s="49">
        <v>2.8965999999999998</v>
      </c>
      <c r="V20" s="49">
        <v>3.5268999999999999</v>
      </c>
      <c r="W20" s="49">
        <v>3.5972</v>
      </c>
      <c r="X20" s="49">
        <v>1.9685999999999999</v>
      </c>
      <c r="Y20" s="49">
        <v>2.0004</v>
      </c>
      <c r="Z20" s="49">
        <v>-2.5131000000000001</v>
      </c>
      <c r="AA20" s="49">
        <v>-2.476</v>
      </c>
      <c r="AB20" s="49">
        <v>-3.2088000000000001</v>
      </c>
      <c r="AC20" s="49">
        <v>-3.1745000000000001</v>
      </c>
      <c r="AD20" s="49">
        <v>-1.8261000000000001</v>
      </c>
      <c r="AE20" s="49">
        <v>-1.7862</v>
      </c>
      <c r="AH20" s="16">
        <f t="shared" si="0"/>
        <v>19810531</v>
      </c>
      <c r="AI20" s="16">
        <f t="shared" si="1"/>
        <v>4.41E-2</v>
      </c>
      <c r="AJ20" s="16">
        <f t="shared" si="2"/>
        <v>-0.41380000000000061</v>
      </c>
      <c r="AK20" s="16">
        <f t="shared" si="3"/>
        <v>-9.6426000000000016</v>
      </c>
      <c r="AL20" s="19">
        <v>7.1875</v>
      </c>
      <c r="AM20" s="17">
        <f t="shared" si="4"/>
        <v>-0.55485833333333334</v>
      </c>
      <c r="AN20" s="17">
        <f t="shared" si="5"/>
        <v>-0.41380000000000061</v>
      </c>
      <c r="AO20" s="17">
        <f t="shared" si="6"/>
        <v>-9.6426000000000016</v>
      </c>
    </row>
    <row r="21" spans="1:41">
      <c r="A21" s="49">
        <v>19810630</v>
      </c>
      <c r="B21" s="49">
        <v>4.5461</v>
      </c>
      <c r="C21" s="49">
        <v>4.5899000000000001</v>
      </c>
      <c r="D21" s="49">
        <v>4.2910000000000004</v>
      </c>
      <c r="E21" s="49">
        <v>4.3407999999999998</v>
      </c>
      <c r="F21" s="49">
        <v>4.8287000000000004</v>
      </c>
      <c r="G21" s="49">
        <v>4.8658999999999999</v>
      </c>
      <c r="H21" s="49">
        <v>4.4020000000000001</v>
      </c>
      <c r="I21" s="49">
        <v>4.4459999999999997</v>
      </c>
      <c r="J21" s="49">
        <v>4.2038000000000002</v>
      </c>
      <c r="K21" s="49">
        <v>4.2549999999999999</v>
      </c>
      <c r="L21" s="49">
        <v>4.6318000000000001</v>
      </c>
      <c r="M21" s="49">
        <v>4.6673999999999998</v>
      </c>
      <c r="N21" s="49">
        <v>5.4428000000000001</v>
      </c>
      <c r="O21" s="49">
        <v>5.4855999999999998</v>
      </c>
      <c r="P21" s="49">
        <v>4.9309000000000003</v>
      </c>
      <c r="Q21" s="49">
        <v>4.9705000000000004</v>
      </c>
      <c r="R21" s="49">
        <v>5.8703000000000003</v>
      </c>
      <c r="S21" s="49">
        <v>5.9157999999999999</v>
      </c>
      <c r="T21" s="49">
        <v>3.4971000000000001</v>
      </c>
      <c r="U21" s="49">
        <v>3.5526</v>
      </c>
      <c r="V21" s="49">
        <v>3.9908000000000001</v>
      </c>
      <c r="W21" s="49">
        <v>4.0578000000000003</v>
      </c>
      <c r="X21" s="49">
        <v>2.8572000000000002</v>
      </c>
      <c r="Y21" s="49">
        <v>2.8978000000000002</v>
      </c>
      <c r="Z21" s="49">
        <v>5.8223000000000003</v>
      </c>
      <c r="AA21" s="49">
        <v>5.8482000000000003</v>
      </c>
      <c r="AB21" s="49">
        <v>4.5861000000000001</v>
      </c>
      <c r="AC21" s="49">
        <v>4.609</v>
      </c>
      <c r="AD21" s="49">
        <v>7.0269000000000004</v>
      </c>
      <c r="AE21" s="49">
        <v>7.0556999999999999</v>
      </c>
      <c r="AH21" s="16">
        <f t="shared" si="0"/>
        <v>19810630</v>
      </c>
      <c r="AI21" s="16">
        <f t="shared" si="1"/>
        <v>4.5899000000000001</v>
      </c>
      <c r="AJ21" s="16">
        <f t="shared" si="2"/>
        <v>-1.3576999999999995</v>
      </c>
      <c r="AK21" s="16">
        <f t="shared" si="3"/>
        <v>1.9639000000000006</v>
      </c>
      <c r="AL21" s="19">
        <v>6.9375</v>
      </c>
      <c r="AM21" s="17">
        <f t="shared" si="4"/>
        <v>4.0117750000000001</v>
      </c>
      <c r="AN21" s="17">
        <f t="shared" si="5"/>
        <v>-1.3576999999999995</v>
      </c>
      <c r="AO21" s="17">
        <f t="shared" si="6"/>
        <v>1.9639000000000006</v>
      </c>
    </row>
    <row r="22" spans="1:41">
      <c r="A22" s="49">
        <v>19810731</v>
      </c>
      <c r="B22" s="49">
        <v>0.99280000000000002</v>
      </c>
      <c r="C22" s="49">
        <v>1.0105</v>
      </c>
      <c r="D22" s="49">
        <v>1.7567999999999999</v>
      </c>
      <c r="E22" s="49">
        <v>1.7729999999999999</v>
      </c>
      <c r="F22" s="49">
        <v>0.15260000000000001</v>
      </c>
      <c r="G22" s="49">
        <v>0.17199999999999999</v>
      </c>
      <c r="H22" s="49">
        <v>1.4231</v>
      </c>
      <c r="I22" s="49">
        <v>1.4400999999999999</v>
      </c>
      <c r="J22" s="49">
        <v>2.2625999999999999</v>
      </c>
      <c r="K22" s="49">
        <v>2.2789999999999999</v>
      </c>
      <c r="L22" s="49">
        <v>0.45569999999999999</v>
      </c>
      <c r="M22" s="49">
        <v>0.47339999999999999</v>
      </c>
      <c r="N22" s="49">
        <v>-1.6558999999999999</v>
      </c>
      <c r="O22" s="49">
        <v>-1.6335</v>
      </c>
      <c r="P22" s="49">
        <v>-1.9305000000000001</v>
      </c>
      <c r="Q22" s="49">
        <v>-1.915</v>
      </c>
      <c r="R22" s="49">
        <v>-1.4293</v>
      </c>
      <c r="S22" s="49">
        <v>-1.4011</v>
      </c>
      <c r="T22" s="49">
        <v>2.6463000000000001</v>
      </c>
      <c r="U22" s="49">
        <v>2.6600999999999999</v>
      </c>
      <c r="V22" s="49">
        <v>3.8064</v>
      </c>
      <c r="W22" s="49">
        <v>3.8203</v>
      </c>
      <c r="X22" s="49">
        <v>1.1285000000000001</v>
      </c>
      <c r="Y22" s="49">
        <v>1.1419999999999999</v>
      </c>
      <c r="Z22" s="49">
        <v>-0.44950000000000001</v>
      </c>
      <c r="AA22" s="49">
        <v>-0.42759999999999998</v>
      </c>
      <c r="AB22" s="49">
        <v>-0.4864</v>
      </c>
      <c r="AC22" s="49">
        <v>-0.46579999999999999</v>
      </c>
      <c r="AD22" s="49">
        <v>-0.41439999999999999</v>
      </c>
      <c r="AE22" s="49">
        <v>-0.39140000000000003</v>
      </c>
      <c r="AH22" s="16">
        <f t="shared" si="0"/>
        <v>19810731</v>
      </c>
      <c r="AI22" s="16">
        <f t="shared" si="1"/>
        <v>1.0105</v>
      </c>
      <c r="AJ22" s="16">
        <f t="shared" si="2"/>
        <v>1.2916999999999998</v>
      </c>
      <c r="AK22" s="16">
        <f t="shared" si="3"/>
        <v>-6.0685000000000002</v>
      </c>
      <c r="AL22" s="19">
        <v>7.25</v>
      </c>
      <c r="AM22" s="17">
        <f t="shared" si="4"/>
        <v>0.40633333333333332</v>
      </c>
      <c r="AN22" s="17">
        <f t="shared" si="5"/>
        <v>1.2916999999999998</v>
      </c>
      <c r="AO22" s="17">
        <f t="shared" si="6"/>
        <v>-6.0685000000000002</v>
      </c>
    </row>
    <row r="23" spans="1:41">
      <c r="A23" s="49">
        <v>19810831</v>
      </c>
      <c r="B23" s="49">
        <v>-4.6100000000000002E-2</v>
      </c>
      <c r="C23" s="49">
        <v>-2.01E-2</v>
      </c>
      <c r="D23" s="49">
        <v>0.90620000000000001</v>
      </c>
      <c r="E23" s="49">
        <v>0.9284</v>
      </c>
      <c r="F23" s="49">
        <v>-1.1115999999999999</v>
      </c>
      <c r="G23" s="49">
        <v>-1.0812999999999999</v>
      </c>
      <c r="H23" s="49">
        <v>7.7600000000000002E-2</v>
      </c>
      <c r="I23" s="49">
        <v>0.1024</v>
      </c>
      <c r="J23" s="49">
        <v>0.99309999999999998</v>
      </c>
      <c r="K23" s="49">
        <v>1.0152000000000001</v>
      </c>
      <c r="L23" s="49">
        <v>-0.998</v>
      </c>
      <c r="M23" s="49">
        <v>-0.97009999999999996</v>
      </c>
      <c r="N23" s="49">
        <v>-0.83360000000000001</v>
      </c>
      <c r="O23" s="49">
        <v>-0.80010000000000003</v>
      </c>
      <c r="P23" s="49">
        <v>0.2429</v>
      </c>
      <c r="Q23" s="49">
        <v>0.26519999999999999</v>
      </c>
      <c r="R23" s="49">
        <v>-1.7161</v>
      </c>
      <c r="S23" s="49">
        <v>-1.6735</v>
      </c>
      <c r="T23" s="49">
        <v>0.37269999999999998</v>
      </c>
      <c r="U23" s="49">
        <v>0.39079999999999998</v>
      </c>
      <c r="V23" s="49">
        <v>1.3059000000000001</v>
      </c>
      <c r="W23" s="49">
        <v>1.3236000000000001</v>
      </c>
      <c r="X23" s="49">
        <v>-0.88600000000000001</v>
      </c>
      <c r="Y23" s="49">
        <v>-0.86739999999999995</v>
      </c>
      <c r="Z23" s="49">
        <v>-0.38790000000000002</v>
      </c>
      <c r="AA23" s="49">
        <v>-0.35239999999999999</v>
      </c>
      <c r="AB23" s="49">
        <v>0.41060000000000002</v>
      </c>
      <c r="AC23" s="49">
        <v>0.44119999999999998</v>
      </c>
      <c r="AD23" s="49">
        <v>-1.1446000000000001</v>
      </c>
      <c r="AE23" s="49">
        <v>-1.1043000000000001</v>
      </c>
      <c r="AH23" s="16">
        <f t="shared" si="0"/>
        <v>19810831</v>
      </c>
      <c r="AI23" s="16">
        <f t="shared" si="1"/>
        <v>-2.01E-2</v>
      </c>
      <c r="AJ23" s="16">
        <f t="shared" si="2"/>
        <v>3.9239999999999999</v>
      </c>
      <c r="AK23" s="16">
        <f t="shared" si="3"/>
        <v>-1.4534000000000002</v>
      </c>
      <c r="AL23" s="19">
        <v>7.3125</v>
      </c>
      <c r="AM23" s="17">
        <f t="shared" si="4"/>
        <v>-0.62947500000000001</v>
      </c>
      <c r="AN23" s="17">
        <f t="shared" si="5"/>
        <v>3.9239999999999999</v>
      </c>
      <c r="AO23" s="17">
        <f t="shared" si="6"/>
        <v>-1.4534000000000002</v>
      </c>
    </row>
    <row r="24" spans="1:41">
      <c r="A24" s="49">
        <v>19810930</v>
      </c>
      <c r="B24" s="49">
        <v>-6.9081999999999999</v>
      </c>
      <c r="C24" s="49">
        <v>-6.3315000000000001</v>
      </c>
      <c r="D24" s="49">
        <v>-7.5190000000000001</v>
      </c>
      <c r="E24" s="49">
        <v>-6.9466999999999999</v>
      </c>
      <c r="F24" s="49">
        <v>-6.2103999999999999</v>
      </c>
      <c r="G24" s="49">
        <v>-5.6285999999999996</v>
      </c>
      <c r="H24" s="49">
        <v>-7.6992000000000003</v>
      </c>
      <c r="I24" s="49">
        <v>-7.1036999999999999</v>
      </c>
      <c r="J24" s="49">
        <v>-8.4702000000000002</v>
      </c>
      <c r="K24" s="49">
        <v>-7.8891999999999998</v>
      </c>
      <c r="L24" s="49">
        <v>-6.7740999999999998</v>
      </c>
      <c r="M24" s="49">
        <v>-6.1614000000000004</v>
      </c>
      <c r="N24" s="49">
        <v>-1.8144</v>
      </c>
      <c r="O24" s="49">
        <v>-1.3584000000000001</v>
      </c>
      <c r="P24" s="49">
        <v>-0.17660000000000001</v>
      </c>
      <c r="Q24" s="49">
        <v>0.32790000000000002</v>
      </c>
      <c r="R24" s="49">
        <v>-3.1819000000000002</v>
      </c>
      <c r="S24" s="49">
        <v>-2.7664</v>
      </c>
      <c r="T24" s="49">
        <v>-10.825799999999999</v>
      </c>
      <c r="U24" s="49">
        <v>-10.179399999999999</v>
      </c>
      <c r="V24" s="49">
        <v>-13.023899999999999</v>
      </c>
      <c r="W24" s="49">
        <v>-12.486800000000001</v>
      </c>
      <c r="X24" s="49">
        <v>-7.7892999999999999</v>
      </c>
      <c r="Y24" s="49">
        <v>-6.9920999999999998</v>
      </c>
      <c r="Z24" s="49">
        <v>-2.7191999999999998</v>
      </c>
      <c r="AA24" s="49">
        <v>-2.2048999999999999</v>
      </c>
      <c r="AB24" s="49">
        <v>0.11269999999999999</v>
      </c>
      <c r="AC24" s="49">
        <v>0.77639999999999998</v>
      </c>
      <c r="AD24" s="49">
        <v>-5.4421999999999997</v>
      </c>
      <c r="AE24" s="49">
        <v>-5.0715000000000003</v>
      </c>
      <c r="AH24" s="16">
        <f t="shared" si="0"/>
        <v>19810930</v>
      </c>
      <c r="AI24" s="16">
        <f t="shared" si="1"/>
        <v>-6.3315000000000001</v>
      </c>
      <c r="AJ24" s="16">
        <f t="shared" si="2"/>
        <v>1.3665000000000007</v>
      </c>
      <c r="AK24" s="16">
        <f t="shared" si="3"/>
        <v>11.6121</v>
      </c>
      <c r="AL24" s="19">
        <v>7.25</v>
      </c>
      <c r="AM24" s="17">
        <f t="shared" si="4"/>
        <v>-6.9356666666666671</v>
      </c>
      <c r="AN24" s="17">
        <f t="shared" si="5"/>
        <v>1.3665000000000007</v>
      </c>
      <c r="AO24" s="17">
        <f t="shared" si="6"/>
        <v>11.6121</v>
      </c>
    </row>
    <row r="25" spans="1:41">
      <c r="A25" s="49">
        <v>19811031</v>
      </c>
      <c r="B25" s="49">
        <v>0.26650000000000001</v>
      </c>
      <c r="C25" s="49">
        <v>0.30030000000000001</v>
      </c>
      <c r="D25" s="49">
        <v>7.4000000000000003E-3</v>
      </c>
      <c r="E25" s="49">
        <v>2.9899999999999999E-2</v>
      </c>
      <c r="F25" s="49">
        <v>0.5575</v>
      </c>
      <c r="G25" s="49">
        <v>0.60399999999999998</v>
      </c>
      <c r="H25" s="49">
        <v>0.3115</v>
      </c>
      <c r="I25" s="49">
        <v>0.33879999999999999</v>
      </c>
      <c r="J25" s="49">
        <v>-3.5799999999999998E-2</v>
      </c>
      <c r="K25" s="49">
        <v>-2.1100000000000001E-2</v>
      </c>
      <c r="L25" s="49">
        <v>0.71940000000000004</v>
      </c>
      <c r="M25" s="49">
        <v>0.76139999999999997</v>
      </c>
      <c r="N25" s="49">
        <v>-5.7000000000000002E-3</v>
      </c>
      <c r="O25" s="49">
        <v>6.7900000000000002E-2</v>
      </c>
      <c r="P25" s="49">
        <v>0.31240000000000001</v>
      </c>
      <c r="Q25" s="49">
        <v>0.39069999999999999</v>
      </c>
      <c r="R25" s="49">
        <v>-0.27829999999999999</v>
      </c>
      <c r="S25" s="49">
        <v>-0.2089</v>
      </c>
      <c r="T25" s="49">
        <v>0.20230000000000001</v>
      </c>
      <c r="U25" s="49">
        <v>0.2319</v>
      </c>
      <c r="V25" s="49">
        <v>-0.46260000000000001</v>
      </c>
      <c r="W25" s="49">
        <v>-0.4536</v>
      </c>
      <c r="X25" s="49">
        <v>1.0649999999999999</v>
      </c>
      <c r="Y25" s="49">
        <v>1.1212</v>
      </c>
      <c r="Z25" s="49">
        <v>0.4713</v>
      </c>
      <c r="AA25" s="49">
        <v>0.49519999999999997</v>
      </c>
      <c r="AB25" s="49">
        <v>0.66390000000000005</v>
      </c>
      <c r="AC25" s="49">
        <v>0.68769999999999998</v>
      </c>
      <c r="AD25" s="49">
        <v>0.27560000000000001</v>
      </c>
      <c r="AE25" s="49">
        <v>0.29949999999999999</v>
      </c>
      <c r="AH25" s="16">
        <f t="shared" si="0"/>
        <v>19811031</v>
      </c>
      <c r="AI25" s="16">
        <f t="shared" si="1"/>
        <v>0.30030000000000001</v>
      </c>
      <c r="AJ25" s="16">
        <f t="shared" si="2"/>
        <v>-0.18289999999999995</v>
      </c>
      <c r="AK25" s="16">
        <f t="shared" si="3"/>
        <v>-0.5585</v>
      </c>
      <c r="AL25" s="19">
        <v>7.125</v>
      </c>
      <c r="AM25" s="17">
        <f t="shared" si="4"/>
        <v>-0.29344999999999999</v>
      </c>
      <c r="AN25" s="17">
        <f t="shared" si="5"/>
        <v>-0.18289999999999995</v>
      </c>
      <c r="AO25" s="17">
        <f t="shared" si="6"/>
        <v>-0.5585</v>
      </c>
    </row>
    <row r="26" spans="1:41">
      <c r="A26" s="49">
        <v>19811130</v>
      </c>
      <c r="B26" s="49">
        <v>0.30280000000000001</v>
      </c>
      <c r="C26" s="49">
        <v>0.36899999999999999</v>
      </c>
      <c r="D26" s="49">
        <v>-0.1181</v>
      </c>
      <c r="E26" s="49">
        <v>-3.7600000000000001E-2</v>
      </c>
      <c r="F26" s="49">
        <v>0.7732</v>
      </c>
      <c r="G26" s="49">
        <v>0.82350000000000001</v>
      </c>
      <c r="H26" s="49">
        <v>-7.0000000000000007E-2</v>
      </c>
      <c r="I26" s="49">
        <v>-8.8999999999999999E-3</v>
      </c>
      <c r="J26" s="49">
        <v>-0.66149999999999998</v>
      </c>
      <c r="K26" s="49">
        <v>-0.59109999999999996</v>
      </c>
      <c r="L26" s="49">
        <v>0.62039999999999995</v>
      </c>
      <c r="M26" s="49">
        <v>0.67069999999999996</v>
      </c>
      <c r="N26" s="49">
        <v>2.5606</v>
      </c>
      <c r="O26" s="49">
        <v>2.6577999999999999</v>
      </c>
      <c r="P26" s="49">
        <v>3.7164999999999999</v>
      </c>
      <c r="Q26" s="49">
        <v>3.8681999999999999</v>
      </c>
      <c r="R26" s="49">
        <v>1.5669999999999999</v>
      </c>
      <c r="S26" s="49">
        <v>1.6174999999999999</v>
      </c>
      <c r="T26" s="49">
        <v>-1.6718</v>
      </c>
      <c r="U26" s="49">
        <v>-1.6172</v>
      </c>
      <c r="V26" s="49">
        <v>-2.8959000000000001</v>
      </c>
      <c r="W26" s="49">
        <v>-2.8241999999999998</v>
      </c>
      <c r="X26" s="49">
        <v>-0.104</v>
      </c>
      <c r="Y26" s="49">
        <v>-7.1400000000000005E-2</v>
      </c>
      <c r="Z26" s="49">
        <v>2.2652999999999999</v>
      </c>
      <c r="AA26" s="49">
        <v>2.3359999999999999</v>
      </c>
      <c r="AB26" s="49">
        <v>2.9601000000000002</v>
      </c>
      <c r="AC26" s="49">
        <v>3.0284</v>
      </c>
      <c r="AD26" s="49">
        <v>1.5562</v>
      </c>
      <c r="AE26" s="49">
        <v>1.6293</v>
      </c>
      <c r="AH26" s="16">
        <f t="shared" si="0"/>
        <v>19811130</v>
      </c>
      <c r="AI26" s="16">
        <f t="shared" si="1"/>
        <v>0.36899999999999999</v>
      </c>
      <c r="AJ26" s="16">
        <f t="shared" si="2"/>
        <v>0.98890000000000011</v>
      </c>
      <c r="AK26" s="16">
        <f t="shared" si="3"/>
        <v>5.4060999999999995</v>
      </c>
      <c r="AL26" s="19">
        <v>7</v>
      </c>
      <c r="AM26" s="17">
        <f t="shared" si="4"/>
        <v>-0.21433333333333338</v>
      </c>
      <c r="AN26" s="17">
        <f t="shared" si="5"/>
        <v>0.98890000000000011</v>
      </c>
      <c r="AO26" s="17">
        <f t="shared" si="6"/>
        <v>5.4060999999999995</v>
      </c>
    </row>
    <row r="27" spans="1:41">
      <c r="A27" s="49">
        <v>19811231</v>
      </c>
      <c r="B27" s="49">
        <v>2.1063999999999998</v>
      </c>
      <c r="C27" s="49">
        <v>2.1806999999999999</v>
      </c>
      <c r="D27" s="49">
        <v>3.2406999999999999</v>
      </c>
      <c r="E27" s="49">
        <v>3.3203999999999998</v>
      </c>
      <c r="F27" s="49">
        <v>0.85309999999999997</v>
      </c>
      <c r="G27" s="49">
        <v>0.92159999999999997</v>
      </c>
      <c r="H27" s="49">
        <v>2.5219</v>
      </c>
      <c r="I27" s="49">
        <v>2.5897000000000001</v>
      </c>
      <c r="J27" s="49">
        <v>3.8592</v>
      </c>
      <c r="K27" s="49">
        <v>3.9310999999999998</v>
      </c>
      <c r="L27" s="49">
        <v>0.98519999999999996</v>
      </c>
      <c r="M27" s="49">
        <v>1.0482</v>
      </c>
      <c r="N27" s="49">
        <v>-0.34660000000000002</v>
      </c>
      <c r="O27" s="49">
        <v>-0.23319999999999999</v>
      </c>
      <c r="P27" s="49">
        <v>-0.93869999999999998</v>
      </c>
      <c r="Q27" s="49">
        <v>-0.80649999999999999</v>
      </c>
      <c r="R27" s="49">
        <v>0.17230000000000001</v>
      </c>
      <c r="S27" s="49">
        <v>0.26929999999999998</v>
      </c>
      <c r="T27" s="49">
        <v>3.6684000000000001</v>
      </c>
      <c r="U27" s="49">
        <v>3.7427999999999999</v>
      </c>
      <c r="V27" s="49">
        <v>5.7117000000000004</v>
      </c>
      <c r="W27" s="49">
        <v>5.8009000000000004</v>
      </c>
      <c r="X27" s="49">
        <v>1.1361000000000001</v>
      </c>
      <c r="Y27" s="49">
        <v>1.1920999999999999</v>
      </c>
      <c r="Z27" s="49">
        <v>0.91090000000000004</v>
      </c>
      <c r="AA27" s="49">
        <v>0.96950000000000003</v>
      </c>
      <c r="AB27" s="49">
        <v>1.0253000000000001</v>
      </c>
      <c r="AC27" s="49">
        <v>1.071</v>
      </c>
      <c r="AD27" s="49">
        <v>0.79269999999999996</v>
      </c>
      <c r="AE27" s="49">
        <v>0.86450000000000005</v>
      </c>
      <c r="AH27" s="16">
        <f t="shared" si="0"/>
        <v>19811231</v>
      </c>
      <c r="AI27" s="16">
        <f t="shared" si="1"/>
        <v>2.1806999999999999</v>
      </c>
      <c r="AJ27" s="16">
        <f t="shared" si="2"/>
        <v>1.8070999999999997</v>
      </c>
      <c r="AK27" s="16">
        <f t="shared" si="3"/>
        <v>-5.5165000000000006</v>
      </c>
      <c r="AL27" s="19">
        <v>6.875</v>
      </c>
      <c r="AM27" s="17">
        <f t="shared" si="4"/>
        <v>1.6077833333333333</v>
      </c>
      <c r="AN27" s="17">
        <f t="shared" si="5"/>
        <v>1.8070999999999997</v>
      </c>
      <c r="AO27" s="17">
        <f t="shared" si="6"/>
        <v>-5.5165000000000006</v>
      </c>
    </row>
    <row r="28" spans="1:41">
      <c r="A28" s="49">
        <v>19820131</v>
      </c>
      <c r="B28" s="49">
        <v>2.2141000000000002</v>
      </c>
      <c r="C28" s="49">
        <v>2.2360000000000002</v>
      </c>
      <c r="D28" s="49">
        <v>2.0104000000000002</v>
      </c>
      <c r="E28" s="49">
        <v>2.0301</v>
      </c>
      <c r="F28" s="49">
        <v>2.411</v>
      </c>
      <c r="G28" s="49">
        <v>2.4352</v>
      </c>
      <c r="H28" s="49">
        <v>2.2642000000000002</v>
      </c>
      <c r="I28" s="49">
        <v>2.2839999999999998</v>
      </c>
      <c r="J28" s="49">
        <v>2.1442999999999999</v>
      </c>
      <c r="K28" s="49">
        <v>2.1594000000000002</v>
      </c>
      <c r="L28" s="49">
        <v>2.3780000000000001</v>
      </c>
      <c r="M28" s="49">
        <v>2.4022000000000001</v>
      </c>
      <c r="N28" s="49">
        <v>1.9028</v>
      </c>
      <c r="O28" s="49">
        <v>1.9382999999999999</v>
      </c>
      <c r="P28" s="49">
        <v>1.2357</v>
      </c>
      <c r="Q28" s="49">
        <v>1.2822</v>
      </c>
      <c r="R28" s="49">
        <v>2.6314000000000002</v>
      </c>
      <c r="S28" s="49">
        <v>2.6549</v>
      </c>
      <c r="T28" s="49">
        <v>2.0771000000000002</v>
      </c>
      <c r="U28" s="49">
        <v>2.0972</v>
      </c>
      <c r="V28" s="49">
        <v>2.0910000000000002</v>
      </c>
      <c r="W28" s="49">
        <v>2.1093000000000002</v>
      </c>
      <c r="X28" s="49">
        <v>2.0630000000000002</v>
      </c>
      <c r="Y28" s="49">
        <v>2.0848</v>
      </c>
      <c r="Z28" s="49">
        <v>2.5363000000000002</v>
      </c>
      <c r="AA28" s="49">
        <v>2.5556999999999999</v>
      </c>
      <c r="AB28" s="49">
        <v>2.2286999999999999</v>
      </c>
      <c r="AC28" s="49">
        <v>2.2387000000000001</v>
      </c>
      <c r="AD28" s="49">
        <v>2.8012000000000001</v>
      </c>
      <c r="AE28" s="49">
        <v>2.8287</v>
      </c>
      <c r="AH28" s="16">
        <f t="shared" si="0"/>
        <v>19820131</v>
      </c>
      <c r="AI28" s="16">
        <f t="shared" si="1"/>
        <v>2.2360000000000002</v>
      </c>
      <c r="AJ28" s="16">
        <f t="shared" si="2"/>
        <v>-1.6154999999999999</v>
      </c>
      <c r="AK28" s="16">
        <f t="shared" si="3"/>
        <v>-0.62450000000000028</v>
      </c>
      <c r="AL28" s="19">
        <v>6.625</v>
      </c>
      <c r="AM28" s="17">
        <f t="shared" si="4"/>
        <v>1.6839166666666667</v>
      </c>
      <c r="AN28" s="17">
        <f t="shared" si="5"/>
        <v>-1.6154999999999999</v>
      </c>
      <c r="AO28" s="17">
        <f t="shared" si="6"/>
        <v>-0.62450000000000028</v>
      </c>
    </row>
    <row r="29" spans="1:41">
      <c r="A29" s="49">
        <v>19820228</v>
      </c>
      <c r="B29" s="49">
        <v>-5.2839</v>
      </c>
      <c r="C29" s="49">
        <v>-5.2396000000000003</v>
      </c>
      <c r="D29" s="49">
        <v>-4.3503999999999996</v>
      </c>
      <c r="E29" s="49">
        <v>-4.3057999999999996</v>
      </c>
      <c r="F29" s="49">
        <v>-6.1821999999999999</v>
      </c>
      <c r="G29" s="49">
        <v>-6.1383000000000001</v>
      </c>
      <c r="H29" s="49">
        <v>-6.0056000000000003</v>
      </c>
      <c r="I29" s="49">
        <v>-5.9615</v>
      </c>
      <c r="J29" s="49">
        <v>-5.1284000000000001</v>
      </c>
      <c r="K29" s="49">
        <v>-5.0816999999999997</v>
      </c>
      <c r="L29" s="49">
        <v>-6.8349000000000002</v>
      </c>
      <c r="M29" s="49">
        <v>-6.7931999999999997</v>
      </c>
      <c r="N29" s="49">
        <v>-0.78420000000000001</v>
      </c>
      <c r="O29" s="49">
        <v>-0.73870000000000002</v>
      </c>
      <c r="P29" s="49">
        <v>0.19980000000000001</v>
      </c>
      <c r="Q29" s="49">
        <v>0.2326</v>
      </c>
      <c r="R29" s="49">
        <v>-1.8420000000000001</v>
      </c>
      <c r="S29" s="49">
        <v>-1.7830999999999999</v>
      </c>
      <c r="T29" s="49">
        <v>-7.2511999999999999</v>
      </c>
      <c r="U29" s="49">
        <v>-7.2426000000000004</v>
      </c>
      <c r="V29" s="49">
        <v>-6.2549999999999999</v>
      </c>
      <c r="W29" s="49">
        <v>-6.2549999999999999</v>
      </c>
      <c r="X29" s="49">
        <v>-8.2590000000000003</v>
      </c>
      <c r="Y29" s="49">
        <v>-8.2416999999999998</v>
      </c>
      <c r="Z29" s="49">
        <v>-4.202</v>
      </c>
      <c r="AA29" s="49">
        <v>-4.1064999999999996</v>
      </c>
      <c r="AB29" s="49">
        <v>-3.3500999999999999</v>
      </c>
      <c r="AC29" s="49">
        <v>-3.2298</v>
      </c>
      <c r="AD29" s="49">
        <v>-4.9317000000000002</v>
      </c>
      <c r="AE29" s="49">
        <v>-4.8574999999999999</v>
      </c>
      <c r="AH29" s="16">
        <f t="shared" si="0"/>
        <v>19820228</v>
      </c>
      <c r="AI29" s="16">
        <f t="shared" si="1"/>
        <v>-5.2396000000000003</v>
      </c>
      <c r="AJ29" s="16">
        <f t="shared" si="2"/>
        <v>3.7271999999999998</v>
      </c>
      <c r="AK29" s="16">
        <f t="shared" si="3"/>
        <v>10.324400000000001</v>
      </c>
      <c r="AL29" s="19">
        <v>6.625</v>
      </c>
      <c r="AM29" s="17">
        <f t="shared" si="4"/>
        <v>-5.7916833333333333</v>
      </c>
      <c r="AN29" s="17">
        <f t="shared" si="5"/>
        <v>3.7271999999999998</v>
      </c>
      <c r="AO29" s="17">
        <f t="shared" si="6"/>
        <v>10.324400000000001</v>
      </c>
    </row>
    <row r="30" spans="1:41">
      <c r="A30" s="49">
        <v>19820331</v>
      </c>
      <c r="B30" s="49">
        <v>-3.8003999999999998</v>
      </c>
      <c r="C30" s="49">
        <v>-3.0541999999999998</v>
      </c>
      <c r="D30" s="49">
        <v>-3.0415999999999999</v>
      </c>
      <c r="E30" s="49">
        <v>-2.173</v>
      </c>
      <c r="F30" s="49">
        <v>-4.5446999999999997</v>
      </c>
      <c r="G30" s="49">
        <v>-3.9186000000000001</v>
      </c>
      <c r="H30" s="49">
        <v>-3.9748000000000001</v>
      </c>
      <c r="I30" s="49">
        <v>-3.2145999999999999</v>
      </c>
      <c r="J30" s="49">
        <v>-3.3026</v>
      </c>
      <c r="K30" s="49">
        <v>-2.4127000000000001</v>
      </c>
      <c r="L30" s="49">
        <v>-4.6220999999999997</v>
      </c>
      <c r="M30" s="49">
        <v>-3.9868000000000001</v>
      </c>
      <c r="N30" s="49">
        <v>-2.7690999999999999</v>
      </c>
      <c r="O30" s="49">
        <v>-2.1057000000000001</v>
      </c>
      <c r="P30" s="49">
        <v>-1.5931</v>
      </c>
      <c r="Q30" s="49">
        <v>-0.84209999999999996</v>
      </c>
      <c r="R30" s="49">
        <v>-4.0563000000000002</v>
      </c>
      <c r="S30" s="49">
        <v>-3.4889000000000001</v>
      </c>
      <c r="T30" s="49">
        <v>-5.0175000000000001</v>
      </c>
      <c r="U30" s="49">
        <v>-4.2055999999999996</v>
      </c>
      <c r="V30" s="49">
        <v>-4.7225999999999999</v>
      </c>
      <c r="W30" s="49">
        <v>-3.7965</v>
      </c>
      <c r="X30" s="49">
        <v>-5.3230000000000004</v>
      </c>
      <c r="Y30" s="49">
        <v>-4.6294000000000004</v>
      </c>
      <c r="Z30" s="49">
        <v>-2.5171999999999999</v>
      </c>
      <c r="AA30" s="49">
        <v>-1.8292999999999999</v>
      </c>
      <c r="AB30" s="49">
        <v>-1.1307</v>
      </c>
      <c r="AC30" s="49">
        <v>-0.2964</v>
      </c>
      <c r="AD30" s="49">
        <v>-3.7225000000000001</v>
      </c>
      <c r="AE30" s="49">
        <v>-3.1619000000000002</v>
      </c>
      <c r="AH30" s="16">
        <f t="shared" si="0"/>
        <v>19820331</v>
      </c>
      <c r="AI30" s="16">
        <f t="shared" si="1"/>
        <v>-3.0541999999999998</v>
      </c>
      <c r="AJ30" s="16">
        <f t="shared" si="2"/>
        <v>4.2209000000000003</v>
      </c>
      <c r="AK30" s="16">
        <f t="shared" si="3"/>
        <v>2.0684999999999993</v>
      </c>
      <c r="AL30" s="19">
        <v>6.6875</v>
      </c>
      <c r="AM30" s="17">
        <f t="shared" si="4"/>
        <v>-3.6114916666666663</v>
      </c>
      <c r="AN30" s="17">
        <f t="shared" si="5"/>
        <v>4.2209000000000003</v>
      </c>
      <c r="AO30" s="17">
        <f t="shared" si="6"/>
        <v>2.0684999999999993</v>
      </c>
    </row>
    <row r="31" spans="1:41">
      <c r="A31" s="49">
        <v>19820430</v>
      </c>
      <c r="B31" s="49">
        <v>2.1248999999999998</v>
      </c>
      <c r="C31" s="49">
        <v>2.1667999999999998</v>
      </c>
      <c r="D31" s="49">
        <v>2.1829999999999998</v>
      </c>
      <c r="E31" s="49">
        <v>2.2254999999999998</v>
      </c>
      <c r="F31" s="49">
        <v>2.0670999999999999</v>
      </c>
      <c r="G31" s="49">
        <v>2.1084000000000001</v>
      </c>
      <c r="H31" s="49">
        <v>2.3898000000000001</v>
      </c>
      <c r="I31" s="49">
        <v>2.4296000000000002</v>
      </c>
      <c r="J31" s="49">
        <v>2.5703</v>
      </c>
      <c r="K31" s="49">
        <v>2.6086999999999998</v>
      </c>
      <c r="L31" s="49">
        <v>2.2134999999999998</v>
      </c>
      <c r="M31" s="49">
        <v>2.2545999999999999</v>
      </c>
      <c r="N31" s="49">
        <v>0.58020000000000005</v>
      </c>
      <c r="O31" s="49">
        <v>0.63470000000000004</v>
      </c>
      <c r="P31" s="49">
        <v>7.2800000000000004E-2</v>
      </c>
      <c r="Q31" s="49">
        <v>0.1376</v>
      </c>
      <c r="R31" s="49">
        <v>1.1499999999999999</v>
      </c>
      <c r="S31" s="49">
        <v>1.1931</v>
      </c>
      <c r="T31" s="49">
        <v>2.9045999999999998</v>
      </c>
      <c r="U31" s="49">
        <v>2.9304999999999999</v>
      </c>
      <c r="V31" s="49">
        <v>3.363</v>
      </c>
      <c r="W31" s="49">
        <v>3.3824999999999998</v>
      </c>
      <c r="X31" s="49">
        <v>2.4262999999999999</v>
      </c>
      <c r="Y31" s="49">
        <v>2.4588999999999999</v>
      </c>
      <c r="Z31" s="49">
        <v>1.6899</v>
      </c>
      <c r="AA31" s="49">
        <v>1.7484999999999999</v>
      </c>
      <c r="AB31" s="49">
        <v>1.4038999999999999</v>
      </c>
      <c r="AC31" s="49">
        <v>1.4702</v>
      </c>
      <c r="AD31" s="49">
        <v>1.9454</v>
      </c>
      <c r="AE31" s="49">
        <v>1.9971000000000001</v>
      </c>
      <c r="AH31" s="16">
        <f t="shared" si="0"/>
        <v>19820430</v>
      </c>
      <c r="AI31" s="16">
        <f t="shared" si="1"/>
        <v>2.1667999999999998</v>
      </c>
      <c r="AJ31" s="16">
        <f t="shared" si="2"/>
        <v>-0.70140000000000025</v>
      </c>
      <c r="AK31" s="16">
        <f t="shared" si="3"/>
        <v>-3.5325999999999995</v>
      </c>
      <c r="AL31" s="19">
        <v>7</v>
      </c>
      <c r="AM31" s="17">
        <f t="shared" si="4"/>
        <v>1.5834666666666664</v>
      </c>
      <c r="AN31" s="17">
        <f t="shared" si="5"/>
        <v>-0.70140000000000025</v>
      </c>
      <c r="AO31" s="17">
        <f t="shared" si="6"/>
        <v>-3.5325999999999995</v>
      </c>
    </row>
    <row r="32" spans="1:41">
      <c r="A32" s="49">
        <v>19820531</v>
      </c>
      <c r="B32" s="49">
        <v>3.61E-2</v>
      </c>
      <c r="C32" s="49">
        <v>9.1800000000000007E-2</v>
      </c>
      <c r="D32" s="49">
        <v>-0.70250000000000001</v>
      </c>
      <c r="E32" s="49">
        <v>-0.6351</v>
      </c>
      <c r="F32" s="49">
        <v>0.77170000000000005</v>
      </c>
      <c r="G32" s="49">
        <v>0.81559999999999999</v>
      </c>
      <c r="H32" s="49">
        <v>0.1206</v>
      </c>
      <c r="I32" s="49">
        <v>0.1719</v>
      </c>
      <c r="J32" s="49">
        <v>-0.56599999999999995</v>
      </c>
      <c r="K32" s="49">
        <v>-0.50449999999999995</v>
      </c>
      <c r="L32" s="49">
        <v>0.79210000000000003</v>
      </c>
      <c r="M32" s="49">
        <v>0.83330000000000004</v>
      </c>
      <c r="N32" s="49">
        <v>-0.46589999999999998</v>
      </c>
      <c r="O32" s="49">
        <v>-0.38419999999999999</v>
      </c>
      <c r="P32" s="49">
        <v>-1.4648000000000001</v>
      </c>
      <c r="Q32" s="49">
        <v>-1.3641000000000001</v>
      </c>
      <c r="R32" s="49">
        <v>0.64229999999999998</v>
      </c>
      <c r="S32" s="49">
        <v>0.70309999999999995</v>
      </c>
      <c r="T32" s="49">
        <v>0.32469999999999999</v>
      </c>
      <c r="U32" s="49">
        <v>0.38279999999999997</v>
      </c>
      <c r="V32" s="49">
        <v>-0.51160000000000005</v>
      </c>
      <c r="W32" s="49">
        <v>-0.43569999999999998</v>
      </c>
      <c r="X32" s="49">
        <v>1.2017</v>
      </c>
      <c r="Y32" s="49">
        <v>1.2411000000000001</v>
      </c>
      <c r="Z32" s="49">
        <v>-0.16109999999999999</v>
      </c>
      <c r="AA32" s="49">
        <v>-0.11940000000000001</v>
      </c>
      <c r="AB32" s="49">
        <v>-0.64780000000000004</v>
      </c>
      <c r="AC32" s="49">
        <v>-0.6079</v>
      </c>
      <c r="AD32" s="49">
        <v>0.27100000000000002</v>
      </c>
      <c r="AE32" s="49">
        <v>0.31440000000000001</v>
      </c>
      <c r="AH32" s="16">
        <f t="shared" si="0"/>
        <v>19820531</v>
      </c>
      <c r="AI32" s="16">
        <f t="shared" si="1"/>
        <v>9.1800000000000007E-2</v>
      </c>
      <c r="AJ32" s="16">
        <f t="shared" si="2"/>
        <v>-3.4050000000000002</v>
      </c>
      <c r="AK32" s="16">
        <f t="shared" si="3"/>
        <v>-0.98980000000000024</v>
      </c>
      <c r="AL32" s="19">
        <v>7.125</v>
      </c>
      <c r="AM32" s="17">
        <f t="shared" si="4"/>
        <v>-0.50195000000000001</v>
      </c>
      <c r="AN32" s="17">
        <f t="shared" si="5"/>
        <v>-3.4050000000000002</v>
      </c>
      <c r="AO32" s="17">
        <f t="shared" si="6"/>
        <v>-0.98980000000000024</v>
      </c>
    </row>
    <row r="33" spans="1:41">
      <c r="A33" s="49">
        <v>19820630</v>
      </c>
      <c r="B33" s="49">
        <v>-1.5795999999999999</v>
      </c>
      <c r="C33" s="49">
        <v>-1.5310999999999999</v>
      </c>
      <c r="D33" s="49">
        <v>-1.4884999999999999</v>
      </c>
      <c r="E33" s="49">
        <v>-1.4553</v>
      </c>
      <c r="F33" s="49">
        <v>-1.6684000000000001</v>
      </c>
      <c r="G33" s="49">
        <v>-1.605</v>
      </c>
      <c r="H33" s="49">
        <v>-1.8411</v>
      </c>
      <c r="I33" s="49">
        <v>-1.7914000000000001</v>
      </c>
      <c r="J33" s="49">
        <v>-1.8151999999999999</v>
      </c>
      <c r="K33" s="49">
        <v>-1.7839</v>
      </c>
      <c r="L33" s="49">
        <v>-1.8658999999999999</v>
      </c>
      <c r="M33" s="49">
        <v>-1.7986</v>
      </c>
      <c r="N33" s="49">
        <v>-2.01E-2</v>
      </c>
      <c r="O33" s="49">
        <v>2.1399999999999999E-2</v>
      </c>
      <c r="P33" s="49">
        <v>0.34239999999999998</v>
      </c>
      <c r="Q33" s="49">
        <v>0.38640000000000002</v>
      </c>
      <c r="R33" s="49">
        <v>-0.41410000000000002</v>
      </c>
      <c r="S33" s="49">
        <v>-0.37519999999999998</v>
      </c>
      <c r="T33" s="49">
        <v>-2.4605999999999999</v>
      </c>
      <c r="U33" s="49">
        <v>-2.4001999999999999</v>
      </c>
      <c r="V33" s="49">
        <v>-2.6457999999999999</v>
      </c>
      <c r="W33" s="49">
        <v>-2.6244000000000001</v>
      </c>
      <c r="X33" s="49">
        <v>-2.2696999999999998</v>
      </c>
      <c r="Y33" s="49">
        <v>-2.1692999999999998</v>
      </c>
      <c r="Z33" s="49">
        <v>-0.9778</v>
      </c>
      <c r="AA33" s="49">
        <v>-0.94299999999999995</v>
      </c>
      <c r="AB33" s="49">
        <v>-0.55110000000000003</v>
      </c>
      <c r="AC33" s="49">
        <v>-0.50480000000000003</v>
      </c>
      <c r="AD33" s="49">
        <v>-1.3482000000000001</v>
      </c>
      <c r="AE33" s="49">
        <v>-1.3233999999999999</v>
      </c>
      <c r="AH33" s="16">
        <f t="shared" si="0"/>
        <v>19820630</v>
      </c>
      <c r="AI33" s="16">
        <f t="shared" si="1"/>
        <v>-1.5310999999999999</v>
      </c>
      <c r="AJ33" s="16">
        <f t="shared" si="2"/>
        <v>0.77629999999999999</v>
      </c>
      <c r="AK33" s="16">
        <f t="shared" si="3"/>
        <v>3.5937000000000001</v>
      </c>
      <c r="AL33" s="19">
        <v>7.125</v>
      </c>
      <c r="AM33" s="17">
        <f t="shared" si="4"/>
        <v>-2.1248499999999999</v>
      </c>
      <c r="AN33" s="17">
        <f t="shared" si="5"/>
        <v>0.77629999999999999</v>
      </c>
      <c r="AO33" s="17">
        <f t="shared" si="6"/>
        <v>3.5937000000000001</v>
      </c>
    </row>
    <row r="34" spans="1:41">
      <c r="A34" s="49">
        <v>19820731</v>
      </c>
      <c r="B34" s="49">
        <v>-1.6137999999999999</v>
      </c>
      <c r="C34" s="49">
        <v>-1.5967</v>
      </c>
      <c r="D34" s="49">
        <v>-1.7125999999999999</v>
      </c>
      <c r="E34" s="49">
        <v>-1.6971000000000001</v>
      </c>
      <c r="F34" s="49">
        <v>-1.5166999999999999</v>
      </c>
      <c r="G34" s="49">
        <v>-1.498</v>
      </c>
      <c r="H34" s="49">
        <v>-1.7957000000000001</v>
      </c>
      <c r="I34" s="49">
        <v>-1.7803</v>
      </c>
      <c r="J34" s="49">
        <v>-2.0272000000000001</v>
      </c>
      <c r="K34" s="49">
        <v>-2.0125000000000002</v>
      </c>
      <c r="L34" s="49">
        <v>-1.5725</v>
      </c>
      <c r="M34" s="49">
        <v>-1.5563</v>
      </c>
      <c r="N34" s="49">
        <v>-0.54659999999999997</v>
      </c>
      <c r="O34" s="49">
        <v>-0.51980000000000004</v>
      </c>
      <c r="P34" s="49">
        <v>1.95E-2</v>
      </c>
      <c r="Q34" s="49">
        <v>3.9100000000000003E-2</v>
      </c>
      <c r="R34" s="49">
        <v>-1.1675</v>
      </c>
      <c r="S34" s="49">
        <v>-1.133</v>
      </c>
      <c r="T34" s="49">
        <v>-2.7444999999999999</v>
      </c>
      <c r="U34" s="49">
        <v>-2.7288000000000001</v>
      </c>
      <c r="V34" s="49">
        <v>-3.1526000000000001</v>
      </c>
      <c r="W34" s="49">
        <v>-3.1328</v>
      </c>
      <c r="X34" s="49">
        <v>-2.3220999999999998</v>
      </c>
      <c r="Y34" s="49">
        <v>-2.3105000000000002</v>
      </c>
      <c r="Z34" s="49">
        <v>-0.48799999999999999</v>
      </c>
      <c r="AA34" s="49">
        <v>-0.47289999999999999</v>
      </c>
      <c r="AB34" s="49">
        <v>-0.3362</v>
      </c>
      <c r="AC34" s="49">
        <v>-0.3291</v>
      </c>
      <c r="AD34" s="49">
        <v>-0.62080000000000002</v>
      </c>
      <c r="AE34" s="49">
        <v>-0.59870000000000001</v>
      </c>
      <c r="AH34" s="16">
        <f t="shared" si="0"/>
        <v>19820731</v>
      </c>
      <c r="AI34" s="16">
        <f t="shared" si="1"/>
        <v>-1.5967</v>
      </c>
      <c r="AJ34" s="16">
        <f t="shared" si="2"/>
        <v>0.71589999999999976</v>
      </c>
      <c r="AK34" s="16">
        <f t="shared" si="3"/>
        <v>2.4749000000000003</v>
      </c>
      <c r="AL34" s="19">
        <v>7.125</v>
      </c>
      <c r="AM34" s="17">
        <f t="shared" si="4"/>
        <v>-2.1904500000000002</v>
      </c>
      <c r="AN34" s="17">
        <f t="shared" si="5"/>
        <v>0.71589999999999976</v>
      </c>
      <c r="AO34" s="17">
        <f t="shared" si="6"/>
        <v>2.4749000000000003</v>
      </c>
    </row>
    <row r="35" spans="1:41">
      <c r="A35" s="49">
        <v>19820831</v>
      </c>
      <c r="B35" s="49">
        <v>-8.5999999999999993E-2</v>
      </c>
      <c r="C35" s="49">
        <v>-5.5399999999999998E-2</v>
      </c>
      <c r="D35" s="49">
        <v>0.25169999999999998</v>
      </c>
      <c r="E35" s="49">
        <v>0.28249999999999997</v>
      </c>
      <c r="F35" s="49">
        <v>-0.41699999999999998</v>
      </c>
      <c r="G35" s="49">
        <v>-0.3866</v>
      </c>
      <c r="H35" s="49">
        <v>0.26960000000000001</v>
      </c>
      <c r="I35" s="49">
        <v>0.2999</v>
      </c>
      <c r="J35" s="49">
        <v>0.75019999999999998</v>
      </c>
      <c r="K35" s="49">
        <v>0.78129999999999999</v>
      </c>
      <c r="L35" s="49">
        <v>-0.19159999999999999</v>
      </c>
      <c r="M35" s="49">
        <v>-0.16200000000000001</v>
      </c>
      <c r="N35" s="49">
        <v>-2.1448</v>
      </c>
      <c r="O35" s="49">
        <v>-2.1128</v>
      </c>
      <c r="P35" s="49">
        <v>-2.4361999999999999</v>
      </c>
      <c r="Q35" s="49">
        <v>-2.4070999999999998</v>
      </c>
      <c r="R35" s="49">
        <v>-1.8216000000000001</v>
      </c>
      <c r="S35" s="49">
        <v>-1.7864</v>
      </c>
      <c r="T35" s="49">
        <v>1.4813000000000001</v>
      </c>
      <c r="U35" s="49">
        <v>1.4912000000000001</v>
      </c>
      <c r="V35" s="49">
        <v>1.9564999999999999</v>
      </c>
      <c r="W35" s="49">
        <v>1.9564999999999999</v>
      </c>
      <c r="X35" s="49">
        <v>0.99370000000000003</v>
      </c>
      <c r="Y35" s="49">
        <v>1.0136000000000001</v>
      </c>
      <c r="Z35" s="49">
        <v>-1.3593999999999999</v>
      </c>
      <c r="AA35" s="49">
        <v>-1.3015000000000001</v>
      </c>
      <c r="AB35" s="49">
        <v>-1.0081</v>
      </c>
      <c r="AC35" s="49">
        <v>-0.93179999999999996</v>
      </c>
      <c r="AD35" s="49">
        <v>-1.6673</v>
      </c>
      <c r="AE35" s="49">
        <v>-1.6254999999999999</v>
      </c>
      <c r="AH35" s="16">
        <f t="shared" si="0"/>
        <v>19820831</v>
      </c>
      <c r="AI35" s="16">
        <f t="shared" si="1"/>
        <v>-5.5399999999999998E-2</v>
      </c>
      <c r="AJ35" s="16">
        <f t="shared" si="2"/>
        <v>0.32260000000000022</v>
      </c>
      <c r="AK35" s="16">
        <f t="shared" si="3"/>
        <v>-4.8128000000000002</v>
      </c>
      <c r="AL35" s="19">
        <v>7.125</v>
      </c>
      <c r="AM35" s="17">
        <f t="shared" si="4"/>
        <v>-0.64915</v>
      </c>
      <c r="AN35" s="17">
        <f t="shared" si="5"/>
        <v>0.32260000000000022</v>
      </c>
      <c r="AO35" s="17">
        <f t="shared" si="6"/>
        <v>-4.8128000000000002</v>
      </c>
    </row>
    <row r="36" spans="1:41">
      <c r="A36" s="49">
        <v>19820930</v>
      </c>
      <c r="B36" s="49">
        <v>-1.3831</v>
      </c>
      <c r="C36" s="49">
        <v>-0.69630000000000003</v>
      </c>
      <c r="D36" s="49">
        <v>-1.7777000000000001</v>
      </c>
      <c r="E36" s="49">
        <v>-1.0202</v>
      </c>
      <c r="F36" s="49">
        <v>-0.99450000000000005</v>
      </c>
      <c r="G36" s="49">
        <v>-0.37740000000000001</v>
      </c>
      <c r="H36" s="49">
        <v>-1.2417</v>
      </c>
      <c r="I36" s="49">
        <v>-0.51949999999999996</v>
      </c>
      <c r="J36" s="49">
        <v>-1.512</v>
      </c>
      <c r="K36" s="49">
        <v>-0.7117</v>
      </c>
      <c r="L36" s="49">
        <v>-0.98050000000000004</v>
      </c>
      <c r="M36" s="49">
        <v>-0.3337</v>
      </c>
      <c r="N36" s="49">
        <v>-2.2208999999999999</v>
      </c>
      <c r="O36" s="49">
        <v>-1.7441</v>
      </c>
      <c r="P36" s="49">
        <v>-3.2549000000000001</v>
      </c>
      <c r="Q36" s="49">
        <v>-2.7353000000000001</v>
      </c>
      <c r="R36" s="49">
        <v>-1.0833999999999999</v>
      </c>
      <c r="S36" s="49">
        <v>-0.65359999999999996</v>
      </c>
      <c r="T36" s="49">
        <v>-1.4964</v>
      </c>
      <c r="U36" s="49">
        <v>-0.63959999999999995</v>
      </c>
      <c r="V36" s="49">
        <v>-1.5155000000000001</v>
      </c>
      <c r="W36" s="49">
        <v>-0.625</v>
      </c>
      <c r="X36" s="49">
        <v>-1.4765999999999999</v>
      </c>
      <c r="Y36" s="49">
        <v>-0.65469999999999995</v>
      </c>
      <c r="Z36" s="49">
        <v>-0.89</v>
      </c>
      <c r="AA36" s="49">
        <v>-0.35370000000000001</v>
      </c>
      <c r="AB36" s="49">
        <v>-1.5068999999999999</v>
      </c>
      <c r="AC36" s="49">
        <v>-0.84179999999999999</v>
      </c>
      <c r="AD36" s="49">
        <v>-0.34720000000000001</v>
      </c>
      <c r="AE36" s="49">
        <v>7.5899999999999995E-2</v>
      </c>
      <c r="AH36" s="16">
        <f t="shared" si="0"/>
        <v>19820930</v>
      </c>
      <c r="AI36" s="16">
        <f t="shared" si="1"/>
        <v>-0.69630000000000003</v>
      </c>
      <c r="AJ36" s="16">
        <f t="shared" si="2"/>
        <v>-2.4597000000000002</v>
      </c>
      <c r="AK36" s="16">
        <f t="shared" si="3"/>
        <v>-2.3435000000000001</v>
      </c>
      <c r="AL36" s="19">
        <v>7.0625</v>
      </c>
      <c r="AM36" s="17">
        <f t="shared" si="4"/>
        <v>-1.2848416666666667</v>
      </c>
      <c r="AN36" s="17">
        <f t="shared" si="5"/>
        <v>-2.4597000000000002</v>
      </c>
      <c r="AO36" s="17">
        <f t="shared" si="6"/>
        <v>-2.3435000000000001</v>
      </c>
    </row>
    <row r="37" spans="1:41">
      <c r="A37" s="49">
        <v>19821031</v>
      </c>
      <c r="B37" s="49">
        <v>3.9910999999999999</v>
      </c>
      <c r="C37" s="49">
        <v>4.0286</v>
      </c>
      <c r="D37" s="49">
        <v>3.1560000000000001</v>
      </c>
      <c r="E37" s="49">
        <v>3.1863000000000001</v>
      </c>
      <c r="F37" s="49">
        <v>4.8072999999999997</v>
      </c>
      <c r="G37" s="49">
        <v>4.8518999999999997</v>
      </c>
      <c r="H37" s="49">
        <v>4.3479000000000001</v>
      </c>
      <c r="I37" s="49">
        <v>4.3794000000000004</v>
      </c>
      <c r="J37" s="49">
        <v>3.3965000000000001</v>
      </c>
      <c r="K37" s="49">
        <v>3.4180000000000001</v>
      </c>
      <c r="L37" s="49">
        <v>5.2618</v>
      </c>
      <c r="M37" s="49">
        <v>5.3029000000000002</v>
      </c>
      <c r="N37" s="49">
        <v>1.8516999999999999</v>
      </c>
      <c r="O37" s="49">
        <v>1.9253</v>
      </c>
      <c r="P37" s="49">
        <v>1.7963</v>
      </c>
      <c r="Q37" s="49">
        <v>1.8767</v>
      </c>
      <c r="R37" s="49">
        <v>1.9116</v>
      </c>
      <c r="S37" s="49">
        <v>1.9779</v>
      </c>
      <c r="T37" s="49">
        <v>5.4337</v>
      </c>
      <c r="U37" s="49">
        <v>5.4599000000000002</v>
      </c>
      <c r="V37" s="49">
        <v>4.6787000000000001</v>
      </c>
      <c r="W37" s="49">
        <v>4.6985000000000001</v>
      </c>
      <c r="X37" s="49">
        <v>6.2141999999999999</v>
      </c>
      <c r="Y37" s="49">
        <v>6.2469000000000001</v>
      </c>
      <c r="Z37" s="49">
        <v>2.8631000000000002</v>
      </c>
      <c r="AA37" s="49">
        <v>2.9018999999999999</v>
      </c>
      <c r="AB37" s="49">
        <v>1.4797</v>
      </c>
      <c r="AC37" s="49">
        <v>1.5037</v>
      </c>
      <c r="AD37" s="49">
        <v>4.0650000000000004</v>
      </c>
      <c r="AE37" s="49">
        <v>4.1166999999999998</v>
      </c>
      <c r="AH37" s="16">
        <f t="shared" si="0"/>
        <v>19821031</v>
      </c>
      <c r="AI37" s="16">
        <f t="shared" si="1"/>
        <v>4.0286</v>
      </c>
      <c r="AJ37" s="16">
        <f t="shared" si="2"/>
        <v>-1.9861</v>
      </c>
      <c r="AK37" s="16">
        <f t="shared" si="3"/>
        <v>-4.8663000000000007</v>
      </c>
      <c r="AL37" s="19">
        <v>6.9375</v>
      </c>
      <c r="AM37" s="17">
        <f t="shared" si="4"/>
        <v>3.450475</v>
      </c>
      <c r="AN37" s="17">
        <f t="shared" si="5"/>
        <v>-1.9861</v>
      </c>
      <c r="AO37" s="17">
        <f t="shared" si="6"/>
        <v>-4.8663000000000007</v>
      </c>
    </row>
    <row r="38" spans="1:41">
      <c r="A38" s="49">
        <v>19821130</v>
      </c>
      <c r="B38" s="49">
        <v>7.1395</v>
      </c>
      <c r="C38" s="49">
        <v>7.2089999999999996</v>
      </c>
      <c r="D38" s="49">
        <v>6.2571000000000003</v>
      </c>
      <c r="E38" s="49">
        <v>6.3433999999999999</v>
      </c>
      <c r="F38" s="49">
        <v>7.9878999999999998</v>
      </c>
      <c r="G38" s="49">
        <v>8.0411000000000001</v>
      </c>
      <c r="H38" s="49">
        <v>7.3707000000000003</v>
      </c>
      <c r="I38" s="49">
        <v>7.4335000000000004</v>
      </c>
      <c r="J38" s="49">
        <v>6.3941999999999997</v>
      </c>
      <c r="K38" s="49">
        <v>6.4703999999999997</v>
      </c>
      <c r="L38" s="49">
        <v>8.2917000000000005</v>
      </c>
      <c r="M38" s="49">
        <v>8.3417999999999992</v>
      </c>
      <c r="N38" s="49">
        <v>5.7202000000000002</v>
      </c>
      <c r="O38" s="49">
        <v>5.8301999999999996</v>
      </c>
      <c r="P38" s="49">
        <v>5.4706999999999999</v>
      </c>
      <c r="Q38" s="49">
        <v>5.6147999999999998</v>
      </c>
      <c r="R38" s="49">
        <v>5.99</v>
      </c>
      <c r="S38" s="49">
        <v>6.0631000000000004</v>
      </c>
      <c r="T38" s="49">
        <v>7.9447999999999999</v>
      </c>
      <c r="U38" s="49">
        <v>8.0030000000000001</v>
      </c>
      <c r="V38" s="49">
        <v>7.1615000000000002</v>
      </c>
      <c r="W38" s="49">
        <v>7.2386999999999997</v>
      </c>
      <c r="X38" s="49">
        <v>8.7421000000000006</v>
      </c>
      <c r="Y38" s="49">
        <v>8.7811000000000003</v>
      </c>
      <c r="Z38" s="49">
        <v>6.5658000000000003</v>
      </c>
      <c r="AA38" s="49">
        <v>6.6351000000000004</v>
      </c>
      <c r="AB38" s="49">
        <v>5.2107000000000001</v>
      </c>
      <c r="AC38" s="49">
        <v>5.2855999999999996</v>
      </c>
      <c r="AD38" s="49">
        <v>7.7135999999999996</v>
      </c>
      <c r="AE38" s="49">
        <v>7.7781000000000002</v>
      </c>
      <c r="AH38" s="16">
        <f t="shared" si="0"/>
        <v>19821130</v>
      </c>
      <c r="AI38" s="16">
        <f t="shared" si="1"/>
        <v>7.2089999999999996</v>
      </c>
      <c r="AJ38" s="16">
        <f t="shared" si="2"/>
        <v>-2.3197000000000001</v>
      </c>
      <c r="AK38" s="16">
        <f t="shared" si="3"/>
        <v>-3.1342999999999979</v>
      </c>
      <c r="AL38" s="19">
        <v>6.875</v>
      </c>
      <c r="AM38" s="17">
        <f t="shared" si="4"/>
        <v>6.6360833333333327</v>
      </c>
      <c r="AN38" s="17">
        <f t="shared" si="5"/>
        <v>-2.3197000000000001</v>
      </c>
      <c r="AO38" s="17">
        <f t="shared" si="6"/>
        <v>-3.1342999999999979</v>
      </c>
    </row>
    <row r="39" spans="1:41">
      <c r="A39" s="49">
        <v>19821231</v>
      </c>
      <c r="B39" s="49">
        <v>2.8647999999999998</v>
      </c>
      <c r="C39" s="49">
        <v>2.9312</v>
      </c>
      <c r="D39" s="49">
        <v>2.5682</v>
      </c>
      <c r="E39" s="49">
        <v>2.6215000000000002</v>
      </c>
      <c r="F39" s="49">
        <v>3.1446000000000001</v>
      </c>
      <c r="G39" s="49">
        <v>3.2235</v>
      </c>
      <c r="H39" s="49">
        <v>3.2963</v>
      </c>
      <c r="I39" s="49">
        <v>3.3574000000000002</v>
      </c>
      <c r="J39" s="49">
        <v>2.9533999999999998</v>
      </c>
      <c r="K39" s="49">
        <v>2.9943</v>
      </c>
      <c r="L39" s="49">
        <v>3.6131000000000002</v>
      </c>
      <c r="M39" s="49">
        <v>3.6928000000000001</v>
      </c>
      <c r="N39" s="49">
        <v>0.1696</v>
      </c>
      <c r="O39" s="49">
        <v>0.27</v>
      </c>
      <c r="P39" s="49">
        <v>0.34089999999999998</v>
      </c>
      <c r="Q39" s="49">
        <v>0.46600000000000003</v>
      </c>
      <c r="R39" s="49">
        <v>-1.5100000000000001E-2</v>
      </c>
      <c r="S39" s="49">
        <v>5.8700000000000002E-2</v>
      </c>
      <c r="T39" s="49">
        <v>4.5879000000000003</v>
      </c>
      <c r="U39" s="49">
        <v>4.6512000000000002</v>
      </c>
      <c r="V39" s="49">
        <v>4.6261999999999999</v>
      </c>
      <c r="W39" s="49">
        <v>4.6531000000000002</v>
      </c>
      <c r="X39" s="49">
        <v>4.5495000000000001</v>
      </c>
      <c r="Y39" s="49">
        <v>4.6492000000000004</v>
      </c>
      <c r="Z39" s="49">
        <v>1.4564999999999999</v>
      </c>
      <c r="AA39" s="49">
        <v>1.5143</v>
      </c>
      <c r="AB39" s="49">
        <v>0.3211</v>
      </c>
      <c r="AC39" s="49">
        <v>0.38400000000000001</v>
      </c>
      <c r="AD39" s="49">
        <v>2.3944999999999999</v>
      </c>
      <c r="AE39" s="49">
        <v>2.4481000000000002</v>
      </c>
      <c r="AH39" s="16">
        <f t="shared" si="0"/>
        <v>19821231</v>
      </c>
      <c r="AI39" s="16">
        <f t="shared" si="1"/>
        <v>2.9312</v>
      </c>
      <c r="AJ39" s="16">
        <f t="shared" si="2"/>
        <v>-0.29120000000000013</v>
      </c>
      <c r="AK39" s="16">
        <f t="shared" si="3"/>
        <v>-6.1623999999999999</v>
      </c>
      <c r="AL39" s="19">
        <v>6.6875</v>
      </c>
      <c r="AM39" s="17">
        <f t="shared" si="4"/>
        <v>2.3739083333333335</v>
      </c>
      <c r="AN39" s="17">
        <f t="shared" si="5"/>
        <v>-0.29120000000000013</v>
      </c>
      <c r="AO39" s="17">
        <f t="shared" si="6"/>
        <v>-6.1623999999999999</v>
      </c>
    </row>
    <row r="40" spans="1:41">
      <c r="A40" s="49">
        <v>19830131</v>
      </c>
      <c r="B40" s="49">
        <v>-0.75760000000000005</v>
      </c>
      <c r="C40" s="49">
        <v>-0.73770000000000002</v>
      </c>
      <c r="D40" s="49">
        <v>-0.31630000000000003</v>
      </c>
      <c r="E40" s="49">
        <v>-0.29380000000000001</v>
      </c>
      <c r="F40" s="49">
        <v>-1.202</v>
      </c>
      <c r="G40" s="49">
        <v>-1.1846000000000001</v>
      </c>
      <c r="H40" s="49">
        <v>-1.347</v>
      </c>
      <c r="I40" s="49">
        <v>-1.3284</v>
      </c>
      <c r="J40" s="49">
        <v>-0.99350000000000005</v>
      </c>
      <c r="K40" s="49">
        <v>-0.97209999999999996</v>
      </c>
      <c r="L40" s="49">
        <v>-1.6846000000000001</v>
      </c>
      <c r="M40" s="49">
        <v>-1.6686000000000001</v>
      </c>
      <c r="N40" s="49">
        <v>3.0556999999999999</v>
      </c>
      <c r="O40" s="49">
        <v>3.0840999999999998</v>
      </c>
      <c r="P40" s="49">
        <v>3.3302</v>
      </c>
      <c r="Q40" s="49">
        <v>3.3586</v>
      </c>
      <c r="R40" s="49">
        <v>2.6655000000000002</v>
      </c>
      <c r="S40" s="49">
        <v>2.694</v>
      </c>
      <c r="T40" s="49">
        <v>-3.673</v>
      </c>
      <c r="U40" s="49">
        <v>-3.6515</v>
      </c>
      <c r="V40" s="49">
        <v>-3.2896000000000001</v>
      </c>
      <c r="W40" s="49">
        <v>-3.262</v>
      </c>
      <c r="X40" s="49">
        <v>-4.0330000000000004</v>
      </c>
      <c r="Y40" s="49">
        <v>-4.0171999999999999</v>
      </c>
      <c r="Z40" s="49">
        <v>2.1320999999999999</v>
      </c>
      <c r="AA40" s="49">
        <v>2.1463999999999999</v>
      </c>
      <c r="AB40" s="49">
        <v>2.3677999999999999</v>
      </c>
      <c r="AC40" s="49">
        <v>2.3801999999999999</v>
      </c>
      <c r="AD40" s="49">
        <v>1.9012</v>
      </c>
      <c r="AE40" s="49">
        <v>1.9174</v>
      </c>
      <c r="AH40" s="16">
        <f t="shared" si="0"/>
        <v>19830131</v>
      </c>
      <c r="AI40" s="16">
        <f t="shared" si="1"/>
        <v>-0.73770000000000002</v>
      </c>
      <c r="AJ40" s="16">
        <f t="shared" si="2"/>
        <v>1.3611000000000002</v>
      </c>
      <c r="AK40" s="16">
        <f t="shared" si="3"/>
        <v>8.6933000000000007</v>
      </c>
      <c r="AL40" s="19">
        <v>6.6875</v>
      </c>
      <c r="AM40" s="17">
        <f t="shared" si="4"/>
        <v>-1.2949916666666668</v>
      </c>
      <c r="AN40" s="17">
        <f t="shared" si="5"/>
        <v>1.3611000000000002</v>
      </c>
      <c r="AO40" s="17">
        <f t="shared" si="6"/>
        <v>8.6933000000000007</v>
      </c>
    </row>
    <row r="41" spans="1:41">
      <c r="A41" s="49">
        <v>19830228</v>
      </c>
      <c r="B41" s="49">
        <v>0.87170000000000003</v>
      </c>
      <c r="C41" s="49">
        <v>0.91769999999999996</v>
      </c>
      <c r="D41" s="49">
        <v>1.2968</v>
      </c>
      <c r="E41" s="49">
        <v>1.3545</v>
      </c>
      <c r="F41" s="49">
        <v>0.44009999999999999</v>
      </c>
      <c r="G41" s="49">
        <v>0.4743</v>
      </c>
      <c r="H41" s="49">
        <v>0.77790000000000004</v>
      </c>
      <c r="I41" s="49">
        <v>0.82389999999999997</v>
      </c>
      <c r="J41" s="49">
        <v>1.2448999999999999</v>
      </c>
      <c r="K41" s="49">
        <v>1.3081</v>
      </c>
      <c r="L41" s="49">
        <v>0.3291</v>
      </c>
      <c r="M41" s="49">
        <v>0.35859999999999997</v>
      </c>
      <c r="N41" s="49">
        <v>1.4528000000000001</v>
      </c>
      <c r="O41" s="49">
        <v>1.4991000000000001</v>
      </c>
      <c r="P41" s="49">
        <v>1.5648</v>
      </c>
      <c r="Q41" s="49">
        <v>1.5942000000000001</v>
      </c>
      <c r="R41" s="49">
        <v>1.2926</v>
      </c>
      <c r="S41" s="49">
        <v>1.3629</v>
      </c>
      <c r="T41" s="49">
        <v>0.72970000000000002</v>
      </c>
      <c r="U41" s="49">
        <v>0.74399999999999999</v>
      </c>
      <c r="V41" s="49">
        <v>1.0972</v>
      </c>
      <c r="W41" s="49">
        <v>1.1077999999999999</v>
      </c>
      <c r="X41" s="49">
        <v>0.38269999999999998</v>
      </c>
      <c r="Y41" s="49">
        <v>0.40050000000000002</v>
      </c>
      <c r="Z41" s="49">
        <v>0.84609999999999996</v>
      </c>
      <c r="AA41" s="49">
        <v>0.9365</v>
      </c>
      <c r="AB41" s="49">
        <v>1.4492</v>
      </c>
      <c r="AC41" s="49">
        <v>1.5847</v>
      </c>
      <c r="AD41" s="49">
        <v>0.25219999999999998</v>
      </c>
      <c r="AE41" s="49">
        <v>0.2984</v>
      </c>
      <c r="AH41" s="16">
        <f t="shared" si="0"/>
        <v>19830228</v>
      </c>
      <c r="AI41" s="16">
        <f t="shared" si="1"/>
        <v>0.91769999999999996</v>
      </c>
      <c r="AJ41" s="16">
        <f t="shared" si="2"/>
        <v>1.1808000000000001</v>
      </c>
      <c r="AK41" s="16">
        <f t="shared" si="3"/>
        <v>1.2904</v>
      </c>
      <c r="AL41" s="19">
        <v>6.75</v>
      </c>
      <c r="AM41" s="17">
        <f t="shared" si="4"/>
        <v>0.35519999999999996</v>
      </c>
      <c r="AN41" s="17">
        <f t="shared" si="5"/>
        <v>1.1808000000000001</v>
      </c>
      <c r="AO41" s="17">
        <f t="shared" si="6"/>
        <v>1.2904</v>
      </c>
    </row>
    <row r="42" spans="1:41">
      <c r="A42" s="49">
        <v>19830331</v>
      </c>
      <c r="B42" s="49">
        <v>4.5220000000000002</v>
      </c>
      <c r="C42" s="49">
        <v>5.2210000000000001</v>
      </c>
      <c r="D42" s="49">
        <v>4.3060999999999998</v>
      </c>
      <c r="E42" s="49">
        <v>5.1978999999999997</v>
      </c>
      <c r="F42" s="49">
        <v>4.7430000000000003</v>
      </c>
      <c r="G42" s="49">
        <v>5.2454000000000001</v>
      </c>
      <c r="H42" s="49">
        <v>4.4798999999999998</v>
      </c>
      <c r="I42" s="49">
        <v>5.1768999999999998</v>
      </c>
      <c r="J42" s="49">
        <v>4.3174000000000001</v>
      </c>
      <c r="K42" s="49">
        <v>5.2221000000000002</v>
      </c>
      <c r="L42" s="49">
        <v>4.6374000000000004</v>
      </c>
      <c r="M42" s="49">
        <v>5.1337999999999999</v>
      </c>
      <c r="N42" s="49">
        <v>4.7840999999999996</v>
      </c>
      <c r="O42" s="49">
        <v>5.4957000000000003</v>
      </c>
      <c r="P42" s="49">
        <v>4.2477999999999998</v>
      </c>
      <c r="Q42" s="49">
        <v>5.0726000000000004</v>
      </c>
      <c r="R42" s="49">
        <v>5.5522</v>
      </c>
      <c r="S42" s="49">
        <v>6.1012000000000004</v>
      </c>
      <c r="T42" s="49">
        <v>3.988</v>
      </c>
      <c r="U42" s="49">
        <v>4.7072000000000003</v>
      </c>
      <c r="V42" s="49">
        <v>3.6536</v>
      </c>
      <c r="W42" s="49">
        <v>4.6070000000000002</v>
      </c>
      <c r="X42" s="49">
        <v>4.3059000000000003</v>
      </c>
      <c r="Y42" s="49">
        <v>4.8018000000000001</v>
      </c>
      <c r="Z42" s="49">
        <v>5.1718999999999999</v>
      </c>
      <c r="AA42" s="49">
        <v>5.8369</v>
      </c>
      <c r="AB42" s="49">
        <v>5.2306999999999997</v>
      </c>
      <c r="AC42" s="49">
        <v>6.0663999999999998</v>
      </c>
      <c r="AD42" s="49">
        <v>5.1139999999999999</v>
      </c>
      <c r="AE42" s="49">
        <v>5.6109999999999998</v>
      </c>
      <c r="AH42" s="16">
        <f t="shared" si="0"/>
        <v>19830331</v>
      </c>
      <c r="AI42" s="16">
        <f t="shared" si="1"/>
        <v>5.2210000000000001</v>
      </c>
      <c r="AJ42" s="16">
        <f t="shared" si="2"/>
        <v>-0.94029999999999969</v>
      </c>
      <c r="AK42" s="16">
        <f t="shared" si="3"/>
        <v>0.81789999999999985</v>
      </c>
      <c r="AL42" s="19">
        <v>6.6875</v>
      </c>
      <c r="AM42" s="17">
        <f t="shared" si="4"/>
        <v>4.6637083333333331</v>
      </c>
      <c r="AN42" s="17">
        <f t="shared" si="5"/>
        <v>-0.94029999999999969</v>
      </c>
      <c r="AO42" s="17">
        <f t="shared" si="6"/>
        <v>0.81789999999999985</v>
      </c>
    </row>
    <row r="43" spans="1:41">
      <c r="A43" s="49">
        <v>19830430</v>
      </c>
      <c r="B43" s="49">
        <v>2.5352000000000001</v>
      </c>
      <c r="C43" s="49">
        <v>2.5693999999999999</v>
      </c>
      <c r="D43" s="49">
        <v>1.5230999999999999</v>
      </c>
      <c r="E43" s="49">
        <v>1.5613999999999999</v>
      </c>
      <c r="F43" s="49">
        <v>3.5651000000000002</v>
      </c>
      <c r="G43" s="49">
        <v>3.5949</v>
      </c>
      <c r="H43" s="49">
        <v>2.2004000000000001</v>
      </c>
      <c r="I43" s="49">
        <v>2.2317999999999998</v>
      </c>
      <c r="J43" s="49">
        <v>1.0908</v>
      </c>
      <c r="K43" s="49">
        <v>1.1240000000000001</v>
      </c>
      <c r="L43" s="49">
        <v>3.2709999999999999</v>
      </c>
      <c r="M43" s="49">
        <v>3.3006000000000002</v>
      </c>
      <c r="N43" s="49">
        <v>4.5956999999999999</v>
      </c>
      <c r="O43" s="49">
        <v>4.6467000000000001</v>
      </c>
      <c r="P43" s="49">
        <v>3.7517</v>
      </c>
      <c r="Q43" s="49">
        <v>3.8167</v>
      </c>
      <c r="R43" s="49">
        <v>5.7923999999999998</v>
      </c>
      <c r="S43" s="49">
        <v>5.8231000000000002</v>
      </c>
      <c r="T43" s="49">
        <v>1.9056</v>
      </c>
      <c r="U43" s="49">
        <v>1.9267000000000001</v>
      </c>
      <c r="V43" s="49">
        <v>1.0755999999999999</v>
      </c>
      <c r="W43" s="49">
        <v>1.0928</v>
      </c>
      <c r="X43" s="49">
        <v>2.6884999999999999</v>
      </c>
      <c r="Y43" s="49">
        <v>2.7134</v>
      </c>
      <c r="Z43" s="49">
        <v>2.6109</v>
      </c>
      <c r="AA43" s="49">
        <v>2.6564000000000001</v>
      </c>
      <c r="AB43" s="49">
        <v>1.1113999999999999</v>
      </c>
      <c r="AC43" s="49">
        <v>1.1660999999999999</v>
      </c>
      <c r="AD43" s="49">
        <v>4.1037999999999997</v>
      </c>
      <c r="AE43" s="49">
        <v>4.1401000000000003</v>
      </c>
      <c r="AH43" s="16">
        <f t="shared" si="0"/>
        <v>19830430</v>
      </c>
      <c r="AI43" s="16">
        <f t="shared" si="1"/>
        <v>2.5693999999999999</v>
      </c>
      <c r="AJ43" s="16">
        <f t="shared" si="2"/>
        <v>-4.1829999999999998</v>
      </c>
      <c r="AK43" s="16">
        <f t="shared" si="3"/>
        <v>5.2152000000000012</v>
      </c>
      <c r="AL43" s="19">
        <v>6.375</v>
      </c>
      <c r="AM43" s="17">
        <f t="shared" si="4"/>
        <v>2.0381499999999999</v>
      </c>
      <c r="AN43" s="17">
        <f t="shared" si="5"/>
        <v>-4.1829999999999998</v>
      </c>
      <c r="AO43" s="17">
        <f t="shared" si="6"/>
        <v>5.2152000000000012</v>
      </c>
    </row>
    <row r="44" spans="1:41">
      <c r="A44" s="49">
        <v>19830531</v>
      </c>
      <c r="B44" s="49">
        <v>0.80759999999999998</v>
      </c>
      <c r="C44" s="49">
        <v>0.85489999999999999</v>
      </c>
      <c r="D44" s="49">
        <v>-1.4846999999999999</v>
      </c>
      <c r="E44" s="49">
        <v>-1.4346000000000001</v>
      </c>
      <c r="F44" s="49">
        <v>3.0939000000000001</v>
      </c>
      <c r="G44" s="49">
        <v>3.1385000000000001</v>
      </c>
      <c r="H44" s="49">
        <v>0.56389999999999996</v>
      </c>
      <c r="I44" s="49">
        <v>0.60819999999999996</v>
      </c>
      <c r="J44" s="49">
        <v>-1.8897999999999999</v>
      </c>
      <c r="K44" s="49">
        <v>-1.8461000000000001</v>
      </c>
      <c r="L44" s="49">
        <v>2.8811</v>
      </c>
      <c r="M44" s="49">
        <v>2.9260000000000002</v>
      </c>
      <c r="N44" s="49">
        <v>2.2723</v>
      </c>
      <c r="O44" s="49">
        <v>2.3376000000000001</v>
      </c>
      <c r="P44" s="49">
        <v>0.54900000000000004</v>
      </c>
      <c r="Q44" s="49">
        <v>0.63100000000000001</v>
      </c>
      <c r="R44" s="49">
        <v>4.6650999999999998</v>
      </c>
      <c r="S44" s="49">
        <v>4.7068000000000003</v>
      </c>
      <c r="T44" s="49">
        <v>-0.64370000000000005</v>
      </c>
      <c r="U44" s="49">
        <v>-0.59450000000000003</v>
      </c>
      <c r="V44" s="49">
        <v>-2.5764</v>
      </c>
      <c r="W44" s="49">
        <v>-2.5188999999999999</v>
      </c>
      <c r="X44" s="49">
        <v>1.1509</v>
      </c>
      <c r="Y44" s="49">
        <v>1.1921999999999999</v>
      </c>
      <c r="Z44" s="49">
        <v>2.2322000000000002</v>
      </c>
      <c r="AA44" s="49">
        <v>2.2696999999999998</v>
      </c>
      <c r="AB44" s="49">
        <v>-0.96060000000000001</v>
      </c>
      <c r="AC44" s="49">
        <v>-0.93559999999999999</v>
      </c>
      <c r="AD44" s="49">
        <v>5.319</v>
      </c>
      <c r="AE44" s="49">
        <v>5.3689</v>
      </c>
      <c r="AH44" s="16">
        <f t="shared" si="0"/>
        <v>19830531</v>
      </c>
      <c r="AI44" s="16">
        <f t="shared" si="1"/>
        <v>0.85489999999999999</v>
      </c>
      <c r="AJ44" s="16">
        <f t="shared" si="2"/>
        <v>-8.8478999999999992</v>
      </c>
      <c r="AK44" s="16">
        <f t="shared" si="3"/>
        <v>4.2579000000000002</v>
      </c>
      <c r="AL44" s="19">
        <v>6.25</v>
      </c>
      <c r="AM44" s="17">
        <f t="shared" si="4"/>
        <v>0.33406666666666662</v>
      </c>
      <c r="AN44" s="17">
        <f t="shared" si="5"/>
        <v>-8.8478999999999992</v>
      </c>
      <c r="AO44" s="17">
        <f t="shared" si="6"/>
        <v>4.2579000000000002</v>
      </c>
    </row>
    <row r="45" spans="1:41">
      <c r="A45" s="49">
        <v>19830630</v>
      </c>
      <c r="B45" s="49">
        <v>3.1499000000000001</v>
      </c>
      <c r="C45" s="49">
        <v>3.1978</v>
      </c>
      <c r="D45" s="49">
        <v>1.8657999999999999</v>
      </c>
      <c r="E45" s="49">
        <v>1.8936999999999999</v>
      </c>
      <c r="F45" s="49">
        <v>4.3723999999999998</v>
      </c>
      <c r="G45" s="49">
        <v>4.4391999999999996</v>
      </c>
      <c r="H45" s="49">
        <v>3.4336000000000002</v>
      </c>
      <c r="I45" s="49">
        <v>3.4834999999999998</v>
      </c>
      <c r="J45" s="49">
        <v>2.0291000000000001</v>
      </c>
      <c r="K45" s="49">
        <v>2.0554999999999999</v>
      </c>
      <c r="L45" s="49">
        <v>4.6967999999999996</v>
      </c>
      <c r="M45" s="49">
        <v>4.7675999999999998</v>
      </c>
      <c r="N45" s="49">
        <v>1.474</v>
      </c>
      <c r="O45" s="49">
        <v>1.5103</v>
      </c>
      <c r="P45" s="49">
        <v>1.0665</v>
      </c>
      <c r="Q45" s="49">
        <v>1.1013999999999999</v>
      </c>
      <c r="R45" s="49">
        <v>2.0171999999999999</v>
      </c>
      <c r="S45" s="49">
        <v>2.0554000000000001</v>
      </c>
      <c r="T45" s="49">
        <v>3.9882</v>
      </c>
      <c r="U45" s="49">
        <v>4.0522999999999998</v>
      </c>
      <c r="V45" s="49">
        <v>2.3868</v>
      </c>
      <c r="W45" s="49">
        <v>2.4037999999999999</v>
      </c>
      <c r="X45" s="49">
        <v>5.4204999999999997</v>
      </c>
      <c r="Y45" s="49">
        <v>5.5260999999999996</v>
      </c>
      <c r="Z45" s="49">
        <v>2.6903000000000001</v>
      </c>
      <c r="AA45" s="49">
        <v>2.7204000000000002</v>
      </c>
      <c r="AB45" s="49">
        <v>1.5528</v>
      </c>
      <c r="AC45" s="49">
        <v>1.5919000000000001</v>
      </c>
      <c r="AD45" s="49">
        <v>3.7208999999999999</v>
      </c>
      <c r="AE45" s="49">
        <v>3.7427999999999999</v>
      </c>
      <c r="AH45" s="16">
        <f t="shared" si="0"/>
        <v>19830630</v>
      </c>
      <c r="AI45" s="16">
        <f t="shared" si="1"/>
        <v>3.1978</v>
      </c>
      <c r="AJ45" s="16">
        <f t="shared" si="2"/>
        <v>-3.6661000000000001</v>
      </c>
      <c r="AK45" s="16">
        <f t="shared" si="3"/>
        <v>-3.6663000000000001</v>
      </c>
      <c r="AL45" s="19">
        <v>6.0625</v>
      </c>
      <c r="AM45" s="17">
        <f t="shared" si="4"/>
        <v>2.6925916666666665</v>
      </c>
      <c r="AN45" s="17">
        <f t="shared" si="5"/>
        <v>-3.6661000000000001</v>
      </c>
      <c r="AO45" s="17">
        <f t="shared" si="6"/>
        <v>-3.6663000000000001</v>
      </c>
    </row>
    <row r="46" spans="1:41">
      <c r="A46" s="49">
        <v>19830731</v>
      </c>
      <c r="B46" s="49">
        <v>1.6717</v>
      </c>
      <c r="C46" s="49">
        <v>1.6859999999999999</v>
      </c>
      <c r="D46" s="49">
        <v>1.2097</v>
      </c>
      <c r="E46" s="49">
        <v>1.2291000000000001</v>
      </c>
      <c r="F46" s="49">
        <v>2.1012</v>
      </c>
      <c r="G46" s="49">
        <v>2.1107999999999998</v>
      </c>
      <c r="H46" s="49">
        <v>1.1020000000000001</v>
      </c>
      <c r="I46" s="49">
        <v>1.1148</v>
      </c>
      <c r="J46" s="49">
        <v>0.55279999999999996</v>
      </c>
      <c r="K46" s="49">
        <v>0.57289999999999996</v>
      </c>
      <c r="L46" s="49">
        <v>1.5834999999999999</v>
      </c>
      <c r="M46" s="49">
        <v>1.5899000000000001</v>
      </c>
      <c r="N46" s="49">
        <v>5.1024000000000003</v>
      </c>
      <c r="O46" s="49">
        <v>5.1258999999999997</v>
      </c>
      <c r="P46" s="49">
        <v>4.4550999999999998</v>
      </c>
      <c r="Q46" s="49">
        <v>4.4710999999999999</v>
      </c>
      <c r="R46" s="49">
        <v>5.9580000000000002</v>
      </c>
      <c r="S46" s="49">
        <v>5.9915000000000003</v>
      </c>
      <c r="T46" s="49">
        <v>0.25440000000000002</v>
      </c>
      <c r="U46" s="49">
        <v>0.2681</v>
      </c>
      <c r="V46" s="49">
        <v>-0.1835</v>
      </c>
      <c r="W46" s="49">
        <v>-0.15609999999999999</v>
      </c>
      <c r="X46" s="49">
        <v>0.63460000000000005</v>
      </c>
      <c r="Y46" s="49">
        <v>0.63670000000000004</v>
      </c>
      <c r="Z46" s="49">
        <v>2.2511999999999999</v>
      </c>
      <c r="AA46" s="49">
        <v>2.2627000000000002</v>
      </c>
      <c r="AB46" s="49">
        <v>1.5388999999999999</v>
      </c>
      <c r="AC46" s="49">
        <v>1.5491999999999999</v>
      </c>
      <c r="AD46" s="49">
        <v>2.8839999999999999</v>
      </c>
      <c r="AE46" s="49">
        <v>2.8965999999999998</v>
      </c>
      <c r="AH46" s="16">
        <f t="shared" si="0"/>
        <v>19830731</v>
      </c>
      <c r="AI46" s="16">
        <f t="shared" si="1"/>
        <v>1.6859999999999999</v>
      </c>
      <c r="AJ46" s="16">
        <f t="shared" si="2"/>
        <v>-2.5374000000000008</v>
      </c>
      <c r="AK46" s="16">
        <f t="shared" si="3"/>
        <v>8.2998000000000012</v>
      </c>
      <c r="AL46" s="19">
        <v>6.25</v>
      </c>
      <c r="AM46" s="17">
        <f t="shared" si="4"/>
        <v>1.1651666666666665</v>
      </c>
      <c r="AN46" s="17">
        <f t="shared" si="5"/>
        <v>-2.5374000000000008</v>
      </c>
      <c r="AO46" s="17">
        <f t="shared" si="6"/>
        <v>8.2998000000000012</v>
      </c>
    </row>
    <row r="47" spans="1:41">
      <c r="A47" s="49">
        <v>19830831</v>
      </c>
      <c r="B47" s="49">
        <v>2.1307</v>
      </c>
      <c r="C47" s="49">
        <v>2.153</v>
      </c>
      <c r="D47" s="49">
        <v>1.7249000000000001</v>
      </c>
      <c r="E47" s="49">
        <v>1.7504</v>
      </c>
      <c r="F47" s="49">
        <v>2.5049999999999999</v>
      </c>
      <c r="G47" s="49">
        <v>2.5246</v>
      </c>
      <c r="H47" s="49">
        <v>1.845</v>
      </c>
      <c r="I47" s="49">
        <v>1.8666</v>
      </c>
      <c r="J47" s="49">
        <v>1.4241999999999999</v>
      </c>
      <c r="K47" s="49">
        <v>1.4496</v>
      </c>
      <c r="L47" s="49">
        <v>2.2107999999999999</v>
      </c>
      <c r="M47" s="49">
        <v>2.2290999999999999</v>
      </c>
      <c r="N47" s="49">
        <v>3.7850000000000001</v>
      </c>
      <c r="O47" s="49">
        <v>3.8121</v>
      </c>
      <c r="P47" s="49">
        <v>3.1551</v>
      </c>
      <c r="Q47" s="49">
        <v>3.1806999999999999</v>
      </c>
      <c r="R47" s="49">
        <v>4.6056999999999997</v>
      </c>
      <c r="S47" s="49">
        <v>4.6346999999999996</v>
      </c>
      <c r="T47" s="49">
        <v>0.4531</v>
      </c>
      <c r="U47" s="49">
        <v>0.46860000000000002</v>
      </c>
      <c r="V47" s="49">
        <v>0.65510000000000002</v>
      </c>
      <c r="W47" s="49">
        <v>0.66600000000000004</v>
      </c>
      <c r="X47" s="49">
        <v>0.27929999999999999</v>
      </c>
      <c r="Y47" s="49">
        <v>0.29870000000000002</v>
      </c>
      <c r="Z47" s="49">
        <v>3.6955</v>
      </c>
      <c r="AA47" s="49">
        <v>3.7252000000000001</v>
      </c>
      <c r="AB47" s="49">
        <v>2.4359999999999999</v>
      </c>
      <c r="AC47" s="49">
        <v>2.4807000000000001</v>
      </c>
      <c r="AD47" s="49">
        <v>4.8017000000000003</v>
      </c>
      <c r="AE47" s="49">
        <v>4.8183999999999996</v>
      </c>
      <c r="AH47" s="16">
        <f t="shared" si="0"/>
        <v>19830831</v>
      </c>
      <c r="AI47" s="16">
        <f t="shared" si="1"/>
        <v>2.153</v>
      </c>
      <c r="AJ47" s="16">
        <f t="shared" si="2"/>
        <v>-2.2334999999999994</v>
      </c>
      <c r="AK47" s="16">
        <f t="shared" si="3"/>
        <v>4.1366999999999994</v>
      </c>
      <c r="AL47" s="19">
        <v>6.5625</v>
      </c>
      <c r="AM47" s="17">
        <f t="shared" si="4"/>
        <v>1.606125</v>
      </c>
      <c r="AN47" s="17">
        <f t="shared" si="5"/>
        <v>-2.2334999999999994</v>
      </c>
      <c r="AO47" s="17">
        <f t="shared" si="6"/>
        <v>4.1366999999999994</v>
      </c>
    </row>
    <row r="48" spans="1:41">
      <c r="A48" s="49">
        <v>19830930</v>
      </c>
      <c r="B48" s="49">
        <v>1.9155</v>
      </c>
      <c r="C48" s="49">
        <v>2.4518</v>
      </c>
      <c r="D48" s="49">
        <v>2.0552000000000001</v>
      </c>
      <c r="E48" s="49">
        <v>2.7246000000000001</v>
      </c>
      <c r="F48" s="49">
        <v>1.788</v>
      </c>
      <c r="G48" s="49">
        <v>2.2033999999999998</v>
      </c>
      <c r="H48" s="49">
        <v>2.2902</v>
      </c>
      <c r="I48" s="49">
        <v>2.8614000000000002</v>
      </c>
      <c r="J48" s="49">
        <v>2.4714999999999998</v>
      </c>
      <c r="K48" s="49">
        <v>3.2029999999999998</v>
      </c>
      <c r="L48" s="49">
        <v>2.1345999999999998</v>
      </c>
      <c r="M48" s="49">
        <v>2.5687000000000002</v>
      </c>
      <c r="N48" s="49">
        <v>-0.21679999999999999</v>
      </c>
      <c r="O48" s="49">
        <v>0.11890000000000001</v>
      </c>
      <c r="P48" s="49">
        <v>0.1096</v>
      </c>
      <c r="Q48" s="49">
        <v>0.48659999999999998</v>
      </c>
      <c r="R48" s="49">
        <v>-0.63570000000000004</v>
      </c>
      <c r="S48" s="49">
        <v>-0.3533</v>
      </c>
      <c r="T48" s="49">
        <v>4.0061</v>
      </c>
      <c r="U48" s="49">
        <v>4.6802000000000001</v>
      </c>
      <c r="V48" s="49">
        <v>3.7096</v>
      </c>
      <c r="W48" s="49">
        <v>4.5498000000000003</v>
      </c>
      <c r="X48" s="49">
        <v>4.2621000000000002</v>
      </c>
      <c r="Y48" s="49">
        <v>4.7930000000000001</v>
      </c>
      <c r="Z48" s="49">
        <v>8.7499999999999994E-2</v>
      </c>
      <c r="AA48" s="49">
        <v>0.52569999999999995</v>
      </c>
      <c r="AB48" s="49">
        <v>0.87060000000000004</v>
      </c>
      <c r="AC48" s="49">
        <v>1.4602999999999999</v>
      </c>
      <c r="AD48" s="49">
        <v>-0.57969999999999999</v>
      </c>
      <c r="AE48" s="49">
        <v>-0.26989999999999997</v>
      </c>
      <c r="AH48" s="16">
        <f t="shared" si="0"/>
        <v>19830930</v>
      </c>
      <c r="AI48" s="16">
        <f t="shared" si="1"/>
        <v>2.4518</v>
      </c>
      <c r="AJ48" s="16">
        <f t="shared" si="2"/>
        <v>1.4741999999999997</v>
      </c>
      <c r="AK48" s="16">
        <f t="shared" si="3"/>
        <v>-5.6383999999999999</v>
      </c>
      <c r="AL48" s="19">
        <v>6.4375</v>
      </c>
      <c r="AM48" s="17">
        <f t="shared" si="4"/>
        <v>1.9153416666666665</v>
      </c>
      <c r="AN48" s="17">
        <f t="shared" si="5"/>
        <v>1.4741999999999997</v>
      </c>
      <c r="AO48" s="17">
        <f t="shared" si="6"/>
        <v>-5.6383999999999999</v>
      </c>
    </row>
    <row r="49" spans="1:41">
      <c r="A49" s="49">
        <v>19831031</v>
      </c>
      <c r="B49" s="49">
        <v>-0.9214</v>
      </c>
      <c r="C49" s="49">
        <v>-0.89249999999999996</v>
      </c>
      <c r="D49" s="49">
        <v>0.14169999999999999</v>
      </c>
      <c r="E49" s="49">
        <v>0.1711</v>
      </c>
      <c r="F49" s="49">
        <v>-1.8939999999999999</v>
      </c>
      <c r="G49" s="49">
        <v>-1.8655999999999999</v>
      </c>
      <c r="H49" s="49">
        <v>-1.1636</v>
      </c>
      <c r="I49" s="49">
        <v>-1.1389</v>
      </c>
      <c r="J49" s="49">
        <v>-0.10979999999999999</v>
      </c>
      <c r="K49" s="49">
        <v>-8.9399999999999993E-2</v>
      </c>
      <c r="L49" s="49">
        <v>-2.0710000000000002</v>
      </c>
      <c r="M49" s="49">
        <v>-2.0425</v>
      </c>
      <c r="N49" s="49">
        <v>0.4879</v>
      </c>
      <c r="O49" s="49">
        <v>0.54139999999999999</v>
      </c>
      <c r="P49" s="49">
        <v>1.3382000000000001</v>
      </c>
      <c r="Q49" s="49">
        <v>1.4107000000000001</v>
      </c>
      <c r="R49" s="49">
        <v>-0.61960000000000004</v>
      </c>
      <c r="S49" s="49">
        <v>-0.59119999999999995</v>
      </c>
      <c r="T49" s="49">
        <v>-1.4691000000000001</v>
      </c>
      <c r="U49" s="49">
        <v>-1.4498</v>
      </c>
      <c r="V49" s="49">
        <v>-0.11070000000000001</v>
      </c>
      <c r="W49" s="49">
        <v>-9.5100000000000004E-2</v>
      </c>
      <c r="X49" s="49">
        <v>-2.6343000000000001</v>
      </c>
      <c r="Y49" s="49">
        <v>-2.6118999999999999</v>
      </c>
      <c r="Z49" s="49">
        <v>-0.75780000000000003</v>
      </c>
      <c r="AA49" s="49">
        <v>-0.72589999999999999</v>
      </c>
      <c r="AB49" s="49">
        <v>-0.1085</v>
      </c>
      <c r="AC49" s="49">
        <v>-8.2000000000000003E-2</v>
      </c>
      <c r="AD49" s="49">
        <v>-1.3201000000000001</v>
      </c>
      <c r="AE49" s="49">
        <v>-1.2835000000000001</v>
      </c>
      <c r="AH49" s="16">
        <f t="shared" si="0"/>
        <v>19831031</v>
      </c>
      <c r="AI49" s="16">
        <f t="shared" si="1"/>
        <v>-0.89249999999999996</v>
      </c>
      <c r="AJ49" s="16">
        <f t="shared" si="2"/>
        <v>3.9550000000000001</v>
      </c>
      <c r="AK49" s="16">
        <f t="shared" si="3"/>
        <v>2.9514</v>
      </c>
      <c r="AL49" s="19">
        <v>6.5</v>
      </c>
      <c r="AM49" s="17">
        <f t="shared" si="4"/>
        <v>-1.4341666666666666</v>
      </c>
      <c r="AN49" s="17">
        <f t="shared" si="5"/>
        <v>3.9550000000000001</v>
      </c>
      <c r="AO49" s="17">
        <f t="shared" si="6"/>
        <v>2.9514</v>
      </c>
    </row>
    <row r="50" spans="1:41">
      <c r="A50" s="49">
        <v>19831130</v>
      </c>
      <c r="B50" s="49">
        <v>0.1489</v>
      </c>
      <c r="C50" s="49">
        <v>0.2102</v>
      </c>
      <c r="D50" s="49">
        <v>-0.93269999999999997</v>
      </c>
      <c r="E50" s="49">
        <v>-0.86719999999999997</v>
      </c>
      <c r="F50" s="49">
        <v>1.1571</v>
      </c>
      <c r="G50" s="49">
        <v>1.2144999999999999</v>
      </c>
      <c r="H50" s="49">
        <v>-0.1358</v>
      </c>
      <c r="I50" s="49">
        <v>-7.7499999999999999E-2</v>
      </c>
      <c r="J50" s="49">
        <v>-1.2785</v>
      </c>
      <c r="K50" s="49">
        <v>-1.2197</v>
      </c>
      <c r="L50" s="49">
        <v>0.86599999999999999</v>
      </c>
      <c r="M50" s="49">
        <v>0.92379999999999995</v>
      </c>
      <c r="N50" s="49">
        <v>1.7750999999999999</v>
      </c>
      <c r="O50" s="49">
        <v>1.8542000000000001</v>
      </c>
      <c r="P50" s="49">
        <v>0.68659999999999999</v>
      </c>
      <c r="Q50" s="49">
        <v>0.78380000000000005</v>
      </c>
      <c r="R50" s="49">
        <v>3.2178</v>
      </c>
      <c r="S50" s="49">
        <v>3.2726000000000002</v>
      </c>
      <c r="T50" s="49">
        <v>-0.46839999999999998</v>
      </c>
      <c r="U50" s="49">
        <v>-0.41239999999999999</v>
      </c>
      <c r="V50" s="49">
        <v>-1.8541000000000001</v>
      </c>
      <c r="W50" s="49">
        <v>-1.7885</v>
      </c>
      <c r="X50" s="49">
        <v>0.75009999999999999</v>
      </c>
      <c r="Y50" s="49">
        <v>0.79759999999999998</v>
      </c>
      <c r="Z50" s="49">
        <v>0.30249999999999999</v>
      </c>
      <c r="AA50" s="49">
        <v>0.36359999999999998</v>
      </c>
      <c r="AB50" s="49">
        <v>-0.51729999999999998</v>
      </c>
      <c r="AC50" s="49">
        <v>-0.46760000000000002</v>
      </c>
      <c r="AD50" s="49">
        <v>1.0183</v>
      </c>
      <c r="AE50" s="49">
        <v>1.0893999999999999</v>
      </c>
      <c r="AH50" s="16">
        <f t="shared" si="0"/>
        <v>19831130</v>
      </c>
      <c r="AI50" s="16">
        <f t="shared" si="1"/>
        <v>0.2102</v>
      </c>
      <c r="AJ50" s="16">
        <f t="shared" si="2"/>
        <v>-4.6323000000000008</v>
      </c>
      <c r="AK50" s="16">
        <f t="shared" si="3"/>
        <v>4.3522999999999996</v>
      </c>
      <c r="AL50" s="19">
        <v>6.125</v>
      </c>
      <c r="AM50" s="17">
        <f t="shared" si="4"/>
        <v>-0.30021666666666663</v>
      </c>
      <c r="AN50" s="17">
        <f t="shared" si="5"/>
        <v>-4.6323000000000008</v>
      </c>
      <c r="AO50" s="17">
        <f t="shared" si="6"/>
        <v>4.3522999999999996</v>
      </c>
    </row>
    <row r="51" spans="1:41">
      <c r="A51" s="49">
        <v>19831231</v>
      </c>
      <c r="B51" s="49">
        <v>6.8533999999999997</v>
      </c>
      <c r="C51" s="49">
        <v>6.9160000000000004</v>
      </c>
      <c r="D51" s="49">
        <v>7.0475000000000003</v>
      </c>
      <c r="E51" s="49">
        <v>7.0964</v>
      </c>
      <c r="F51" s="49">
        <v>6.6761999999999997</v>
      </c>
      <c r="G51" s="49">
        <v>6.7511999999999999</v>
      </c>
      <c r="H51" s="49">
        <v>7.2453000000000003</v>
      </c>
      <c r="I51" s="49">
        <v>7.3033000000000001</v>
      </c>
      <c r="J51" s="49">
        <v>7.6224999999999996</v>
      </c>
      <c r="K51" s="49">
        <v>7.66</v>
      </c>
      <c r="L51" s="49">
        <v>6.9217000000000004</v>
      </c>
      <c r="M51" s="49">
        <v>6.9973000000000001</v>
      </c>
      <c r="N51" s="49">
        <v>4.6589</v>
      </c>
      <c r="O51" s="49">
        <v>4.7468000000000004</v>
      </c>
      <c r="P51" s="49">
        <v>4.4097</v>
      </c>
      <c r="Q51" s="49">
        <v>4.5106999999999999</v>
      </c>
      <c r="R51" s="49">
        <v>4.9802999999999997</v>
      </c>
      <c r="S51" s="49">
        <v>5.0513000000000003</v>
      </c>
      <c r="T51" s="49">
        <v>8.0121000000000002</v>
      </c>
      <c r="U51" s="49">
        <v>8.0756999999999994</v>
      </c>
      <c r="V51" s="49">
        <v>8.9039999999999999</v>
      </c>
      <c r="W51" s="49">
        <v>8.9206000000000003</v>
      </c>
      <c r="X51" s="49">
        <v>7.2480000000000002</v>
      </c>
      <c r="Y51" s="49">
        <v>7.3516000000000004</v>
      </c>
      <c r="Z51" s="49">
        <v>6.2430000000000003</v>
      </c>
      <c r="AA51" s="49">
        <v>6.2938000000000001</v>
      </c>
      <c r="AB51" s="49">
        <v>5.9493999999999998</v>
      </c>
      <c r="AC51" s="49">
        <v>6.0136000000000003</v>
      </c>
      <c r="AD51" s="49">
        <v>6.4950000000000001</v>
      </c>
      <c r="AE51" s="49">
        <v>6.5343999999999998</v>
      </c>
      <c r="AH51" s="16">
        <f t="shared" si="0"/>
        <v>19831231</v>
      </c>
      <c r="AI51" s="16">
        <f t="shared" si="1"/>
        <v>6.9160000000000004</v>
      </c>
      <c r="AJ51" s="16">
        <f t="shared" si="2"/>
        <v>0.12209999999999965</v>
      </c>
      <c r="AK51" s="16">
        <f t="shared" si="3"/>
        <v>-5.0952999999999982</v>
      </c>
      <c r="AL51" s="19">
        <v>6</v>
      </c>
      <c r="AM51" s="17">
        <f t="shared" si="4"/>
        <v>6.4160000000000004</v>
      </c>
      <c r="AN51" s="17">
        <f t="shared" si="5"/>
        <v>0.12209999999999965</v>
      </c>
      <c r="AO51" s="17">
        <f t="shared" si="6"/>
        <v>-5.0952999999999982</v>
      </c>
    </row>
    <row r="52" spans="1:41">
      <c r="A52" s="49">
        <v>19840131</v>
      </c>
      <c r="B52" s="49">
        <v>4.5256999999999996</v>
      </c>
      <c r="C52" s="49">
        <v>4.5419</v>
      </c>
      <c r="D52" s="49">
        <v>4.2782999999999998</v>
      </c>
      <c r="E52" s="49">
        <v>4.2967000000000004</v>
      </c>
      <c r="F52" s="49">
        <v>4.7916999999999996</v>
      </c>
      <c r="G52" s="49">
        <v>4.8053999999999997</v>
      </c>
      <c r="H52" s="49">
        <v>4.4253</v>
      </c>
      <c r="I52" s="49">
        <v>4.4398999999999997</v>
      </c>
      <c r="J52" s="49">
        <v>4.2896000000000001</v>
      </c>
      <c r="K52" s="49">
        <v>4.3063000000000002</v>
      </c>
      <c r="L52" s="49">
        <v>4.5690999999999997</v>
      </c>
      <c r="M52" s="49">
        <v>4.5815000000000001</v>
      </c>
      <c r="N52" s="49">
        <v>5.1102999999999996</v>
      </c>
      <c r="O52" s="49">
        <v>5.1352000000000002</v>
      </c>
      <c r="P52" s="49">
        <v>4.2157</v>
      </c>
      <c r="Q52" s="49">
        <v>4.2428999999999997</v>
      </c>
      <c r="R52" s="49">
        <v>6.1535000000000002</v>
      </c>
      <c r="S52" s="49">
        <v>6.1757</v>
      </c>
      <c r="T52" s="49">
        <v>3.9897</v>
      </c>
      <c r="U52" s="49">
        <v>4.0045000000000002</v>
      </c>
      <c r="V52" s="49">
        <v>3.9256000000000002</v>
      </c>
      <c r="W52" s="49">
        <v>3.9418000000000002</v>
      </c>
      <c r="X52" s="49">
        <v>4.0579000000000001</v>
      </c>
      <c r="Y52" s="49">
        <v>4.0713999999999997</v>
      </c>
      <c r="Z52" s="49">
        <v>5.0293999999999999</v>
      </c>
      <c r="AA52" s="49">
        <v>5.0437000000000003</v>
      </c>
      <c r="AB52" s="49">
        <v>4.7991000000000001</v>
      </c>
      <c r="AC52" s="49">
        <v>4.8166000000000002</v>
      </c>
      <c r="AD52" s="49">
        <v>5.2709000000000001</v>
      </c>
      <c r="AE52" s="49">
        <v>5.2817999999999996</v>
      </c>
      <c r="AH52" s="16">
        <f t="shared" si="0"/>
        <v>19840131</v>
      </c>
      <c r="AI52" s="16">
        <f t="shared" si="1"/>
        <v>4.5419</v>
      </c>
      <c r="AJ52" s="16">
        <f t="shared" si="2"/>
        <v>-2.2080000000000002</v>
      </c>
      <c r="AK52" s="16">
        <f t="shared" si="3"/>
        <v>1.5307999999999993</v>
      </c>
      <c r="AL52" s="19">
        <v>6.25</v>
      </c>
      <c r="AM52" s="17">
        <f t="shared" si="4"/>
        <v>4.021066666666667</v>
      </c>
      <c r="AN52" s="17">
        <f t="shared" si="5"/>
        <v>-2.2080000000000002</v>
      </c>
      <c r="AO52" s="17">
        <f t="shared" si="6"/>
        <v>1.5307999999999993</v>
      </c>
    </row>
    <row r="53" spans="1:41">
      <c r="A53" s="49">
        <v>19840229</v>
      </c>
      <c r="B53" s="49">
        <v>-0.97330000000000005</v>
      </c>
      <c r="C53" s="49">
        <v>-0.93830000000000002</v>
      </c>
      <c r="D53" s="49">
        <v>-0.44379999999999997</v>
      </c>
      <c r="E53" s="49">
        <v>-0.4022</v>
      </c>
      <c r="F53" s="49">
        <v>-1.5414000000000001</v>
      </c>
      <c r="G53" s="49">
        <v>-1.5134000000000001</v>
      </c>
      <c r="H53" s="49">
        <v>-1.36</v>
      </c>
      <c r="I53" s="49">
        <v>-1.3260000000000001</v>
      </c>
      <c r="J53" s="49">
        <v>-0.70299999999999996</v>
      </c>
      <c r="K53" s="49">
        <v>-0.66069999999999995</v>
      </c>
      <c r="L53" s="49">
        <v>-2.0567000000000002</v>
      </c>
      <c r="M53" s="49">
        <v>-2.0314999999999999</v>
      </c>
      <c r="N53" s="49">
        <v>1.2630999999999999</v>
      </c>
      <c r="O53" s="49">
        <v>1.304</v>
      </c>
      <c r="P53" s="49">
        <v>0.999</v>
      </c>
      <c r="Q53" s="49">
        <v>1.0368999999999999</v>
      </c>
      <c r="R53" s="49">
        <v>1.5648</v>
      </c>
      <c r="S53" s="49">
        <v>1.6093</v>
      </c>
      <c r="T53" s="49">
        <v>-2.7757999999999998</v>
      </c>
      <c r="U53" s="49">
        <v>-2.7635999999999998</v>
      </c>
      <c r="V53" s="49">
        <v>-1.8567</v>
      </c>
      <c r="W53" s="49">
        <v>-1.8472</v>
      </c>
      <c r="X53" s="49">
        <v>-3.7603</v>
      </c>
      <c r="Y53" s="49">
        <v>-3.7452999999999999</v>
      </c>
      <c r="Z53" s="49">
        <v>0.58499999999999996</v>
      </c>
      <c r="AA53" s="49">
        <v>0.6492</v>
      </c>
      <c r="AB53" s="49">
        <v>0.89839999999999998</v>
      </c>
      <c r="AC53" s="49">
        <v>0.98619999999999997</v>
      </c>
      <c r="AD53" s="49">
        <v>0.2586</v>
      </c>
      <c r="AE53" s="49">
        <v>0.29770000000000002</v>
      </c>
      <c r="AH53" s="16">
        <f t="shared" si="0"/>
        <v>19840229</v>
      </c>
      <c r="AI53" s="16">
        <f t="shared" si="1"/>
        <v>-0.93830000000000002</v>
      </c>
      <c r="AJ53" s="16">
        <f t="shared" si="2"/>
        <v>0.7984</v>
      </c>
      <c r="AK53" s="16">
        <f t="shared" si="3"/>
        <v>5.3384</v>
      </c>
      <c r="AL53" s="19">
        <v>6.125</v>
      </c>
      <c r="AM53" s="17">
        <f t="shared" si="4"/>
        <v>-1.4487166666666667</v>
      </c>
      <c r="AN53" s="17">
        <f t="shared" si="5"/>
        <v>0.7984</v>
      </c>
      <c r="AO53" s="17">
        <f t="shared" si="6"/>
        <v>5.3384</v>
      </c>
    </row>
    <row r="54" spans="1:41">
      <c r="A54" s="49">
        <v>19840331</v>
      </c>
      <c r="B54" s="49">
        <v>9.6282999999999994</v>
      </c>
      <c r="C54" s="49">
        <v>10.193199999999999</v>
      </c>
      <c r="D54" s="49">
        <v>11.1152</v>
      </c>
      <c r="E54" s="49">
        <v>11.9328</v>
      </c>
      <c r="F54" s="49">
        <v>8.0269999999999992</v>
      </c>
      <c r="G54" s="49">
        <v>8.3218999999999994</v>
      </c>
      <c r="H54" s="49">
        <v>10.6351</v>
      </c>
      <c r="I54" s="49">
        <v>11.2041</v>
      </c>
      <c r="J54" s="49">
        <v>12.3504</v>
      </c>
      <c r="K54" s="49">
        <v>13.1883</v>
      </c>
      <c r="L54" s="49">
        <v>8.8045000000000009</v>
      </c>
      <c r="M54" s="49">
        <v>9.0886999999999993</v>
      </c>
      <c r="N54" s="49">
        <v>3.9540000000000002</v>
      </c>
      <c r="O54" s="49">
        <v>4.4960000000000004</v>
      </c>
      <c r="P54" s="49">
        <v>4.3517000000000001</v>
      </c>
      <c r="Q54" s="49">
        <v>5.0593000000000004</v>
      </c>
      <c r="R54" s="49">
        <v>3.5044</v>
      </c>
      <c r="S54" s="49">
        <v>3.8599000000000001</v>
      </c>
      <c r="T54" s="49">
        <v>10.8354</v>
      </c>
      <c r="U54" s="49">
        <v>11.4238</v>
      </c>
      <c r="V54" s="49">
        <v>12.419600000000001</v>
      </c>
      <c r="W54" s="49">
        <v>13.325900000000001</v>
      </c>
      <c r="X54" s="49">
        <v>9.1191999999999993</v>
      </c>
      <c r="Y54" s="49">
        <v>9.3625000000000007</v>
      </c>
      <c r="Z54" s="49">
        <v>10.3705</v>
      </c>
      <c r="AA54" s="49">
        <v>10.9139</v>
      </c>
      <c r="AB54" s="49">
        <v>12.2575</v>
      </c>
      <c r="AC54" s="49">
        <v>13.003500000000001</v>
      </c>
      <c r="AD54" s="49">
        <v>8.3971</v>
      </c>
      <c r="AE54" s="49">
        <v>8.7331000000000003</v>
      </c>
      <c r="AH54" s="16">
        <f t="shared" si="0"/>
        <v>19840331</v>
      </c>
      <c r="AI54" s="16">
        <f t="shared" si="1"/>
        <v>10.193199999999999</v>
      </c>
      <c r="AJ54" s="16">
        <f t="shared" si="2"/>
        <v>5.2990000000000013</v>
      </c>
      <c r="AK54" s="16">
        <f t="shared" si="3"/>
        <v>-13.357800000000001</v>
      </c>
      <c r="AL54" s="19">
        <v>6.625</v>
      </c>
      <c r="AM54" s="17">
        <f t="shared" si="4"/>
        <v>9.6411166666666652</v>
      </c>
      <c r="AN54" s="17">
        <f t="shared" si="5"/>
        <v>5.2990000000000013</v>
      </c>
      <c r="AO54" s="17">
        <f t="shared" si="6"/>
        <v>-13.357800000000001</v>
      </c>
    </row>
    <row r="55" spans="1:41">
      <c r="A55" s="49">
        <v>19840430</v>
      </c>
      <c r="B55" s="49">
        <v>-0.81820000000000004</v>
      </c>
      <c r="C55" s="49">
        <v>-0.79330000000000001</v>
      </c>
      <c r="D55" s="49">
        <v>-0.18079999999999999</v>
      </c>
      <c r="E55" s="49">
        <v>-0.151</v>
      </c>
      <c r="F55" s="49">
        <v>-1.5227999999999999</v>
      </c>
      <c r="G55" s="49">
        <v>-1.5033000000000001</v>
      </c>
      <c r="H55" s="49">
        <v>-0.98780000000000001</v>
      </c>
      <c r="I55" s="49">
        <v>-0.96699999999999997</v>
      </c>
      <c r="J55" s="49">
        <v>-0.44840000000000002</v>
      </c>
      <c r="K55" s="49">
        <v>-0.42530000000000001</v>
      </c>
      <c r="L55" s="49">
        <v>-1.5813999999999999</v>
      </c>
      <c r="M55" s="49">
        <v>-1.5629</v>
      </c>
      <c r="N55" s="49">
        <v>0.19750000000000001</v>
      </c>
      <c r="O55" s="49">
        <v>0.24640000000000001</v>
      </c>
      <c r="P55" s="49">
        <v>1.3937999999999999</v>
      </c>
      <c r="Q55" s="49">
        <v>1.4632000000000001</v>
      </c>
      <c r="R55" s="49">
        <v>-1.1635</v>
      </c>
      <c r="S55" s="49">
        <v>-1.1378999999999999</v>
      </c>
      <c r="T55" s="49">
        <v>-1.8446</v>
      </c>
      <c r="U55" s="49">
        <v>-1.8259000000000001</v>
      </c>
      <c r="V55" s="49">
        <v>-1.9576</v>
      </c>
      <c r="W55" s="49">
        <v>-1.9386000000000001</v>
      </c>
      <c r="X55" s="49">
        <v>-1.7183999999999999</v>
      </c>
      <c r="Y55" s="49">
        <v>-1.6999</v>
      </c>
      <c r="Z55" s="49">
        <v>0.15229999999999999</v>
      </c>
      <c r="AA55" s="49">
        <v>0.1759</v>
      </c>
      <c r="AB55" s="49">
        <v>1.5924</v>
      </c>
      <c r="AC55" s="49">
        <v>1.6209</v>
      </c>
      <c r="AD55" s="49">
        <v>-1.4021999999999999</v>
      </c>
      <c r="AE55" s="49">
        <v>-1.3836999999999999</v>
      </c>
      <c r="AH55" s="16">
        <f t="shared" si="0"/>
        <v>19840430</v>
      </c>
      <c r="AI55" s="16">
        <f t="shared" si="1"/>
        <v>-0.79330000000000001</v>
      </c>
      <c r="AJ55" s="16">
        <f t="shared" si="2"/>
        <v>3.7386999999999997</v>
      </c>
      <c r="AK55" s="16">
        <f t="shared" si="3"/>
        <v>2.3135000000000003</v>
      </c>
      <c r="AL55" s="19">
        <v>6.5625</v>
      </c>
      <c r="AM55" s="17">
        <f t="shared" si="4"/>
        <v>-1.3401749999999999</v>
      </c>
      <c r="AN55" s="17">
        <f t="shared" si="5"/>
        <v>3.7386999999999997</v>
      </c>
      <c r="AO55" s="17">
        <f t="shared" si="6"/>
        <v>2.3135000000000003</v>
      </c>
    </row>
    <row r="56" spans="1:41">
      <c r="A56" s="49">
        <v>19840531</v>
      </c>
      <c r="B56" s="49">
        <v>-9.6866000000000003</v>
      </c>
      <c r="C56" s="49">
        <v>-9.6506000000000007</v>
      </c>
      <c r="D56" s="49">
        <v>-8.8102</v>
      </c>
      <c r="E56" s="49">
        <v>-8.7706</v>
      </c>
      <c r="F56" s="49">
        <v>-10.6691</v>
      </c>
      <c r="G56" s="49">
        <v>-10.6371</v>
      </c>
      <c r="H56" s="49">
        <v>-10.1547</v>
      </c>
      <c r="I56" s="49">
        <v>-10.121</v>
      </c>
      <c r="J56" s="49">
        <v>-9.3503000000000007</v>
      </c>
      <c r="K56" s="49">
        <v>-9.3157999999999994</v>
      </c>
      <c r="L56" s="49">
        <v>-11.0503</v>
      </c>
      <c r="M56" s="49">
        <v>-11.0174</v>
      </c>
      <c r="N56" s="49">
        <v>-6.9252000000000002</v>
      </c>
      <c r="O56" s="49">
        <v>-6.8757000000000001</v>
      </c>
      <c r="P56" s="49">
        <v>-5.6935000000000002</v>
      </c>
      <c r="Q56" s="49">
        <v>-5.6238000000000001</v>
      </c>
      <c r="R56" s="49">
        <v>-8.3627000000000002</v>
      </c>
      <c r="S56" s="49">
        <v>-8.3364999999999991</v>
      </c>
      <c r="T56" s="49">
        <v>-11.0341</v>
      </c>
      <c r="U56" s="49">
        <v>-11.0022</v>
      </c>
      <c r="V56" s="49">
        <v>-10.061299999999999</v>
      </c>
      <c r="W56" s="49">
        <v>-10.031499999999999</v>
      </c>
      <c r="X56" s="49">
        <v>-12.117599999999999</v>
      </c>
      <c r="Y56" s="49">
        <v>-12.083399999999999</v>
      </c>
      <c r="Z56" s="49">
        <v>-9.0085999999999995</v>
      </c>
      <c r="AA56" s="49">
        <v>-8.9725000000000001</v>
      </c>
      <c r="AB56" s="49">
        <v>-8.4230999999999998</v>
      </c>
      <c r="AC56" s="49">
        <v>-8.3827999999999996</v>
      </c>
      <c r="AD56" s="49">
        <v>-9.66</v>
      </c>
      <c r="AE56" s="49">
        <v>-9.6287000000000003</v>
      </c>
      <c r="AH56" s="16">
        <f t="shared" si="0"/>
        <v>19840531</v>
      </c>
      <c r="AI56" s="16">
        <f t="shared" si="1"/>
        <v>-9.6506000000000007</v>
      </c>
      <c r="AJ56" s="16">
        <f t="shared" si="2"/>
        <v>4.4142999999999999</v>
      </c>
      <c r="AK56" s="16">
        <f t="shared" si="3"/>
        <v>6.3728999999999978</v>
      </c>
      <c r="AL56" s="19">
        <v>5.875</v>
      </c>
      <c r="AM56" s="17">
        <f t="shared" si="4"/>
        <v>-10.140183333333335</v>
      </c>
      <c r="AN56" s="17">
        <f t="shared" si="5"/>
        <v>4.4142999999999999</v>
      </c>
      <c r="AO56" s="17">
        <f t="shared" si="6"/>
        <v>6.3728999999999978</v>
      </c>
    </row>
    <row r="57" spans="1:41">
      <c r="A57" s="49">
        <v>19840630</v>
      </c>
      <c r="B57" s="49">
        <v>2.5318000000000001</v>
      </c>
      <c r="C57" s="49">
        <v>2.5731999999999999</v>
      </c>
      <c r="D57" s="49">
        <v>2.5531000000000001</v>
      </c>
      <c r="E57" s="49">
        <v>2.5871</v>
      </c>
      <c r="F57" s="49">
        <v>2.5070999999999999</v>
      </c>
      <c r="G57" s="49">
        <v>2.5571000000000002</v>
      </c>
      <c r="H57" s="49">
        <v>2.5935000000000001</v>
      </c>
      <c r="I57" s="49">
        <v>2.6366999999999998</v>
      </c>
      <c r="J57" s="49">
        <v>2.4283000000000001</v>
      </c>
      <c r="K57" s="49">
        <v>2.4626000000000001</v>
      </c>
      <c r="L57" s="49">
        <v>2.7804000000000002</v>
      </c>
      <c r="M57" s="49">
        <v>2.8336999999999999</v>
      </c>
      <c r="N57" s="49">
        <v>2.1804000000000001</v>
      </c>
      <c r="O57" s="49">
        <v>2.2120000000000002</v>
      </c>
      <c r="P57" s="49">
        <v>3.2443</v>
      </c>
      <c r="Q57" s="49">
        <v>3.2770000000000001</v>
      </c>
      <c r="R57" s="49">
        <v>0.90300000000000002</v>
      </c>
      <c r="S57" s="49">
        <v>0.93320000000000003</v>
      </c>
      <c r="T57" s="49">
        <v>2.3361000000000001</v>
      </c>
      <c r="U57" s="49">
        <v>2.3976000000000002</v>
      </c>
      <c r="V57" s="49">
        <v>1.8265</v>
      </c>
      <c r="W57" s="49">
        <v>1.8715999999999999</v>
      </c>
      <c r="X57" s="49">
        <v>2.9163999999999999</v>
      </c>
      <c r="Y57" s="49">
        <v>2.9965999999999999</v>
      </c>
      <c r="Z57" s="49">
        <v>2.9213</v>
      </c>
      <c r="AA57" s="49">
        <v>2.9411999999999998</v>
      </c>
      <c r="AB57" s="49">
        <v>3.1993</v>
      </c>
      <c r="AC57" s="49">
        <v>3.2198000000000002</v>
      </c>
      <c r="AD57" s="49">
        <v>2.6080000000000001</v>
      </c>
      <c r="AE57" s="49">
        <v>2.6271</v>
      </c>
      <c r="AH57" s="16">
        <f t="shared" si="0"/>
        <v>19840630</v>
      </c>
      <c r="AI57" s="16">
        <f t="shared" si="1"/>
        <v>2.5731999999999999</v>
      </c>
      <c r="AJ57" s="16">
        <f t="shared" si="2"/>
        <v>1.9727000000000001</v>
      </c>
      <c r="AK57" s="16">
        <f t="shared" si="3"/>
        <v>-1.0861000000000001</v>
      </c>
      <c r="AL57" s="19">
        <v>6</v>
      </c>
      <c r="AM57" s="17">
        <f t="shared" si="4"/>
        <v>2.0731999999999999</v>
      </c>
      <c r="AN57" s="17">
        <f t="shared" si="5"/>
        <v>1.9727000000000001</v>
      </c>
      <c r="AO57" s="17">
        <f t="shared" si="6"/>
        <v>-1.0861000000000001</v>
      </c>
    </row>
    <row r="58" spans="1:41">
      <c r="A58" s="49">
        <v>19840731</v>
      </c>
      <c r="B58" s="49">
        <v>-3.6873999999999998</v>
      </c>
      <c r="C58" s="49">
        <v>-3.6757</v>
      </c>
      <c r="D58" s="49">
        <v>-3.5005999999999999</v>
      </c>
      <c r="E58" s="49">
        <v>-3.4843999999999999</v>
      </c>
      <c r="F58" s="49">
        <v>-3.9007999999999998</v>
      </c>
      <c r="G58" s="49">
        <v>-3.8944000000000001</v>
      </c>
      <c r="H58" s="49">
        <v>-4.1471999999999998</v>
      </c>
      <c r="I58" s="49">
        <v>-4.1364000000000001</v>
      </c>
      <c r="J58" s="49">
        <v>-4.0301999999999998</v>
      </c>
      <c r="K58" s="49">
        <v>-4.0133999999999999</v>
      </c>
      <c r="L58" s="49">
        <v>-4.2793000000000001</v>
      </c>
      <c r="M58" s="49">
        <v>-4.2751999999999999</v>
      </c>
      <c r="N58" s="49">
        <v>-1.0616000000000001</v>
      </c>
      <c r="O58" s="49">
        <v>-1.0455000000000001</v>
      </c>
      <c r="P58" s="49">
        <v>-0.58979999999999999</v>
      </c>
      <c r="Q58" s="49">
        <v>-0.57689999999999997</v>
      </c>
      <c r="R58" s="49">
        <v>-1.6402000000000001</v>
      </c>
      <c r="S58" s="49">
        <v>-1.6203000000000001</v>
      </c>
      <c r="T58" s="49">
        <v>-4.3577000000000004</v>
      </c>
      <c r="U58" s="49">
        <v>-4.3502999999999998</v>
      </c>
      <c r="V58" s="49">
        <v>-4.1494</v>
      </c>
      <c r="W58" s="49">
        <v>-4.1353999999999997</v>
      </c>
      <c r="X58" s="49">
        <v>-4.5923999999999996</v>
      </c>
      <c r="Y58" s="49">
        <v>-4.5923999999999996</v>
      </c>
      <c r="Z58" s="49">
        <v>-3.8805999999999998</v>
      </c>
      <c r="AA58" s="49">
        <v>-3.8654000000000002</v>
      </c>
      <c r="AB58" s="49">
        <v>-3.8795999999999999</v>
      </c>
      <c r="AC58" s="49">
        <v>-3.8592</v>
      </c>
      <c r="AD58" s="49">
        <v>-3.8816999999999999</v>
      </c>
      <c r="AE58" s="49">
        <v>-3.8723000000000001</v>
      </c>
      <c r="AH58" s="16">
        <f t="shared" si="0"/>
        <v>19840731</v>
      </c>
      <c r="AI58" s="16">
        <f t="shared" si="1"/>
        <v>-3.6757</v>
      </c>
      <c r="AJ58" s="16">
        <f t="shared" si="2"/>
        <v>1.3052000000000001</v>
      </c>
      <c r="AK58" s="16">
        <f t="shared" si="3"/>
        <v>6.0913999999999984</v>
      </c>
      <c r="AL58" s="19">
        <v>6</v>
      </c>
      <c r="AM58" s="17">
        <f t="shared" si="4"/>
        <v>-4.1757</v>
      </c>
      <c r="AN58" s="17">
        <f t="shared" si="5"/>
        <v>1.3052000000000001</v>
      </c>
      <c r="AO58" s="17">
        <f t="shared" si="6"/>
        <v>6.0913999999999984</v>
      </c>
    </row>
    <row r="59" spans="1:41">
      <c r="A59" s="49">
        <v>19840831</v>
      </c>
      <c r="B59" s="49">
        <v>7.1917999999999997</v>
      </c>
      <c r="C59" s="49">
        <v>7.2122999999999999</v>
      </c>
      <c r="D59" s="49">
        <v>4.7897999999999996</v>
      </c>
      <c r="E59" s="49">
        <v>4.8113000000000001</v>
      </c>
      <c r="F59" s="49">
        <v>9.9471000000000007</v>
      </c>
      <c r="G59" s="49">
        <v>9.9664999999999999</v>
      </c>
      <c r="H59" s="49">
        <v>7.3019999999999996</v>
      </c>
      <c r="I59" s="49">
        <v>7.3216999999999999</v>
      </c>
      <c r="J59" s="49">
        <v>5.0069999999999997</v>
      </c>
      <c r="K59" s="49">
        <v>5.0286999999999997</v>
      </c>
      <c r="L59" s="49">
        <v>9.8986000000000001</v>
      </c>
      <c r="M59" s="49">
        <v>9.9161999999999999</v>
      </c>
      <c r="N59" s="49">
        <v>6.5819999999999999</v>
      </c>
      <c r="O59" s="49">
        <v>6.6071</v>
      </c>
      <c r="P59" s="49">
        <v>3.6371000000000002</v>
      </c>
      <c r="Q59" s="49">
        <v>3.6576</v>
      </c>
      <c r="R59" s="49">
        <v>10.2287</v>
      </c>
      <c r="S59" s="49">
        <v>10.259399999999999</v>
      </c>
      <c r="T59" s="49">
        <v>7.8285999999999998</v>
      </c>
      <c r="U59" s="49">
        <v>7.8425000000000002</v>
      </c>
      <c r="V59" s="49">
        <v>6.2637999999999998</v>
      </c>
      <c r="W59" s="49">
        <v>6.2750000000000004</v>
      </c>
      <c r="X59" s="49">
        <v>9.6000999999999994</v>
      </c>
      <c r="Y59" s="49">
        <v>9.6170000000000009</v>
      </c>
      <c r="Z59" s="49">
        <v>6.6386000000000003</v>
      </c>
      <c r="AA59" s="49">
        <v>6.6657000000000002</v>
      </c>
      <c r="AB59" s="49">
        <v>3.4224000000000001</v>
      </c>
      <c r="AC59" s="49">
        <v>3.4573</v>
      </c>
      <c r="AD59" s="49">
        <v>10.2746</v>
      </c>
      <c r="AE59" s="49">
        <v>10.292999999999999</v>
      </c>
      <c r="AH59" s="16">
        <f t="shared" si="0"/>
        <v>19840831</v>
      </c>
      <c r="AI59" s="16">
        <f t="shared" si="1"/>
        <v>7.2122999999999999</v>
      </c>
      <c r="AJ59" s="16">
        <f t="shared" si="2"/>
        <v>-11.4893</v>
      </c>
      <c r="AK59" s="16">
        <f t="shared" si="3"/>
        <v>-1.0279000000000007</v>
      </c>
      <c r="AL59" s="19">
        <v>6.125</v>
      </c>
      <c r="AM59" s="17">
        <f t="shared" si="4"/>
        <v>6.701883333333333</v>
      </c>
      <c r="AN59" s="17">
        <f t="shared" si="5"/>
        <v>-11.4893</v>
      </c>
      <c r="AO59" s="17">
        <f t="shared" si="6"/>
        <v>-1.0279000000000007</v>
      </c>
    </row>
    <row r="60" spans="1:41">
      <c r="A60" s="49">
        <v>19840930</v>
      </c>
      <c r="B60" s="49">
        <v>0.81810000000000005</v>
      </c>
      <c r="C60" s="49">
        <v>1.3006</v>
      </c>
      <c r="D60" s="49">
        <v>-0.84909999999999997</v>
      </c>
      <c r="E60" s="49">
        <v>-0.20369999999999999</v>
      </c>
      <c r="F60" s="49">
        <v>2.6381999999999999</v>
      </c>
      <c r="G60" s="49">
        <v>2.9434</v>
      </c>
      <c r="H60" s="49">
        <v>0.95669999999999999</v>
      </c>
      <c r="I60" s="49">
        <v>1.4632000000000001</v>
      </c>
      <c r="J60" s="49">
        <v>-0.63970000000000005</v>
      </c>
      <c r="K60" s="49">
        <v>4.9599999999999998E-2</v>
      </c>
      <c r="L60" s="49">
        <v>2.6796000000000002</v>
      </c>
      <c r="M60" s="49">
        <v>2.9893000000000001</v>
      </c>
      <c r="N60" s="49">
        <v>4.7399999999999998E-2</v>
      </c>
      <c r="O60" s="49">
        <v>0.39560000000000001</v>
      </c>
      <c r="P60" s="49">
        <v>-1.9732000000000001</v>
      </c>
      <c r="Q60" s="49">
        <v>-1.5651999999999999</v>
      </c>
      <c r="R60" s="49">
        <v>2.3988</v>
      </c>
      <c r="S60" s="49">
        <v>2.6775000000000002</v>
      </c>
      <c r="T60" s="49">
        <v>1.2098</v>
      </c>
      <c r="U60" s="49">
        <v>1.8063</v>
      </c>
      <c r="V60" s="49">
        <v>-0.52939999999999998</v>
      </c>
      <c r="W60" s="49">
        <v>0.28649999999999998</v>
      </c>
      <c r="X60" s="49">
        <v>3.1137999999999999</v>
      </c>
      <c r="Y60" s="49">
        <v>3.4699</v>
      </c>
      <c r="Z60" s="49">
        <v>0.63400000000000001</v>
      </c>
      <c r="AA60" s="49">
        <v>1.0246</v>
      </c>
      <c r="AB60" s="49">
        <v>-0.78249999999999997</v>
      </c>
      <c r="AC60" s="49">
        <v>-0.25929999999999997</v>
      </c>
      <c r="AD60" s="49">
        <v>2.1354000000000002</v>
      </c>
      <c r="AE60" s="49">
        <v>2.3866000000000001</v>
      </c>
      <c r="AH60" s="16">
        <f t="shared" si="0"/>
        <v>19840930</v>
      </c>
      <c r="AI60" s="16">
        <f t="shared" si="1"/>
        <v>1.3006</v>
      </c>
      <c r="AJ60" s="16">
        <f t="shared" si="2"/>
        <v>-7.1824000000000003</v>
      </c>
      <c r="AK60" s="16">
        <f t="shared" si="3"/>
        <v>-1.9265999999999996</v>
      </c>
      <c r="AL60" s="19">
        <v>6.1875</v>
      </c>
      <c r="AM60" s="17">
        <f t="shared" si="4"/>
        <v>0.78497499999999998</v>
      </c>
      <c r="AN60" s="17">
        <f t="shared" si="5"/>
        <v>-7.1824000000000003</v>
      </c>
      <c r="AO60" s="17">
        <f t="shared" si="6"/>
        <v>-1.9265999999999996</v>
      </c>
    </row>
    <row r="61" spans="1:41">
      <c r="A61" s="49">
        <v>19841031</v>
      </c>
      <c r="B61" s="49">
        <v>3.7195</v>
      </c>
      <c r="C61" s="49">
        <v>3.7437999999999998</v>
      </c>
      <c r="D61" s="49">
        <v>4.2046999999999999</v>
      </c>
      <c r="E61" s="49">
        <v>4.2325999999999997</v>
      </c>
      <c r="F61" s="49">
        <v>3.2094999999999998</v>
      </c>
      <c r="G61" s="49">
        <v>3.23</v>
      </c>
      <c r="H61" s="49">
        <v>3.6823999999999999</v>
      </c>
      <c r="I61" s="49">
        <v>3.7025000000000001</v>
      </c>
      <c r="J61" s="49">
        <v>4.0967000000000002</v>
      </c>
      <c r="K61" s="49">
        <v>4.1177000000000001</v>
      </c>
      <c r="L61" s="49">
        <v>3.2513999999999998</v>
      </c>
      <c r="M61" s="49">
        <v>3.2704</v>
      </c>
      <c r="N61" s="49">
        <v>3.9268999999999998</v>
      </c>
      <c r="O61" s="49">
        <v>3.9748999999999999</v>
      </c>
      <c r="P61" s="49">
        <v>4.7893999999999997</v>
      </c>
      <c r="Q61" s="49">
        <v>4.8551000000000002</v>
      </c>
      <c r="R61" s="49">
        <v>2.9681000000000002</v>
      </c>
      <c r="S61" s="49">
        <v>2.9967000000000001</v>
      </c>
      <c r="T61" s="49">
        <v>2.7662</v>
      </c>
      <c r="U61" s="49">
        <v>2.7871999999999999</v>
      </c>
      <c r="V61" s="49">
        <v>3.2504</v>
      </c>
      <c r="W61" s="49">
        <v>3.2713999999999999</v>
      </c>
      <c r="X61" s="49">
        <v>2.2553999999999998</v>
      </c>
      <c r="Y61" s="49">
        <v>2.2761999999999998</v>
      </c>
      <c r="Z61" s="49">
        <v>4.8524000000000003</v>
      </c>
      <c r="AA61" s="49">
        <v>4.8712999999999997</v>
      </c>
      <c r="AB61" s="49">
        <v>5.1928999999999998</v>
      </c>
      <c r="AC61" s="49">
        <v>5.2138999999999998</v>
      </c>
      <c r="AD61" s="49">
        <v>4.5037000000000003</v>
      </c>
      <c r="AE61" s="49">
        <v>4.5206999999999997</v>
      </c>
      <c r="AH61" s="16">
        <f t="shared" si="0"/>
        <v>19841031</v>
      </c>
      <c r="AI61" s="16">
        <f t="shared" si="1"/>
        <v>3.7437999999999998</v>
      </c>
      <c r="AJ61" s="16">
        <f t="shared" si="2"/>
        <v>2.7057000000000002</v>
      </c>
      <c r="AK61" s="16">
        <f t="shared" si="3"/>
        <v>0.46370000000000111</v>
      </c>
      <c r="AL61" s="19">
        <v>6.375</v>
      </c>
      <c r="AM61" s="17">
        <f t="shared" si="4"/>
        <v>3.2125499999999998</v>
      </c>
      <c r="AN61" s="17">
        <f t="shared" si="5"/>
        <v>2.7057000000000002</v>
      </c>
      <c r="AO61" s="17">
        <f t="shared" si="6"/>
        <v>0.46370000000000111</v>
      </c>
    </row>
    <row r="62" spans="1:41">
      <c r="A62" s="49">
        <v>19841130</v>
      </c>
      <c r="B62" s="49">
        <v>0.52859999999999996</v>
      </c>
      <c r="C62" s="49">
        <v>0.57599999999999996</v>
      </c>
      <c r="D62" s="49">
        <v>3.3727999999999998</v>
      </c>
      <c r="E62" s="49">
        <v>3.4253999999999998</v>
      </c>
      <c r="F62" s="49">
        <v>-2.4872000000000001</v>
      </c>
      <c r="G62" s="49">
        <v>-2.4453</v>
      </c>
      <c r="H62" s="49">
        <v>0.12670000000000001</v>
      </c>
      <c r="I62" s="49">
        <v>0.17050000000000001</v>
      </c>
      <c r="J62" s="49">
        <v>3.1334</v>
      </c>
      <c r="K62" s="49">
        <v>3.1795</v>
      </c>
      <c r="L62" s="49">
        <v>-3.0247999999999999</v>
      </c>
      <c r="M62" s="49">
        <v>-2.9832999999999998</v>
      </c>
      <c r="N62" s="49">
        <v>2.7692000000000001</v>
      </c>
      <c r="O62" s="49">
        <v>2.8359000000000001</v>
      </c>
      <c r="P62" s="49">
        <v>4.66</v>
      </c>
      <c r="Q62" s="49">
        <v>4.7469000000000001</v>
      </c>
      <c r="R62" s="49">
        <v>0.63029999999999997</v>
      </c>
      <c r="S62" s="49">
        <v>0.67459999999999998</v>
      </c>
      <c r="T62" s="49">
        <v>-1.4694</v>
      </c>
      <c r="U62" s="49">
        <v>-1.4338</v>
      </c>
      <c r="V62" s="49">
        <v>0.75109999999999999</v>
      </c>
      <c r="W62" s="49">
        <v>0.78510000000000002</v>
      </c>
      <c r="X62" s="49">
        <v>-3.8315000000000001</v>
      </c>
      <c r="Y62" s="49">
        <v>-3.7940999999999998</v>
      </c>
      <c r="Z62" s="49">
        <v>2.1231</v>
      </c>
      <c r="AA62" s="49">
        <v>2.1772</v>
      </c>
      <c r="AB62" s="49">
        <v>6.1618000000000004</v>
      </c>
      <c r="AC62" s="49">
        <v>6.2233999999999998</v>
      </c>
      <c r="AD62" s="49">
        <v>-2.0327999999999999</v>
      </c>
      <c r="AE62" s="49">
        <v>-1.9863</v>
      </c>
      <c r="AH62" s="16">
        <f t="shared" si="0"/>
        <v>19841130</v>
      </c>
      <c r="AI62" s="16">
        <f t="shared" si="1"/>
        <v>0.57599999999999996</v>
      </c>
      <c r="AJ62" s="16">
        <f t="shared" si="2"/>
        <v>10.235099999999999</v>
      </c>
      <c r="AK62" s="16">
        <f t="shared" si="3"/>
        <v>5.2252999999999998</v>
      </c>
      <c r="AL62" s="19">
        <v>6.25</v>
      </c>
      <c r="AM62" s="17">
        <f t="shared" si="4"/>
        <v>5.5166666666666586E-2</v>
      </c>
      <c r="AN62" s="17">
        <f t="shared" si="5"/>
        <v>10.235099999999999</v>
      </c>
      <c r="AO62" s="17">
        <f t="shared" si="6"/>
        <v>5.2252999999999998</v>
      </c>
    </row>
    <row r="63" spans="1:41">
      <c r="A63" s="49">
        <v>19841231</v>
      </c>
      <c r="B63" s="49">
        <v>3.6191</v>
      </c>
      <c r="C63" s="49">
        <v>3.6787000000000001</v>
      </c>
      <c r="D63" s="49">
        <v>5.2819000000000003</v>
      </c>
      <c r="E63" s="49">
        <v>5.3392999999999997</v>
      </c>
      <c r="F63" s="49">
        <v>1.7504</v>
      </c>
      <c r="G63" s="49">
        <v>1.8125</v>
      </c>
      <c r="H63" s="49">
        <v>4.2213000000000003</v>
      </c>
      <c r="I63" s="49">
        <v>4.2793999999999999</v>
      </c>
      <c r="J63" s="49">
        <v>6.0475000000000003</v>
      </c>
      <c r="K63" s="49">
        <v>6.1007999999999996</v>
      </c>
      <c r="L63" s="49">
        <v>2.1858</v>
      </c>
      <c r="M63" s="49">
        <v>2.2492000000000001</v>
      </c>
      <c r="N63" s="49">
        <v>0.35249999999999998</v>
      </c>
      <c r="O63" s="49">
        <v>0.42020000000000002</v>
      </c>
      <c r="P63" s="49">
        <v>1.2296</v>
      </c>
      <c r="Q63" s="49">
        <v>1.3081</v>
      </c>
      <c r="R63" s="49">
        <v>-0.67810000000000004</v>
      </c>
      <c r="S63" s="49">
        <v>-0.62290000000000001</v>
      </c>
      <c r="T63" s="49">
        <v>5.8159000000000001</v>
      </c>
      <c r="U63" s="49">
        <v>5.8913000000000002</v>
      </c>
      <c r="V63" s="49">
        <v>7.6566000000000001</v>
      </c>
      <c r="W63" s="49">
        <v>7.7253999999999996</v>
      </c>
      <c r="X63" s="49">
        <v>3.7650999999999999</v>
      </c>
      <c r="Y63" s="49">
        <v>3.8479999999999999</v>
      </c>
      <c r="Z63" s="49">
        <v>2.2972999999999999</v>
      </c>
      <c r="AA63" s="49">
        <v>2.3342000000000001</v>
      </c>
      <c r="AB63" s="49">
        <v>4.1063000000000001</v>
      </c>
      <c r="AC63" s="49">
        <v>4.1406999999999998</v>
      </c>
      <c r="AD63" s="49">
        <v>0.27989999999999998</v>
      </c>
      <c r="AE63" s="49">
        <v>0.3196</v>
      </c>
      <c r="AH63" s="16">
        <f t="shared" si="0"/>
        <v>19841231</v>
      </c>
      <c r="AI63" s="16">
        <f t="shared" si="1"/>
        <v>3.6787000000000001</v>
      </c>
      <c r="AJ63" s="16">
        <f t="shared" si="2"/>
        <v>5.7825999999999995</v>
      </c>
      <c r="AK63" s="16">
        <f t="shared" si="3"/>
        <v>-7.6647999999999996</v>
      </c>
      <c r="AL63" s="19">
        <v>6.125</v>
      </c>
      <c r="AM63" s="17">
        <f t="shared" si="4"/>
        <v>3.1682833333333336</v>
      </c>
      <c r="AN63" s="17">
        <f t="shared" si="5"/>
        <v>5.7825999999999995</v>
      </c>
      <c r="AO63" s="17">
        <f t="shared" si="6"/>
        <v>-7.6647999999999996</v>
      </c>
    </row>
    <row r="64" spans="1:41">
      <c r="A64" s="49">
        <v>19850131</v>
      </c>
      <c r="B64" s="49">
        <v>1.9511000000000001</v>
      </c>
      <c r="C64" s="49">
        <v>1.9651000000000001</v>
      </c>
      <c r="D64" s="49">
        <v>1.5145999999999999</v>
      </c>
      <c r="E64" s="49">
        <v>1.5331999999999999</v>
      </c>
      <c r="F64" s="49">
        <v>2.3896999999999999</v>
      </c>
      <c r="G64" s="49">
        <v>2.3988999999999998</v>
      </c>
      <c r="H64" s="49">
        <v>1.6515</v>
      </c>
      <c r="I64" s="49">
        <v>1.6637</v>
      </c>
      <c r="J64" s="49">
        <v>1.0359</v>
      </c>
      <c r="K64" s="49">
        <v>1.0521</v>
      </c>
      <c r="L64" s="49">
        <v>2.2658999999999998</v>
      </c>
      <c r="M64" s="49">
        <v>2.2742</v>
      </c>
      <c r="N64" s="49">
        <v>3.6124000000000001</v>
      </c>
      <c r="O64" s="49">
        <v>3.6360000000000001</v>
      </c>
      <c r="P64" s="49">
        <v>4.1112000000000002</v>
      </c>
      <c r="Q64" s="49">
        <v>4.1430999999999996</v>
      </c>
      <c r="R64" s="49">
        <v>3.0922000000000001</v>
      </c>
      <c r="S64" s="49">
        <v>3.1071</v>
      </c>
      <c r="T64" s="49">
        <v>0.62509999999999999</v>
      </c>
      <c r="U64" s="49">
        <v>0.63249999999999995</v>
      </c>
      <c r="V64" s="49">
        <v>-0.36249999999999999</v>
      </c>
      <c r="W64" s="49">
        <v>-0.3493</v>
      </c>
      <c r="X64" s="49">
        <v>1.5667</v>
      </c>
      <c r="Y64" s="49">
        <v>1.5684</v>
      </c>
      <c r="Z64" s="49">
        <v>3.0417999999999998</v>
      </c>
      <c r="AA64" s="49">
        <v>3.0606</v>
      </c>
      <c r="AB64" s="49">
        <v>2.8308</v>
      </c>
      <c r="AC64" s="49">
        <v>2.8509000000000002</v>
      </c>
      <c r="AD64" s="49">
        <v>3.266</v>
      </c>
      <c r="AE64" s="49">
        <v>3.2833000000000001</v>
      </c>
      <c r="AH64" s="16">
        <f t="shared" si="0"/>
        <v>19850131</v>
      </c>
      <c r="AI64" s="16">
        <f t="shared" si="1"/>
        <v>1.9651000000000001</v>
      </c>
      <c r="AJ64" s="16">
        <f t="shared" si="2"/>
        <v>-0.18610000000000038</v>
      </c>
      <c r="AK64" s="16">
        <f t="shared" si="3"/>
        <v>3.9238999999999997</v>
      </c>
      <c r="AL64" s="19">
        <v>6.4375</v>
      </c>
      <c r="AM64" s="17">
        <f t="shared" si="4"/>
        <v>1.4286416666666666</v>
      </c>
      <c r="AN64" s="17">
        <f t="shared" si="5"/>
        <v>-0.18610000000000038</v>
      </c>
      <c r="AO64" s="17">
        <f t="shared" si="6"/>
        <v>3.9238999999999997</v>
      </c>
    </row>
    <row r="65" spans="1:41">
      <c r="A65" s="49">
        <v>19850228</v>
      </c>
      <c r="B65" s="49">
        <v>3.1276999999999999</v>
      </c>
      <c r="C65" s="49">
        <v>3.16</v>
      </c>
      <c r="D65" s="49">
        <v>2.7357</v>
      </c>
      <c r="E65" s="49">
        <v>2.7782</v>
      </c>
      <c r="F65" s="49">
        <v>3.5183</v>
      </c>
      <c r="G65" s="49">
        <v>3.5404</v>
      </c>
      <c r="H65" s="49">
        <v>3.4396</v>
      </c>
      <c r="I65" s="49">
        <v>3.4701</v>
      </c>
      <c r="J65" s="49">
        <v>3.0219999999999998</v>
      </c>
      <c r="K65" s="49">
        <v>3.0640999999999998</v>
      </c>
      <c r="L65" s="49">
        <v>3.8515000000000001</v>
      </c>
      <c r="M65" s="49">
        <v>3.8706999999999998</v>
      </c>
      <c r="N65" s="49">
        <v>1.4339999999999999</v>
      </c>
      <c r="O65" s="49">
        <v>1.4754</v>
      </c>
      <c r="P65" s="49">
        <v>1.2289000000000001</v>
      </c>
      <c r="Q65" s="49">
        <v>1.2735000000000001</v>
      </c>
      <c r="R65" s="49">
        <v>1.6503000000000001</v>
      </c>
      <c r="S65" s="49">
        <v>1.6884999999999999</v>
      </c>
      <c r="T65" s="49">
        <v>3.6758000000000002</v>
      </c>
      <c r="U65" s="49">
        <v>3.6888000000000001</v>
      </c>
      <c r="V65" s="49">
        <v>2.6715</v>
      </c>
      <c r="W65" s="49">
        <v>2.6821999999999999</v>
      </c>
      <c r="X65" s="49">
        <v>4.6153000000000004</v>
      </c>
      <c r="Y65" s="49">
        <v>4.6304999999999996</v>
      </c>
      <c r="Z65" s="49">
        <v>3.1274999999999999</v>
      </c>
      <c r="AA65" s="49">
        <v>3.181</v>
      </c>
      <c r="AB65" s="49">
        <v>3.4578000000000002</v>
      </c>
      <c r="AC65" s="49">
        <v>3.5387</v>
      </c>
      <c r="AD65" s="49">
        <v>2.7783000000000002</v>
      </c>
      <c r="AE65" s="49">
        <v>2.8031999999999999</v>
      </c>
      <c r="AH65" s="16">
        <f t="shared" si="0"/>
        <v>19850228</v>
      </c>
      <c r="AI65" s="16">
        <f t="shared" si="1"/>
        <v>3.16</v>
      </c>
      <c r="AJ65" s="16">
        <f t="shared" si="2"/>
        <v>-1.2215999999999998</v>
      </c>
      <c r="AK65" s="16">
        <f t="shared" si="3"/>
        <v>-3.9727999999999994</v>
      </c>
      <c r="AL65" s="19">
        <v>6.1875</v>
      </c>
      <c r="AM65" s="17">
        <f t="shared" si="4"/>
        <v>2.6443750000000001</v>
      </c>
      <c r="AN65" s="17">
        <f t="shared" si="5"/>
        <v>-1.2215999999999998</v>
      </c>
      <c r="AO65" s="17">
        <f t="shared" si="6"/>
        <v>-3.9727999999999994</v>
      </c>
    </row>
    <row r="66" spans="1:41">
      <c r="A66" s="49">
        <v>19850331</v>
      </c>
      <c r="B66" s="49">
        <v>1.9866999999999999</v>
      </c>
      <c r="C66" s="49">
        <v>2.4605999999999999</v>
      </c>
      <c r="D66" s="49">
        <v>3.2469000000000001</v>
      </c>
      <c r="E66" s="49">
        <v>3.8931</v>
      </c>
      <c r="F66" s="49">
        <v>0.74170000000000003</v>
      </c>
      <c r="G66" s="49">
        <v>1.0468</v>
      </c>
      <c r="H66" s="49">
        <v>2.0457999999999998</v>
      </c>
      <c r="I66" s="49">
        <v>2.5219999999999998</v>
      </c>
      <c r="J66" s="49">
        <v>3.0994999999999999</v>
      </c>
      <c r="K66" s="49">
        <v>3.7545999999999999</v>
      </c>
      <c r="L66" s="49">
        <v>1.0155000000000001</v>
      </c>
      <c r="M66" s="49">
        <v>1.3181</v>
      </c>
      <c r="N66" s="49">
        <v>1.6580999999999999</v>
      </c>
      <c r="O66" s="49">
        <v>2.1194000000000002</v>
      </c>
      <c r="P66" s="49">
        <v>4.0355999999999996</v>
      </c>
      <c r="Q66" s="49">
        <v>4.6336000000000004</v>
      </c>
      <c r="R66" s="49">
        <v>-0.8276</v>
      </c>
      <c r="S66" s="49">
        <v>-0.50800000000000001</v>
      </c>
      <c r="T66" s="49">
        <v>1.8625</v>
      </c>
      <c r="U66" s="49">
        <v>2.3456000000000001</v>
      </c>
      <c r="V66" s="49">
        <v>2.1524000000000001</v>
      </c>
      <c r="W66" s="49">
        <v>2.8311000000000002</v>
      </c>
      <c r="X66" s="49">
        <v>1.5964</v>
      </c>
      <c r="Y66" s="49">
        <v>1.9017999999999999</v>
      </c>
      <c r="Z66" s="49">
        <v>2.2890000000000001</v>
      </c>
      <c r="AA66" s="49">
        <v>2.7557999999999998</v>
      </c>
      <c r="AB66" s="49">
        <v>4.2676999999999996</v>
      </c>
      <c r="AC66" s="49">
        <v>4.8930999999999996</v>
      </c>
      <c r="AD66" s="49">
        <v>0.18410000000000001</v>
      </c>
      <c r="AE66" s="49">
        <v>0.4824</v>
      </c>
      <c r="AH66" s="16">
        <f t="shared" si="0"/>
        <v>19850331</v>
      </c>
      <c r="AI66" s="16">
        <f t="shared" si="1"/>
        <v>2.4605999999999999</v>
      </c>
      <c r="AJ66" s="16">
        <f t="shared" si="2"/>
        <v>7.5781000000000001</v>
      </c>
      <c r="AK66" s="16">
        <f t="shared" si="3"/>
        <v>-0.94709999999999983</v>
      </c>
      <c r="AL66" s="19">
        <v>6.3125</v>
      </c>
      <c r="AM66" s="17">
        <f t="shared" si="4"/>
        <v>1.9345583333333334</v>
      </c>
      <c r="AN66" s="17">
        <f t="shared" si="5"/>
        <v>7.5781000000000001</v>
      </c>
      <c r="AO66" s="17">
        <f t="shared" si="6"/>
        <v>-0.94709999999999983</v>
      </c>
    </row>
    <row r="67" spans="1:41">
      <c r="A67" s="49">
        <v>19850430</v>
      </c>
      <c r="B67" s="49">
        <v>-2.5146999999999999</v>
      </c>
      <c r="C67" s="49">
        <v>-2.4897999999999998</v>
      </c>
      <c r="D67" s="49">
        <v>-2.4011999999999998</v>
      </c>
      <c r="E67" s="49">
        <v>-2.3654000000000002</v>
      </c>
      <c r="F67" s="49">
        <v>-2.6294</v>
      </c>
      <c r="G67" s="49">
        <v>-2.6156000000000001</v>
      </c>
      <c r="H67" s="49">
        <v>-2.8988</v>
      </c>
      <c r="I67" s="49">
        <v>-2.8767</v>
      </c>
      <c r="J67" s="49">
        <v>-2.9241000000000001</v>
      </c>
      <c r="K67" s="49">
        <v>-2.8917000000000002</v>
      </c>
      <c r="L67" s="49">
        <v>-2.8734000000000002</v>
      </c>
      <c r="M67" s="49">
        <v>-2.8616999999999999</v>
      </c>
      <c r="N67" s="49">
        <v>-0.38400000000000001</v>
      </c>
      <c r="O67" s="49">
        <v>-0.34360000000000002</v>
      </c>
      <c r="P67" s="49">
        <v>0.36849999999999999</v>
      </c>
      <c r="Q67" s="49">
        <v>0.42199999999999999</v>
      </c>
      <c r="R67" s="49">
        <v>-1.208</v>
      </c>
      <c r="S67" s="49">
        <v>-1.1819999999999999</v>
      </c>
      <c r="T67" s="49">
        <v>-3.3231999999999999</v>
      </c>
      <c r="U67" s="49">
        <v>-3.3138999999999998</v>
      </c>
      <c r="V67" s="49">
        <v>-3.1852</v>
      </c>
      <c r="W67" s="49">
        <v>-3.1703999999999999</v>
      </c>
      <c r="X67" s="49">
        <v>-3.4508999999999999</v>
      </c>
      <c r="Y67" s="49">
        <v>-3.4466000000000001</v>
      </c>
      <c r="Z67" s="49">
        <v>-2.339</v>
      </c>
      <c r="AA67" s="49">
        <v>-2.3001</v>
      </c>
      <c r="AB67" s="49">
        <v>-2.6107</v>
      </c>
      <c r="AC67" s="49">
        <v>-2.5569999999999999</v>
      </c>
      <c r="AD67" s="49">
        <v>-2.0386000000000002</v>
      </c>
      <c r="AE67" s="49">
        <v>-2.0162</v>
      </c>
      <c r="AH67" s="16">
        <f t="shared" si="0"/>
        <v>19850430</v>
      </c>
      <c r="AI67" s="16">
        <f t="shared" si="1"/>
        <v>-2.4897999999999998</v>
      </c>
      <c r="AJ67" s="16">
        <f t="shared" si="2"/>
        <v>1.5739999999999996</v>
      </c>
      <c r="AK67" s="16">
        <f t="shared" si="3"/>
        <v>4.9934000000000003</v>
      </c>
      <c r="AL67" s="19">
        <v>6.375</v>
      </c>
      <c r="AM67" s="17">
        <f t="shared" si="4"/>
        <v>-3.0210499999999998</v>
      </c>
      <c r="AN67" s="17">
        <f t="shared" si="5"/>
        <v>1.5739999999999996</v>
      </c>
      <c r="AO67" s="17">
        <f t="shared" si="6"/>
        <v>4.9934000000000003</v>
      </c>
    </row>
    <row r="68" spans="1:41">
      <c r="A68" s="49">
        <v>19850531</v>
      </c>
      <c r="B68" s="49">
        <v>2.5958999999999999</v>
      </c>
      <c r="C68" s="49">
        <v>2.6318999999999999</v>
      </c>
      <c r="D68" s="49">
        <v>5.6275000000000004</v>
      </c>
      <c r="E68" s="49">
        <v>5.6738999999999997</v>
      </c>
      <c r="F68" s="49">
        <v>-0.47849999999999998</v>
      </c>
      <c r="G68" s="49">
        <v>-0.45279999999999998</v>
      </c>
      <c r="H68" s="49">
        <v>2.7277</v>
      </c>
      <c r="I68" s="49">
        <v>2.7618999999999998</v>
      </c>
      <c r="J68" s="49">
        <v>5.7845000000000004</v>
      </c>
      <c r="K68" s="49">
        <v>5.8284000000000002</v>
      </c>
      <c r="L68" s="49">
        <v>-0.3196</v>
      </c>
      <c r="M68" s="49">
        <v>-0.29480000000000001</v>
      </c>
      <c r="N68" s="49">
        <v>1.8828</v>
      </c>
      <c r="O68" s="49">
        <v>1.9285000000000001</v>
      </c>
      <c r="P68" s="49">
        <v>4.8220999999999998</v>
      </c>
      <c r="Q68" s="49">
        <v>4.8818000000000001</v>
      </c>
      <c r="R68" s="49">
        <v>-1.3872</v>
      </c>
      <c r="S68" s="49">
        <v>-1.3568</v>
      </c>
      <c r="T68" s="49">
        <v>2.7484999999999999</v>
      </c>
      <c r="U68" s="49">
        <v>2.7823000000000002</v>
      </c>
      <c r="V68" s="49">
        <v>4.4671000000000003</v>
      </c>
      <c r="W68" s="49">
        <v>4.5151000000000003</v>
      </c>
      <c r="X68" s="49">
        <v>1.1580999999999999</v>
      </c>
      <c r="Y68" s="49">
        <v>1.179</v>
      </c>
      <c r="Z68" s="49">
        <v>2.7010000000000001</v>
      </c>
      <c r="AA68" s="49">
        <v>2.7357999999999998</v>
      </c>
      <c r="AB68" s="49">
        <v>7.3659999999999997</v>
      </c>
      <c r="AC68" s="49">
        <v>7.4050000000000002</v>
      </c>
      <c r="AD68" s="49">
        <v>-2.4241000000000001</v>
      </c>
      <c r="AE68" s="49">
        <v>-2.3938000000000001</v>
      </c>
      <c r="AH68" s="16">
        <f t="shared" ref="AH68:AH131" si="7">+A68</f>
        <v>19850531</v>
      </c>
      <c r="AI68" s="16">
        <f t="shared" ref="AI68:AI131" si="8">+C68</f>
        <v>2.6318999999999999</v>
      </c>
      <c r="AJ68" s="16">
        <f t="shared" ref="AJ68:AJ131" si="9">+(K68-M68)+(Q68-S68)</f>
        <v>12.361800000000001</v>
      </c>
      <c r="AK68" s="16">
        <f t="shared" ref="AK68:AK131" si="10">(S68+Q68)-(M68+K68)</f>
        <v>-2.0085999999999995</v>
      </c>
      <c r="AL68" s="19">
        <v>6.125</v>
      </c>
      <c r="AM68" s="17">
        <f t="shared" si="4"/>
        <v>2.1214833333333334</v>
      </c>
      <c r="AN68" s="17">
        <f t="shared" si="5"/>
        <v>12.361800000000001</v>
      </c>
      <c r="AO68" s="17">
        <f t="shared" si="6"/>
        <v>-2.0085999999999995</v>
      </c>
    </row>
    <row r="69" spans="1:41">
      <c r="A69" s="49">
        <v>19850630</v>
      </c>
      <c r="B69" s="49">
        <v>2.609</v>
      </c>
      <c r="C69" s="49">
        <v>2.6459999999999999</v>
      </c>
      <c r="D69" s="49">
        <v>3.8694000000000002</v>
      </c>
      <c r="E69" s="49">
        <v>3.9108999999999998</v>
      </c>
      <c r="F69" s="49">
        <v>1.2516</v>
      </c>
      <c r="G69" s="49">
        <v>1.2836000000000001</v>
      </c>
      <c r="H69" s="49">
        <v>2.6981999999999999</v>
      </c>
      <c r="I69" s="49">
        <v>2.7374000000000001</v>
      </c>
      <c r="J69" s="49">
        <v>3.9213</v>
      </c>
      <c r="K69" s="49">
        <v>3.9664000000000001</v>
      </c>
      <c r="L69" s="49">
        <v>1.4034</v>
      </c>
      <c r="M69" s="49">
        <v>1.4362999999999999</v>
      </c>
      <c r="N69" s="49">
        <v>2.1231</v>
      </c>
      <c r="O69" s="49">
        <v>2.1482000000000001</v>
      </c>
      <c r="P69" s="49">
        <v>3.6008</v>
      </c>
      <c r="Q69" s="49">
        <v>3.6238000000000001</v>
      </c>
      <c r="R69" s="49">
        <v>0.37459999999999999</v>
      </c>
      <c r="S69" s="49">
        <v>0.40210000000000001</v>
      </c>
      <c r="T69" s="49">
        <v>3.0998999999999999</v>
      </c>
      <c r="U69" s="49">
        <v>3.1452</v>
      </c>
      <c r="V69" s="49">
        <v>3.59</v>
      </c>
      <c r="W69" s="49">
        <v>3.6438999999999999</v>
      </c>
      <c r="X69" s="49">
        <v>2.6312000000000002</v>
      </c>
      <c r="Y69" s="49">
        <v>2.6682000000000001</v>
      </c>
      <c r="Z69" s="49">
        <v>2.1732</v>
      </c>
      <c r="AA69" s="49">
        <v>2.2042999999999999</v>
      </c>
      <c r="AB69" s="49">
        <v>4.3079999999999998</v>
      </c>
      <c r="AC69" s="49">
        <v>4.3429000000000002</v>
      </c>
      <c r="AD69" s="49">
        <v>-0.40889999999999999</v>
      </c>
      <c r="AE69" s="49">
        <v>-0.38229999999999997</v>
      </c>
      <c r="AH69" s="16">
        <f t="shared" si="7"/>
        <v>19850630</v>
      </c>
      <c r="AI69" s="16">
        <f t="shared" si="8"/>
        <v>2.6459999999999999</v>
      </c>
      <c r="AJ69" s="16">
        <f t="shared" si="9"/>
        <v>5.7518000000000002</v>
      </c>
      <c r="AK69" s="16">
        <f t="shared" si="10"/>
        <v>-1.3768000000000002</v>
      </c>
      <c r="AL69" s="19">
        <v>6.0625</v>
      </c>
      <c r="AM69" s="17">
        <f t="shared" ref="AM69:AM132" si="11">+AI69-AL69/12</f>
        <v>2.1407916666666664</v>
      </c>
      <c r="AN69" s="17">
        <f t="shared" ref="AN69:AN132" si="12">+AJ69</f>
        <v>5.7518000000000002</v>
      </c>
      <c r="AO69" s="17">
        <f t="shared" ref="AO69:AO132" si="13">+AK69</f>
        <v>-1.3768000000000002</v>
      </c>
    </row>
    <row r="70" spans="1:41">
      <c r="A70" s="49">
        <v>19850731</v>
      </c>
      <c r="B70" s="49">
        <v>-3.61</v>
      </c>
      <c r="C70" s="49">
        <v>-3.6009000000000002</v>
      </c>
      <c r="D70" s="49">
        <v>-0.51800000000000002</v>
      </c>
      <c r="E70" s="49">
        <v>-0.50509999999999999</v>
      </c>
      <c r="F70" s="49">
        <v>-7.0244999999999997</v>
      </c>
      <c r="G70" s="49">
        <v>-7.0197000000000003</v>
      </c>
      <c r="H70" s="49">
        <v>-4.2054999999999998</v>
      </c>
      <c r="I70" s="49">
        <v>-4.1974</v>
      </c>
      <c r="J70" s="49">
        <v>-1.3374999999999999</v>
      </c>
      <c r="K70" s="49">
        <v>-1.3246</v>
      </c>
      <c r="L70" s="49">
        <v>-7.3152999999999997</v>
      </c>
      <c r="M70" s="49">
        <v>-7.3125</v>
      </c>
      <c r="N70" s="49">
        <v>-0.35070000000000001</v>
      </c>
      <c r="O70" s="49">
        <v>-0.33600000000000002</v>
      </c>
      <c r="P70" s="49">
        <v>3.7259000000000002</v>
      </c>
      <c r="Q70" s="49">
        <v>3.7385000000000002</v>
      </c>
      <c r="R70" s="49">
        <v>-5.3288000000000002</v>
      </c>
      <c r="S70" s="49">
        <v>-5.3113999999999999</v>
      </c>
      <c r="T70" s="49">
        <v>-6.0129000000000001</v>
      </c>
      <c r="U70" s="49">
        <v>-6.0065</v>
      </c>
      <c r="V70" s="49">
        <v>-4.9794</v>
      </c>
      <c r="W70" s="49">
        <v>-4.968</v>
      </c>
      <c r="X70" s="49">
        <v>-7.0095000000000001</v>
      </c>
      <c r="Y70" s="49">
        <v>-7.008</v>
      </c>
      <c r="Z70" s="49">
        <v>-1.8217000000000001</v>
      </c>
      <c r="AA70" s="49">
        <v>-1.8112999999999999</v>
      </c>
      <c r="AB70" s="49">
        <v>2.8824999999999998</v>
      </c>
      <c r="AC70" s="49">
        <v>2.8972000000000002</v>
      </c>
      <c r="AD70" s="49">
        <v>-7.7819000000000003</v>
      </c>
      <c r="AE70" s="49">
        <v>-7.7771999999999997</v>
      </c>
      <c r="AH70" s="16">
        <f t="shared" si="7"/>
        <v>19850731</v>
      </c>
      <c r="AI70" s="16">
        <f t="shared" si="8"/>
        <v>-3.6009000000000002</v>
      </c>
      <c r="AJ70" s="16">
        <f t="shared" si="9"/>
        <v>15.037800000000001</v>
      </c>
      <c r="AK70" s="16">
        <f t="shared" si="10"/>
        <v>7.0642000000000005</v>
      </c>
      <c r="AL70" s="19">
        <v>6.3125</v>
      </c>
      <c r="AM70" s="17">
        <f t="shared" si="11"/>
        <v>-4.1269416666666672</v>
      </c>
      <c r="AN70" s="17">
        <f t="shared" si="12"/>
        <v>15.037800000000001</v>
      </c>
      <c r="AO70" s="17">
        <f t="shared" si="13"/>
        <v>7.0642000000000005</v>
      </c>
    </row>
    <row r="71" spans="1:41">
      <c r="A71" s="49">
        <v>19850831</v>
      </c>
      <c r="B71" s="49">
        <v>2.9432</v>
      </c>
      <c r="C71" s="49">
        <v>2.9605999999999999</v>
      </c>
      <c r="D71" s="49">
        <v>3.7787999999999999</v>
      </c>
      <c r="E71" s="49">
        <v>3.7968000000000002</v>
      </c>
      <c r="F71" s="49">
        <v>1.9557</v>
      </c>
      <c r="G71" s="49">
        <v>1.9722</v>
      </c>
      <c r="H71" s="49">
        <v>2.8704000000000001</v>
      </c>
      <c r="I71" s="49">
        <v>2.8872</v>
      </c>
      <c r="J71" s="49">
        <v>3.8365999999999998</v>
      </c>
      <c r="K71" s="49">
        <v>3.8555000000000001</v>
      </c>
      <c r="L71" s="49">
        <v>1.7548999999999999</v>
      </c>
      <c r="M71" s="49">
        <v>1.7693000000000001</v>
      </c>
      <c r="N71" s="49">
        <v>3.3266</v>
      </c>
      <c r="O71" s="49">
        <v>3.3462999999999998</v>
      </c>
      <c r="P71" s="49">
        <v>3.4937999999999998</v>
      </c>
      <c r="Q71" s="49">
        <v>3.5072999999999999</v>
      </c>
      <c r="R71" s="49">
        <v>3.1027</v>
      </c>
      <c r="S71" s="49">
        <v>3.1307999999999998</v>
      </c>
      <c r="T71" s="49">
        <v>1.8132999999999999</v>
      </c>
      <c r="U71" s="49">
        <v>1.8264</v>
      </c>
      <c r="V71" s="49">
        <v>3.2612000000000001</v>
      </c>
      <c r="W71" s="49">
        <v>3.2719999999999998</v>
      </c>
      <c r="X71" s="49">
        <v>0.3866</v>
      </c>
      <c r="Y71" s="49">
        <v>0.40179999999999999</v>
      </c>
      <c r="Z71" s="49">
        <v>4.2035</v>
      </c>
      <c r="AA71" s="49">
        <v>4.2252000000000001</v>
      </c>
      <c r="AB71" s="49">
        <v>4.4515000000000002</v>
      </c>
      <c r="AC71" s="49">
        <v>4.4790999999999999</v>
      </c>
      <c r="AD71" s="49">
        <v>3.8527999999999998</v>
      </c>
      <c r="AE71" s="49">
        <v>3.8660999999999999</v>
      </c>
      <c r="AH71" s="16">
        <f t="shared" si="7"/>
        <v>19850831</v>
      </c>
      <c r="AI71" s="16">
        <f t="shared" si="8"/>
        <v>2.9605999999999999</v>
      </c>
      <c r="AJ71" s="16">
        <f t="shared" si="9"/>
        <v>2.4626999999999999</v>
      </c>
      <c r="AK71" s="16">
        <f t="shared" si="10"/>
        <v>1.0132999999999992</v>
      </c>
      <c r="AL71" s="18">
        <v>6.4375</v>
      </c>
      <c r="AM71" s="17">
        <f t="shared" si="11"/>
        <v>2.4241416666666664</v>
      </c>
      <c r="AN71" s="17">
        <f t="shared" si="12"/>
        <v>2.4626999999999999</v>
      </c>
      <c r="AO71" s="17">
        <f t="shared" si="13"/>
        <v>1.0132999999999992</v>
      </c>
    </row>
    <row r="72" spans="1:41">
      <c r="A72" s="49">
        <v>19850930</v>
      </c>
      <c r="B72" s="49">
        <v>1.9268000000000001</v>
      </c>
      <c r="C72" s="49">
        <v>2.3414000000000001</v>
      </c>
      <c r="D72" s="49">
        <v>4.6616999999999997</v>
      </c>
      <c r="E72" s="49">
        <v>5.1456</v>
      </c>
      <c r="F72" s="49">
        <v>-1.3680000000000001</v>
      </c>
      <c r="G72" s="49">
        <v>-1.0343</v>
      </c>
      <c r="H72" s="49">
        <v>2.0703</v>
      </c>
      <c r="I72" s="49">
        <v>2.5074999999999998</v>
      </c>
      <c r="J72" s="49">
        <v>5.109</v>
      </c>
      <c r="K72" s="49">
        <v>5.6257999999999999</v>
      </c>
      <c r="L72" s="49">
        <v>-1.5138</v>
      </c>
      <c r="M72" s="49">
        <v>-1.1673</v>
      </c>
      <c r="N72" s="49">
        <v>1.1758999999999999</v>
      </c>
      <c r="O72" s="49">
        <v>1.4732000000000001</v>
      </c>
      <c r="P72" s="49">
        <v>2.4546000000000001</v>
      </c>
      <c r="Q72" s="49">
        <v>2.7786</v>
      </c>
      <c r="R72" s="49">
        <v>-0.54620000000000002</v>
      </c>
      <c r="S72" s="49">
        <v>-0.28410000000000002</v>
      </c>
      <c r="T72" s="49">
        <v>2.3534000000000002</v>
      </c>
      <c r="U72" s="49">
        <v>2.8717999999999999</v>
      </c>
      <c r="V72" s="49">
        <v>5.4684999999999997</v>
      </c>
      <c r="W72" s="49">
        <v>6.1014999999999997</v>
      </c>
      <c r="X72" s="49">
        <v>-0.80720000000000003</v>
      </c>
      <c r="Y72" s="49">
        <v>-0.40150000000000002</v>
      </c>
      <c r="Z72" s="49">
        <v>1.722</v>
      </c>
      <c r="AA72" s="49">
        <v>2.0596000000000001</v>
      </c>
      <c r="AB72" s="49">
        <v>4.7304000000000004</v>
      </c>
      <c r="AC72" s="49">
        <v>5.1246999999999998</v>
      </c>
      <c r="AD72" s="49">
        <v>-2.5611999999999999</v>
      </c>
      <c r="AE72" s="49">
        <v>-2.3010999999999999</v>
      </c>
      <c r="AH72" s="16">
        <f t="shared" si="7"/>
        <v>19850930</v>
      </c>
      <c r="AI72" s="16">
        <f t="shared" si="8"/>
        <v>2.3414000000000001</v>
      </c>
      <c r="AJ72" s="16">
        <f t="shared" si="9"/>
        <v>9.8558000000000003</v>
      </c>
      <c r="AK72" s="16">
        <f t="shared" si="10"/>
        <v>-1.964</v>
      </c>
      <c r="AL72" s="18">
        <v>6.3125</v>
      </c>
      <c r="AM72" s="17">
        <f t="shared" si="11"/>
        <v>1.8153583333333336</v>
      </c>
      <c r="AN72" s="17">
        <f t="shared" si="12"/>
        <v>9.8558000000000003</v>
      </c>
      <c r="AO72" s="17">
        <f t="shared" si="13"/>
        <v>-1.964</v>
      </c>
    </row>
    <row r="73" spans="1:41">
      <c r="A73" s="49">
        <v>19851031</v>
      </c>
      <c r="B73" s="49">
        <v>-3.7000000000000002E-3</v>
      </c>
      <c r="C73" s="49">
        <v>1.61E-2</v>
      </c>
      <c r="D73" s="49">
        <v>-3.7734999999999999</v>
      </c>
      <c r="E73" s="49">
        <v>-3.7483</v>
      </c>
      <c r="F73" s="49">
        <v>4.8342000000000001</v>
      </c>
      <c r="G73" s="49">
        <v>4.8468999999999998</v>
      </c>
      <c r="H73" s="49">
        <v>0.18509999999999999</v>
      </c>
      <c r="I73" s="49">
        <v>0.20150000000000001</v>
      </c>
      <c r="J73" s="49">
        <v>-3.6879</v>
      </c>
      <c r="K73" s="49">
        <v>-3.6656</v>
      </c>
      <c r="L73" s="49">
        <v>5.0811999999999999</v>
      </c>
      <c r="M73" s="49">
        <v>5.0896999999999997</v>
      </c>
      <c r="N73" s="49">
        <v>-1</v>
      </c>
      <c r="O73" s="49">
        <v>-0.96199999999999997</v>
      </c>
      <c r="P73" s="49">
        <v>-4.2066999999999997</v>
      </c>
      <c r="Q73" s="49">
        <v>-4.1669999999999998</v>
      </c>
      <c r="R73" s="49">
        <v>3.4584000000000001</v>
      </c>
      <c r="S73" s="49">
        <v>3.4939</v>
      </c>
      <c r="T73" s="49">
        <v>0.98209999999999997</v>
      </c>
      <c r="U73" s="49">
        <v>0.99180000000000001</v>
      </c>
      <c r="V73" s="49">
        <v>-1.6729000000000001</v>
      </c>
      <c r="W73" s="49">
        <v>-1.6587000000000001</v>
      </c>
      <c r="X73" s="49">
        <v>3.8538999999999999</v>
      </c>
      <c r="Y73" s="49">
        <v>3.8586999999999998</v>
      </c>
      <c r="Z73" s="49">
        <v>-0.79869999999999997</v>
      </c>
      <c r="AA73" s="49">
        <v>-0.7742</v>
      </c>
      <c r="AB73" s="49">
        <v>-5.8202999999999996</v>
      </c>
      <c r="AC73" s="49">
        <v>-5.7896999999999998</v>
      </c>
      <c r="AD73" s="49">
        <v>6.9287999999999998</v>
      </c>
      <c r="AE73" s="49">
        <v>6.9429999999999996</v>
      </c>
      <c r="AH73" s="16">
        <f t="shared" si="7"/>
        <v>19851031</v>
      </c>
      <c r="AI73" s="16">
        <f t="shared" si="8"/>
        <v>1.61E-2</v>
      </c>
      <c r="AJ73" s="16">
        <f t="shared" si="9"/>
        <v>-16.4162</v>
      </c>
      <c r="AK73" s="16">
        <f t="shared" si="10"/>
        <v>-2.0971999999999995</v>
      </c>
      <c r="AL73" s="18">
        <v>6.9375</v>
      </c>
      <c r="AM73" s="17">
        <f t="shared" si="11"/>
        <v>-0.562025</v>
      </c>
      <c r="AN73" s="17">
        <f t="shared" si="12"/>
        <v>-16.4162</v>
      </c>
      <c r="AO73" s="17">
        <f t="shared" si="13"/>
        <v>-2.0971999999999995</v>
      </c>
    </row>
    <row r="74" spans="1:41">
      <c r="A74" s="49">
        <v>19851130</v>
      </c>
      <c r="B74" s="49">
        <v>-1.4887999999999999</v>
      </c>
      <c r="C74" s="49">
        <v>-1.4477</v>
      </c>
      <c r="D74" s="49">
        <v>-2.5592999999999999</v>
      </c>
      <c r="E74" s="49">
        <v>-2.5114999999999998</v>
      </c>
      <c r="F74" s="49">
        <v>-0.22770000000000001</v>
      </c>
      <c r="G74" s="49">
        <v>-0.1948</v>
      </c>
      <c r="H74" s="49">
        <v>-2.1073</v>
      </c>
      <c r="I74" s="49">
        <v>-2.0714999999999999</v>
      </c>
      <c r="J74" s="49">
        <v>-3.2263999999999999</v>
      </c>
      <c r="K74" s="49">
        <v>-3.1850999999999998</v>
      </c>
      <c r="L74" s="49">
        <v>-0.81079999999999997</v>
      </c>
      <c r="M74" s="49">
        <v>-0.78139999999999998</v>
      </c>
      <c r="N74" s="49">
        <v>1.8128</v>
      </c>
      <c r="O74" s="49">
        <v>1.8822000000000001</v>
      </c>
      <c r="P74" s="49">
        <v>0.83609999999999995</v>
      </c>
      <c r="Q74" s="49">
        <v>0.91790000000000005</v>
      </c>
      <c r="R74" s="49">
        <v>3.0701000000000001</v>
      </c>
      <c r="S74" s="49">
        <v>3.1234000000000002</v>
      </c>
      <c r="T74" s="49">
        <v>-3.0011999999999999</v>
      </c>
      <c r="U74" s="49">
        <v>-2.9678</v>
      </c>
      <c r="V74" s="49">
        <v>-3.7185000000000001</v>
      </c>
      <c r="W74" s="49">
        <v>-3.6758999999999999</v>
      </c>
      <c r="X74" s="49">
        <v>-2.2667999999999999</v>
      </c>
      <c r="Y74" s="49">
        <v>-2.2431000000000001</v>
      </c>
      <c r="Z74" s="49">
        <v>-0.98450000000000004</v>
      </c>
      <c r="AA74" s="49">
        <v>-0.9456</v>
      </c>
      <c r="AB74" s="49">
        <v>-2.6829999999999998</v>
      </c>
      <c r="AC74" s="49">
        <v>-2.6432000000000002</v>
      </c>
      <c r="AD74" s="49">
        <v>1.3184</v>
      </c>
      <c r="AE74" s="49">
        <v>1.3560000000000001</v>
      </c>
      <c r="AH74" s="16">
        <f t="shared" si="7"/>
        <v>19851130</v>
      </c>
      <c r="AI74" s="16">
        <f t="shared" si="8"/>
        <v>-1.4477</v>
      </c>
      <c r="AJ74" s="16">
        <f t="shared" si="9"/>
        <v>-4.6091999999999995</v>
      </c>
      <c r="AK74" s="16">
        <f t="shared" si="10"/>
        <v>8.0077999999999996</v>
      </c>
      <c r="AL74" s="18">
        <v>7.375</v>
      </c>
      <c r="AM74" s="17">
        <f t="shared" si="11"/>
        <v>-2.0622833333333332</v>
      </c>
      <c r="AN74" s="17">
        <f t="shared" si="12"/>
        <v>-4.6091999999999995</v>
      </c>
      <c r="AO74" s="17">
        <f t="shared" si="13"/>
        <v>8.0077999999999996</v>
      </c>
    </row>
    <row r="75" spans="1:41">
      <c r="A75" s="49">
        <v>19851231</v>
      </c>
      <c r="B75" s="49">
        <v>4.0412999999999997</v>
      </c>
      <c r="C75" s="49">
        <v>4.0979000000000001</v>
      </c>
      <c r="D75" s="49">
        <v>3.7614000000000001</v>
      </c>
      <c r="E75" s="49">
        <v>3.8248000000000002</v>
      </c>
      <c r="F75" s="49">
        <v>4.3632999999999997</v>
      </c>
      <c r="G75" s="49">
        <v>4.4120999999999997</v>
      </c>
      <c r="H75" s="49">
        <v>4.7055999999999996</v>
      </c>
      <c r="I75" s="49">
        <v>4.7624000000000004</v>
      </c>
      <c r="J75" s="49">
        <v>4.3114999999999997</v>
      </c>
      <c r="K75" s="49">
        <v>4.3750999999999998</v>
      </c>
      <c r="L75" s="49">
        <v>5.1509999999999998</v>
      </c>
      <c r="M75" s="49">
        <v>5.2001999999999997</v>
      </c>
      <c r="N75" s="49">
        <v>0.63729999999999998</v>
      </c>
      <c r="O75" s="49">
        <v>0.6925</v>
      </c>
      <c r="P75" s="49">
        <v>1.0770999999999999</v>
      </c>
      <c r="Q75" s="49">
        <v>1.1393</v>
      </c>
      <c r="R75" s="49">
        <v>8.4099999999999994E-2</v>
      </c>
      <c r="S75" s="49">
        <v>0.13039999999999999</v>
      </c>
      <c r="T75" s="49">
        <v>6.5906000000000002</v>
      </c>
      <c r="U75" s="49">
        <v>6.6401000000000003</v>
      </c>
      <c r="V75" s="49">
        <v>6.1737000000000002</v>
      </c>
      <c r="W75" s="49">
        <v>6.2331000000000003</v>
      </c>
      <c r="X75" s="49">
        <v>7.0110999999999999</v>
      </c>
      <c r="Y75" s="49">
        <v>7.0505000000000004</v>
      </c>
      <c r="Z75" s="49">
        <v>2.3877999999999999</v>
      </c>
      <c r="AA75" s="49">
        <v>2.4537</v>
      </c>
      <c r="AB75" s="49">
        <v>2.2789000000000001</v>
      </c>
      <c r="AC75" s="49">
        <v>2.3471000000000002</v>
      </c>
      <c r="AD75" s="49">
        <v>2.5295000000000001</v>
      </c>
      <c r="AE75" s="49">
        <v>2.5924999999999998</v>
      </c>
      <c r="AH75" s="16">
        <f t="shared" si="7"/>
        <v>19851231</v>
      </c>
      <c r="AI75" s="16">
        <f t="shared" si="8"/>
        <v>4.0979000000000001</v>
      </c>
      <c r="AJ75" s="16">
        <f t="shared" si="9"/>
        <v>0.18379999999999996</v>
      </c>
      <c r="AK75" s="16">
        <f t="shared" si="10"/>
        <v>-8.3055999999999983</v>
      </c>
      <c r="AL75" s="18">
        <v>7.75</v>
      </c>
      <c r="AM75" s="17">
        <f t="shared" si="11"/>
        <v>3.4520666666666666</v>
      </c>
      <c r="AN75" s="17">
        <f t="shared" si="12"/>
        <v>0.18379999999999996</v>
      </c>
      <c r="AO75" s="17">
        <f t="shared" si="13"/>
        <v>-8.3055999999999983</v>
      </c>
    </row>
    <row r="76" spans="1:41">
      <c r="A76" s="49">
        <v>19860131</v>
      </c>
      <c r="B76" s="49">
        <v>6.1899999999999997E-2</v>
      </c>
      <c r="C76" s="49">
        <v>7.7899999999999997E-2</v>
      </c>
      <c r="D76" s="49">
        <v>-0.68920000000000003</v>
      </c>
      <c r="E76" s="49">
        <v>-0.67589999999999995</v>
      </c>
      <c r="F76" s="49">
        <v>0.76259999999999994</v>
      </c>
      <c r="G76" s="49">
        <v>0.78100000000000003</v>
      </c>
      <c r="H76" s="49">
        <v>-0.62450000000000006</v>
      </c>
      <c r="I76" s="49">
        <v>-0.60899999999999999</v>
      </c>
      <c r="J76" s="49">
        <v>-1.4427000000000001</v>
      </c>
      <c r="K76" s="49">
        <v>-1.4318</v>
      </c>
      <c r="L76" s="49">
        <v>0.1542</v>
      </c>
      <c r="M76" s="49">
        <v>0.1741</v>
      </c>
      <c r="N76" s="49">
        <v>3.5785999999999998</v>
      </c>
      <c r="O76" s="49">
        <v>3.5966999999999998</v>
      </c>
      <c r="P76" s="49">
        <v>3.4283000000000001</v>
      </c>
      <c r="Q76" s="49">
        <v>3.4550000000000001</v>
      </c>
      <c r="R76" s="49">
        <v>3.7050999999999998</v>
      </c>
      <c r="S76" s="49">
        <v>3.7159</v>
      </c>
      <c r="T76" s="49">
        <v>-1.0446</v>
      </c>
      <c r="U76" s="49">
        <v>-1.0257000000000001</v>
      </c>
      <c r="V76" s="49">
        <v>-1.4136</v>
      </c>
      <c r="W76" s="49">
        <v>-1.4045000000000001</v>
      </c>
      <c r="X76" s="49">
        <v>-0.72540000000000004</v>
      </c>
      <c r="Y76" s="49">
        <v>-0.69789999999999996</v>
      </c>
      <c r="Z76" s="49">
        <v>-7.5399999999999995E-2</v>
      </c>
      <c r="AA76" s="49">
        <v>-6.4399999999999999E-2</v>
      </c>
      <c r="AB76" s="49">
        <v>-1.4766999999999999</v>
      </c>
      <c r="AC76" s="49">
        <v>-1.4638</v>
      </c>
      <c r="AD76" s="49">
        <v>1.4349000000000001</v>
      </c>
      <c r="AE76" s="49">
        <v>1.4438</v>
      </c>
      <c r="AH76" s="16">
        <f t="shared" si="7"/>
        <v>19860131</v>
      </c>
      <c r="AI76" s="16">
        <f t="shared" si="8"/>
        <v>7.7899999999999997E-2</v>
      </c>
      <c r="AJ76" s="16">
        <f t="shared" si="9"/>
        <v>-1.8667999999999998</v>
      </c>
      <c r="AK76" s="16">
        <f t="shared" si="10"/>
        <v>8.4285999999999994</v>
      </c>
      <c r="AL76" s="18">
        <v>9.0625</v>
      </c>
      <c r="AM76" s="17">
        <f t="shared" si="11"/>
        <v>-0.6773083333333334</v>
      </c>
      <c r="AN76" s="17">
        <f t="shared" si="12"/>
        <v>-1.8667999999999998</v>
      </c>
      <c r="AO76" s="17">
        <f t="shared" si="13"/>
        <v>8.4285999999999994</v>
      </c>
    </row>
    <row r="77" spans="1:41">
      <c r="A77" s="49">
        <v>19860228</v>
      </c>
      <c r="B77" s="49">
        <v>4.7866999999999997</v>
      </c>
      <c r="C77" s="49">
        <v>4.8178000000000001</v>
      </c>
      <c r="D77" s="49">
        <v>6.5396999999999998</v>
      </c>
      <c r="E77" s="49">
        <v>6.5810000000000004</v>
      </c>
      <c r="F77" s="49">
        <v>3.1753</v>
      </c>
      <c r="G77" s="49">
        <v>3.1972</v>
      </c>
      <c r="H77" s="49">
        <v>4.5601000000000003</v>
      </c>
      <c r="I77" s="49">
        <v>4.5903999999999998</v>
      </c>
      <c r="J77" s="49">
        <v>5.9485000000000001</v>
      </c>
      <c r="K77" s="49">
        <v>5.9920999999999998</v>
      </c>
      <c r="L77" s="49">
        <v>3.2604000000000002</v>
      </c>
      <c r="M77" s="49">
        <v>3.2784</v>
      </c>
      <c r="N77" s="49">
        <v>5.9006999999999996</v>
      </c>
      <c r="O77" s="49">
        <v>5.9356999999999998</v>
      </c>
      <c r="P77" s="49">
        <v>9.6159999999999997</v>
      </c>
      <c r="Q77" s="49">
        <v>9.6455000000000002</v>
      </c>
      <c r="R77" s="49">
        <v>2.7789000000000001</v>
      </c>
      <c r="S77" s="49">
        <v>2.8184</v>
      </c>
      <c r="T77" s="49">
        <v>3.8828999999999998</v>
      </c>
      <c r="U77" s="49">
        <v>3.8963999999999999</v>
      </c>
      <c r="V77" s="49">
        <v>3.3791000000000002</v>
      </c>
      <c r="W77" s="49">
        <v>3.3969</v>
      </c>
      <c r="X77" s="49">
        <v>4.3155999999999999</v>
      </c>
      <c r="Y77" s="49">
        <v>4.3254000000000001</v>
      </c>
      <c r="Z77" s="49">
        <v>5.4366000000000003</v>
      </c>
      <c r="AA77" s="49">
        <v>5.4886999999999997</v>
      </c>
      <c r="AB77" s="49">
        <v>8.9522999999999993</v>
      </c>
      <c r="AC77" s="49">
        <v>9.0266000000000002</v>
      </c>
      <c r="AD77" s="49">
        <v>1.7574000000000001</v>
      </c>
      <c r="AE77" s="49">
        <v>1.7868999999999999</v>
      </c>
      <c r="AH77" s="16">
        <f t="shared" si="7"/>
        <v>19860228</v>
      </c>
      <c r="AI77" s="16">
        <f t="shared" si="8"/>
        <v>4.8178000000000001</v>
      </c>
      <c r="AJ77" s="16">
        <f t="shared" si="9"/>
        <v>9.5407999999999991</v>
      </c>
      <c r="AK77" s="16">
        <f t="shared" si="10"/>
        <v>3.1934000000000005</v>
      </c>
      <c r="AL77" s="18">
        <v>7</v>
      </c>
      <c r="AM77" s="17">
        <f t="shared" si="11"/>
        <v>4.234466666666667</v>
      </c>
      <c r="AN77" s="17">
        <f t="shared" si="12"/>
        <v>9.5407999999999991</v>
      </c>
      <c r="AO77" s="17">
        <f t="shared" si="13"/>
        <v>3.1934000000000005</v>
      </c>
    </row>
    <row r="78" spans="1:41">
      <c r="A78" s="49">
        <v>19860331</v>
      </c>
      <c r="B78" s="49">
        <v>15.5444</v>
      </c>
      <c r="C78" s="49">
        <v>15.9788</v>
      </c>
      <c r="D78" s="49">
        <v>17.845300000000002</v>
      </c>
      <c r="E78" s="49">
        <v>18.348800000000001</v>
      </c>
      <c r="F78" s="49">
        <v>13.362500000000001</v>
      </c>
      <c r="G78" s="49">
        <v>13.7318</v>
      </c>
      <c r="H78" s="49">
        <v>17.9438</v>
      </c>
      <c r="I78" s="49">
        <v>18.391200000000001</v>
      </c>
      <c r="J78" s="49">
        <v>20.228200000000001</v>
      </c>
      <c r="K78" s="49">
        <v>20.7423</v>
      </c>
      <c r="L78" s="49">
        <v>15.7523</v>
      </c>
      <c r="M78" s="49">
        <v>16.136299999999999</v>
      </c>
      <c r="N78" s="49">
        <v>3.9079000000000002</v>
      </c>
      <c r="O78" s="49">
        <v>4.2792000000000003</v>
      </c>
      <c r="P78" s="49">
        <v>5.8678999999999997</v>
      </c>
      <c r="Q78" s="49">
        <v>6.3181000000000003</v>
      </c>
      <c r="R78" s="49">
        <v>2.1518000000000002</v>
      </c>
      <c r="S78" s="49">
        <v>2.4525000000000001</v>
      </c>
      <c r="T78" s="49">
        <v>21.215299999999999</v>
      </c>
      <c r="U78" s="49">
        <v>21.681799999999999</v>
      </c>
      <c r="V78" s="49">
        <v>23.073699999999999</v>
      </c>
      <c r="W78" s="49">
        <v>23.601800000000001</v>
      </c>
      <c r="X78" s="49">
        <v>19.633900000000001</v>
      </c>
      <c r="Y78" s="49">
        <v>20.0488</v>
      </c>
      <c r="Z78" s="49">
        <v>13.786</v>
      </c>
      <c r="AA78" s="49">
        <v>14.209099999999999</v>
      </c>
      <c r="AB78" s="49">
        <v>17.0764</v>
      </c>
      <c r="AC78" s="49">
        <v>17.5749</v>
      </c>
      <c r="AD78" s="49">
        <v>10.1088</v>
      </c>
      <c r="AE78" s="49">
        <v>10.4473</v>
      </c>
      <c r="AH78" s="16">
        <f t="shared" si="7"/>
        <v>19860331</v>
      </c>
      <c r="AI78" s="16">
        <f t="shared" si="8"/>
        <v>15.9788</v>
      </c>
      <c r="AJ78" s="16">
        <f t="shared" si="9"/>
        <v>8.4716000000000022</v>
      </c>
      <c r="AK78" s="16">
        <f t="shared" si="10"/>
        <v>-28.107999999999997</v>
      </c>
      <c r="AL78" s="18">
        <v>6.5</v>
      </c>
      <c r="AM78" s="17">
        <f t="shared" si="11"/>
        <v>15.437133333333334</v>
      </c>
      <c r="AN78" s="17">
        <f t="shared" si="12"/>
        <v>8.4716000000000022</v>
      </c>
      <c r="AO78" s="17">
        <f t="shared" si="13"/>
        <v>-28.107999999999997</v>
      </c>
    </row>
    <row r="79" spans="1:41">
      <c r="A79" s="49">
        <v>19860430</v>
      </c>
      <c r="B79" s="49">
        <v>-8.6699999999999999E-2</v>
      </c>
      <c r="C79" s="49">
        <v>-6.6299999999999998E-2</v>
      </c>
      <c r="D79" s="49">
        <v>-1.4981</v>
      </c>
      <c r="E79" s="49">
        <v>-1.4694</v>
      </c>
      <c r="F79" s="49">
        <v>1.3070999999999999</v>
      </c>
      <c r="G79" s="49">
        <v>1.3190999999999999</v>
      </c>
      <c r="H79" s="49">
        <v>-0.76549999999999996</v>
      </c>
      <c r="I79" s="49">
        <v>-0.74729999999999996</v>
      </c>
      <c r="J79" s="49">
        <v>-1.9443999999999999</v>
      </c>
      <c r="K79" s="49">
        <v>-1.9191</v>
      </c>
      <c r="L79" s="49">
        <v>0.41299999999999998</v>
      </c>
      <c r="M79" s="49">
        <v>0.42409999999999998</v>
      </c>
      <c r="N79" s="49">
        <v>3.6273</v>
      </c>
      <c r="O79" s="49">
        <v>3.6591999999999998</v>
      </c>
      <c r="P79" s="49">
        <v>1.0448999999999999</v>
      </c>
      <c r="Q79" s="49">
        <v>1.0929</v>
      </c>
      <c r="R79" s="49">
        <v>6.0113000000000003</v>
      </c>
      <c r="S79" s="49">
        <v>6.0282999999999998</v>
      </c>
      <c r="T79" s="49">
        <v>-1.3843000000000001</v>
      </c>
      <c r="U79" s="49">
        <v>-1.3738999999999999</v>
      </c>
      <c r="V79" s="49">
        <v>-0.5958</v>
      </c>
      <c r="W79" s="49">
        <v>-0.57969999999999999</v>
      </c>
      <c r="X79" s="49">
        <v>-2.0756999999999999</v>
      </c>
      <c r="Y79" s="49">
        <v>-2.0701999999999998</v>
      </c>
      <c r="Z79" s="49">
        <v>7.0400000000000004E-2</v>
      </c>
      <c r="AA79" s="49">
        <v>9.9199999999999997E-2</v>
      </c>
      <c r="AB79" s="49">
        <v>-3.5085000000000002</v>
      </c>
      <c r="AC79" s="49">
        <v>-3.4725000000000001</v>
      </c>
      <c r="AD79" s="49">
        <v>4.343</v>
      </c>
      <c r="AE79" s="49">
        <v>4.3631000000000002</v>
      </c>
      <c r="AH79" s="16">
        <f t="shared" si="7"/>
        <v>19860430</v>
      </c>
      <c r="AI79" s="16">
        <f t="shared" si="8"/>
        <v>-6.6299999999999998E-2</v>
      </c>
      <c r="AJ79" s="16">
        <f t="shared" si="9"/>
        <v>-7.2785999999999991</v>
      </c>
      <c r="AK79" s="16">
        <f t="shared" si="10"/>
        <v>8.6161999999999992</v>
      </c>
      <c r="AL79" s="18">
        <v>5.625</v>
      </c>
      <c r="AM79" s="17">
        <f t="shared" si="11"/>
        <v>-0.53505000000000003</v>
      </c>
      <c r="AN79" s="17">
        <f t="shared" si="12"/>
        <v>-7.2785999999999991</v>
      </c>
      <c r="AO79" s="17">
        <f t="shared" si="13"/>
        <v>8.6161999999999992</v>
      </c>
    </row>
    <row r="80" spans="1:41">
      <c r="A80" s="49">
        <v>19860531</v>
      </c>
      <c r="B80" s="49">
        <v>3.6787000000000001</v>
      </c>
      <c r="C80" s="49">
        <v>3.7069999999999999</v>
      </c>
      <c r="D80" s="49">
        <v>4.8869999999999996</v>
      </c>
      <c r="E80" s="49">
        <v>4.9219999999999997</v>
      </c>
      <c r="F80" s="49">
        <v>2.5177999999999998</v>
      </c>
      <c r="G80" s="49">
        <v>2.5398000000000001</v>
      </c>
      <c r="H80" s="49">
        <v>3.3860999999999999</v>
      </c>
      <c r="I80" s="49">
        <v>3.4137</v>
      </c>
      <c r="J80" s="49">
        <v>4.532</v>
      </c>
      <c r="K80" s="49">
        <v>4.5662000000000003</v>
      </c>
      <c r="L80" s="49">
        <v>2.2665999999999999</v>
      </c>
      <c r="M80" s="49">
        <v>2.2879999999999998</v>
      </c>
      <c r="N80" s="49">
        <v>5.2111999999999998</v>
      </c>
      <c r="O80" s="49">
        <v>5.2434000000000003</v>
      </c>
      <c r="P80" s="49">
        <v>6.8505000000000003</v>
      </c>
      <c r="Q80" s="49">
        <v>6.8903999999999996</v>
      </c>
      <c r="R80" s="49">
        <v>3.7690000000000001</v>
      </c>
      <c r="S80" s="49">
        <v>3.7942999999999998</v>
      </c>
      <c r="T80" s="49">
        <v>2.3454999999999999</v>
      </c>
      <c r="U80" s="49">
        <v>2.3759000000000001</v>
      </c>
      <c r="V80" s="49">
        <v>3.0602999999999998</v>
      </c>
      <c r="W80" s="49">
        <v>3.1080000000000001</v>
      </c>
      <c r="X80" s="49">
        <v>1.7089000000000001</v>
      </c>
      <c r="Y80" s="49">
        <v>1.7242</v>
      </c>
      <c r="Z80" s="49">
        <v>4.7710999999999997</v>
      </c>
      <c r="AA80" s="49">
        <v>4.7949999999999999</v>
      </c>
      <c r="AB80" s="49">
        <v>6.2899000000000003</v>
      </c>
      <c r="AC80" s="49">
        <v>6.3079999999999998</v>
      </c>
      <c r="AD80" s="49">
        <v>3.0929000000000002</v>
      </c>
      <c r="AE80" s="49">
        <v>3.1231</v>
      </c>
      <c r="AH80" s="16">
        <f t="shared" si="7"/>
        <v>19860531</v>
      </c>
      <c r="AI80" s="16">
        <f t="shared" si="8"/>
        <v>3.7069999999999999</v>
      </c>
      <c r="AJ80" s="16">
        <f t="shared" si="9"/>
        <v>5.3742999999999999</v>
      </c>
      <c r="AK80" s="16">
        <f t="shared" si="10"/>
        <v>3.8304999999999989</v>
      </c>
      <c r="AL80" s="18">
        <v>5.25</v>
      </c>
      <c r="AM80" s="17">
        <f t="shared" si="11"/>
        <v>3.2694999999999999</v>
      </c>
      <c r="AN80" s="17">
        <f t="shared" si="12"/>
        <v>5.3742999999999999</v>
      </c>
      <c r="AO80" s="17">
        <f t="shared" si="13"/>
        <v>3.8304999999999989</v>
      </c>
    </row>
    <row r="81" spans="1:41">
      <c r="A81" s="49">
        <v>19860630</v>
      </c>
      <c r="B81" s="49">
        <v>4.7194000000000003</v>
      </c>
      <c r="C81" s="49">
        <v>4.7489999999999997</v>
      </c>
      <c r="D81" s="49">
        <v>5.8544</v>
      </c>
      <c r="E81" s="49">
        <v>5.8940000000000001</v>
      </c>
      <c r="F81" s="49">
        <v>3.6036999999999999</v>
      </c>
      <c r="G81" s="49">
        <v>3.6236999999999999</v>
      </c>
      <c r="H81" s="49">
        <v>4.3152999999999997</v>
      </c>
      <c r="I81" s="49">
        <v>4.3457999999999997</v>
      </c>
      <c r="J81" s="49">
        <v>5.4126000000000003</v>
      </c>
      <c r="K81" s="49">
        <v>5.4542999999999999</v>
      </c>
      <c r="L81" s="49">
        <v>3.2193000000000001</v>
      </c>
      <c r="M81" s="49">
        <v>3.2385999999999999</v>
      </c>
      <c r="N81" s="49">
        <v>6.7977999999999996</v>
      </c>
      <c r="O81" s="49">
        <v>6.8231000000000002</v>
      </c>
      <c r="P81" s="49">
        <v>8.2444000000000006</v>
      </c>
      <c r="Q81" s="49">
        <v>8.2723999999999993</v>
      </c>
      <c r="R81" s="49">
        <v>5.4884000000000004</v>
      </c>
      <c r="S81" s="49">
        <v>5.5114000000000001</v>
      </c>
      <c r="T81" s="49">
        <v>3.5522999999999998</v>
      </c>
      <c r="U81" s="49">
        <v>3.5903999999999998</v>
      </c>
      <c r="V81" s="49">
        <v>3.0131000000000001</v>
      </c>
      <c r="W81" s="49">
        <v>3.0688</v>
      </c>
      <c r="X81" s="49">
        <v>4.0388999999999999</v>
      </c>
      <c r="Y81" s="49">
        <v>4.0610999999999997</v>
      </c>
      <c r="Z81" s="49">
        <v>5.3060999999999998</v>
      </c>
      <c r="AA81" s="49">
        <v>5.3265000000000002</v>
      </c>
      <c r="AB81" s="49">
        <v>8.1889000000000003</v>
      </c>
      <c r="AC81" s="49">
        <v>8.2140000000000004</v>
      </c>
      <c r="AD81" s="49">
        <v>2.0223</v>
      </c>
      <c r="AE81" s="49">
        <v>2.0375000000000001</v>
      </c>
      <c r="AH81" s="16">
        <f t="shared" si="7"/>
        <v>19860630</v>
      </c>
      <c r="AI81" s="16">
        <f t="shared" si="8"/>
        <v>4.7489999999999997</v>
      </c>
      <c r="AJ81" s="16">
        <f t="shared" si="9"/>
        <v>4.9766999999999992</v>
      </c>
      <c r="AK81" s="16">
        <f t="shared" si="10"/>
        <v>5.0908999999999995</v>
      </c>
      <c r="AL81" s="18">
        <v>4.5</v>
      </c>
      <c r="AM81" s="17">
        <f t="shared" si="11"/>
        <v>4.3739999999999997</v>
      </c>
      <c r="AN81" s="17">
        <f t="shared" si="12"/>
        <v>4.9766999999999992</v>
      </c>
      <c r="AO81" s="17">
        <f t="shared" si="13"/>
        <v>5.0908999999999995</v>
      </c>
    </row>
    <row r="82" spans="1:41">
      <c r="A82" s="49">
        <v>19860731</v>
      </c>
      <c r="B82" s="49">
        <v>5.0918000000000001</v>
      </c>
      <c r="C82" s="49">
        <v>5.0979000000000001</v>
      </c>
      <c r="D82" s="49">
        <v>3.4740000000000002</v>
      </c>
      <c r="E82" s="49">
        <v>3.4817999999999998</v>
      </c>
      <c r="F82" s="49">
        <v>6.718</v>
      </c>
      <c r="G82" s="49">
        <v>6.7224000000000004</v>
      </c>
      <c r="H82" s="49">
        <v>6.6921999999999997</v>
      </c>
      <c r="I82" s="49">
        <v>6.6978999999999997</v>
      </c>
      <c r="J82" s="49">
        <v>4.4329999999999998</v>
      </c>
      <c r="K82" s="49">
        <v>4.4410999999999996</v>
      </c>
      <c r="L82" s="49">
        <v>8.9990000000000006</v>
      </c>
      <c r="M82" s="49">
        <v>9.0022000000000002</v>
      </c>
      <c r="N82" s="49">
        <v>-2.9428999999999998</v>
      </c>
      <c r="O82" s="49">
        <v>-2.9342999999999999</v>
      </c>
      <c r="P82" s="49">
        <v>-1.5744</v>
      </c>
      <c r="Q82" s="49">
        <v>-1.5678000000000001</v>
      </c>
      <c r="R82" s="49">
        <v>-4.2141000000000002</v>
      </c>
      <c r="S82" s="49">
        <v>-4.2038000000000002</v>
      </c>
      <c r="T82" s="49">
        <v>10.2561</v>
      </c>
      <c r="U82" s="49">
        <v>10.260300000000001</v>
      </c>
      <c r="V82" s="49">
        <v>4.8506</v>
      </c>
      <c r="W82" s="49">
        <v>4.8574000000000002</v>
      </c>
      <c r="X82" s="49">
        <v>15.09</v>
      </c>
      <c r="Y82" s="49">
        <v>15.091900000000001</v>
      </c>
      <c r="Z82" s="49">
        <v>2.1459000000000001</v>
      </c>
      <c r="AA82" s="49">
        <v>2.1533000000000002</v>
      </c>
      <c r="AB82" s="49">
        <v>3.9735</v>
      </c>
      <c r="AC82" s="49">
        <v>3.9828999999999999</v>
      </c>
      <c r="AD82" s="49">
        <v>-6.4699999999999994E-2</v>
      </c>
      <c r="AE82" s="49">
        <v>-5.9799999999999999E-2</v>
      </c>
      <c r="AH82" s="16">
        <f t="shared" si="7"/>
        <v>19860731</v>
      </c>
      <c r="AI82" s="16">
        <f t="shared" si="8"/>
        <v>5.0979000000000001</v>
      </c>
      <c r="AJ82" s="16">
        <f t="shared" si="9"/>
        <v>-1.9251000000000005</v>
      </c>
      <c r="AK82" s="16">
        <f t="shared" si="10"/>
        <v>-19.2149</v>
      </c>
      <c r="AL82" s="18">
        <v>4.8125</v>
      </c>
      <c r="AM82" s="17">
        <f t="shared" si="11"/>
        <v>4.6968583333333331</v>
      </c>
      <c r="AN82" s="17">
        <f t="shared" si="12"/>
        <v>-1.9251000000000005</v>
      </c>
      <c r="AO82" s="17">
        <f t="shared" si="13"/>
        <v>-19.2149</v>
      </c>
    </row>
    <row r="83" spans="1:41">
      <c r="A83" s="49">
        <v>19860831</v>
      </c>
      <c r="B83" s="49">
        <v>8.4285999999999994</v>
      </c>
      <c r="C83" s="49">
        <v>8.4417000000000009</v>
      </c>
      <c r="D83" s="49">
        <v>10.400700000000001</v>
      </c>
      <c r="E83" s="49">
        <v>10.415699999999999</v>
      </c>
      <c r="F83" s="49">
        <v>6.5072000000000001</v>
      </c>
      <c r="G83" s="49">
        <v>6.5183999999999997</v>
      </c>
      <c r="H83" s="49">
        <v>10.2925</v>
      </c>
      <c r="I83" s="49">
        <v>10.304500000000001</v>
      </c>
      <c r="J83" s="49">
        <v>12.5602</v>
      </c>
      <c r="K83" s="49">
        <v>12.575699999999999</v>
      </c>
      <c r="L83" s="49">
        <v>8.0752000000000006</v>
      </c>
      <c r="M83" s="49">
        <v>8.0837000000000003</v>
      </c>
      <c r="N83" s="49">
        <v>-1.8614999999999999</v>
      </c>
      <c r="O83" s="49">
        <v>-1.8421000000000001</v>
      </c>
      <c r="P83" s="49">
        <v>-1.6608000000000001</v>
      </c>
      <c r="Q83" s="49">
        <v>-1.6487000000000001</v>
      </c>
      <c r="R83" s="49">
        <v>-2.0533000000000001</v>
      </c>
      <c r="S83" s="49">
        <v>-2.0270000000000001</v>
      </c>
      <c r="T83" s="49">
        <v>13.1951</v>
      </c>
      <c r="U83" s="49">
        <v>13.204700000000001</v>
      </c>
      <c r="V83" s="49">
        <v>16.548200000000001</v>
      </c>
      <c r="W83" s="49">
        <v>16.561299999999999</v>
      </c>
      <c r="X83" s="49">
        <v>10.467000000000001</v>
      </c>
      <c r="Y83" s="49">
        <v>10.473699999999999</v>
      </c>
      <c r="Z83" s="49">
        <v>6.2942</v>
      </c>
      <c r="AA83" s="49">
        <v>6.3094000000000001</v>
      </c>
      <c r="AB83" s="49">
        <v>8.1395</v>
      </c>
      <c r="AC83" s="49">
        <v>8.1576000000000004</v>
      </c>
      <c r="AD83" s="49">
        <v>3.9699</v>
      </c>
      <c r="AE83" s="49">
        <v>3.9813000000000001</v>
      </c>
      <c r="AH83" s="16">
        <f t="shared" si="7"/>
        <v>19860831</v>
      </c>
      <c r="AI83" s="16">
        <f t="shared" si="8"/>
        <v>8.4417000000000009</v>
      </c>
      <c r="AJ83" s="16">
        <f t="shared" si="9"/>
        <v>4.8702999999999994</v>
      </c>
      <c r="AK83" s="16">
        <f t="shared" si="10"/>
        <v>-24.335099999999997</v>
      </c>
      <c r="AL83" s="18">
        <v>4.8125</v>
      </c>
      <c r="AM83" s="17">
        <f t="shared" si="11"/>
        <v>8.0406583333333348</v>
      </c>
      <c r="AN83" s="17">
        <f t="shared" si="12"/>
        <v>4.8702999999999994</v>
      </c>
      <c r="AO83" s="17">
        <f t="shared" si="13"/>
        <v>-24.335099999999997</v>
      </c>
    </row>
    <row r="84" spans="1:41">
      <c r="A84" s="49">
        <v>19860930</v>
      </c>
      <c r="B84" s="49">
        <v>-1.2024999999999999</v>
      </c>
      <c r="C84" s="49">
        <v>-0.95330000000000004</v>
      </c>
      <c r="D84" s="49">
        <v>-0.90600000000000003</v>
      </c>
      <c r="E84" s="49">
        <v>-0.68189999999999995</v>
      </c>
      <c r="F84" s="49">
        <v>-1.5015000000000001</v>
      </c>
      <c r="G84" s="49">
        <v>-1.2266999999999999</v>
      </c>
      <c r="H84" s="49">
        <v>0.15179999999999999</v>
      </c>
      <c r="I84" s="49">
        <v>0.40870000000000001</v>
      </c>
      <c r="J84" s="49">
        <v>0.40360000000000001</v>
      </c>
      <c r="K84" s="49">
        <v>0.62709999999999999</v>
      </c>
      <c r="L84" s="49">
        <v>-0.104</v>
      </c>
      <c r="M84" s="49">
        <v>0.18740000000000001</v>
      </c>
      <c r="N84" s="49">
        <v>-9.5985999999999994</v>
      </c>
      <c r="O84" s="49">
        <v>-9.3956999999999997</v>
      </c>
      <c r="P84" s="49">
        <v>-9.2739999999999991</v>
      </c>
      <c r="Q84" s="49">
        <v>-9.0471000000000004</v>
      </c>
      <c r="R84" s="49">
        <v>-9.9100999999999999</v>
      </c>
      <c r="S84" s="49">
        <v>-9.7301000000000002</v>
      </c>
      <c r="T84" s="49">
        <v>4.3513000000000002</v>
      </c>
      <c r="U84" s="49">
        <v>4.6378000000000004</v>
      </c>
      <c r="V84" s="49">
        <v>5.6426999999999996</v>
      </c>
      <c r="W84" s="49">
        <v>5.8686999999999996</v>
      </c>
      <c r="X84" s="49">
        <v>3.2444999999999999</v>
      </c>
      <c r="Y84" s="49">
        <v>3.5840999999999998</v>
      </c>
      <c r="Z84" s="49">
        <v>-6.0014000000000003</v>
      </c>
      <c r="AA84" s="49">
        <v>-5.7858999999999998</v>
      </c>
      <c r="AB84" s="49">
        <v>-5.85</v>
      </c>
      <c r="AC84" s="49">
        <v>-5.6302000000000003</v>
      </c>
      <c r="AD84" s="49">
        <v>-6.1989000000000001</v>
      </c>
      <c r="AE84" s="49">
        <v>-5.9888000000000003</v>
      </c>
      <c r="AH84" s="16">
        <f t="shared" si="7"/>
        <v>19860930</v>
      </c>
      <c r="AI84" s="16">
        <f t="shared" si="8"/>
        <v>-0.95330000000000004</v>
      </c>
      <c r="AJ84" s="16">
        <f t="shared" si="9"/>
        <v>1.1226999999999998</v>
      </c>
      <c r="AK84" s="16">
        <f t="shared" si="10"/>
        <v>-19.591699999999999</v>
      </c>
      <c r="AL84" s="18">
        <v>4.75</v>
      </c>
      <c r="AM84" s="17">
        <f t="shared" si="11"/>
        <v>-1.3491333333333333</v>
      </c>
      <c r="AN84" s="17">
        <f t="shared" si="12"/>
        <v>1.1226999999999998</v>
      </c>
      <c r="AO84" s="17">
        <f t="shared" si="13"/>
        <v>-19.591699999999999</v>
      </c>
    </row>
    <row r="85" spans="1:41">
      <c r="A85" s="49">
        <v>19861031</v>
      </c>
      <c r="B85" s="49">
        <v>-7.6009000000000002</v>
      </c>
      <c r="C85" s="49">
        <v>-7.5876000000000001</v>
      </c>
      <c r="D85" s="49">
        <v>-10.0106</v>
      </c>
      <c r="E85" s="49">
        <v>-9.9918999999999993</v>
      </c>
      <c r="F85" s="49">
        <v>-5.1463999999999999</v>
      </c>
      <c r="G85" s="49">
        <v>-5.1386000000000003</v>
      </c>
      <c r="H85" s="49">
        <v>-8.5717999999999996</v>
      </c>
      <c r="I85" s="49">
        <v>-8.5604999999999993</v>
      </c>
      <c r="J85" s="49">
        <v>-11.029500000000001</v>
      </c>
      <c r="K85" s="49">
        <v>-11.0136</v>
      </c>
      <c r="L85" s="49">
        <v>-6.0492999999999997</v>
      </c>
      <c r="M85" s="49">
        <v>-6.0427</v>
      </c>
      <c r="N85" s="49">
        <v>-0.91169999999999995</v>
      </c>
      <c r="O85" s="49">
        <v>-0.88500000000000001</v>
      </c>
      <c r="P85" s="49">
        <v>-2.7753999999999999</v>
      </c>
      <c r="Q85" s="49">
        <v>-2.7370999999999999</v>
      </c>
      <c r="R85" s="49">
        <v>0.88919999999999999</v>
      </c>
      <c r="S85" s="49">
        <v>0.90490000000000004</v>
      </c>
      <c r="T85" s="49">
        <v>-10.762499999999999</v>
      </c>
      <c r="U85" s="49">
        <v>-10.754899999999999</v>
      </c>
      <c r="V85" s="49">
        <v>-12.727600000000001</v>
      </c>
      <c r="W85" s="49">
        <v>-12.7159</v>
      </c>
      <c r="X85" s="49">
        <v>-9.0298999999999996</v>
      </c>
      <c r="Y85" s="49">
        <v>-9.0259</v>
      </c>
      <c r="Z85" s="49">
        <v>-5.0167000000000002</v>
      </c>
      <c r="AA85" s="49">
        <v>-4.9992999999999999</v>
      </c>
      <c r="AB85" s="49">
        <v>-8.7560000000000002</v>
      </c>
      <c r="AC85" s="49">
        <v>-8.7344000000000008</v>
      </c>
      <c r="AD85" s="49">
        <v>-9.8900000000000002E-2</v>
      </c>
      <c r="AE85" s="49">
        <v>-8.72E-2</v>
      </c>
      <c r="AH85" s="16">
        <f t="shared" si="7"/>
        <v>19861031</v>
      </c>
      <c r="AI85" s="16">
        <f t="shared" si="8"/>
        <v>-7.5876000000000001</v>
      </c>
      <c r="AJ85" s="16">
        <f t="shared" si="9"/>
        <v>-8.6128999999999998</v>
      </c>
      <c r="AK85" s="16">
        <f t="shared" si="10"/>
        <v>15.2241</v>
      </c>
      <c r="AL85" s="18">
        <v>5</v>
      </c>
      <c r="AM85" s="17">
        <f t="shared" si="11"/>
        <v>-8.0042666666666662</v>
      </c>
      <c r="AN85" s="17">
        <f t="shared" si="12"/>
        <v>-8.6128999999999998</v>
      </c>
      <c r="AO85" s="17">
        <f t="shared" si="13"/>
        <v>15.2241</v>
      </c>
    </row>
    <row r="86" spans="1:41">
      <c r="A86" s="49">
        <v>19861130</v>
      </c>
      <c r="B86" s="49">
        <v>7.0095000000000001</v>
      </c>
      <c r="C86" s="49">
        <v>7.0403000000000002</v>
      </c>
      <c r="D86" s="49">
        <v>7.9977</v>
      </c>
      <c r="E86" s="49">
        <v>8.0347000000000008</v>
      </c>
      <c r="F86" s="49">
        <v>6.0540000000000003</v>
      </c>
      <c r="G86" s="49">
        <v>6.0789</v>
      </c>
      <c r="H86" s="49">
        <v>6.7511999999999999</v>
      </c>
      <c r="I86" s="49">
        <v>6.7788000000000004</v>
      </c>
      <c r="J86" s="49">
        <v>7.7089999999999996</v>
      </c>
      <c r="K86" s="49">
        <v>7.7423999999999999</v>
      </c>
      <c r="L86" s="49">
        <v>5.8196000000000003</v>
      </c>
      <c r="M86" s="49">
        <v>5.8415999999999997</v>
      </c>
      <c r="N86" s="49">
        <v>8.6516999999999999</v>
      </c>
      <c r="O86" s="49">
        <v>8.7022999999999993</v>
      </c>
      <c r="P86" s="49">
        <v>9.8756000000000004</v>
      </c>
      <c r="Q86" s="49">
        <v>9.9356000000000009</v>
      </c>
      <c r="R86" s="49">
        <v>7.5128000000000004</v>
      </c>
      <c r="S86" s="49">
        <v>7.5548999999999999</v>
      </c>
      <c r="T86" s="49">
        <v>5.3644999999999996</v>
      </c>
      <c r="U86" s="49">
        <v>5.3909000000000002</v>
      </c>
      <c r="V86" s="49">
        <v>5.9314</v>
      </c>
      <c r="W86" s="49">
        <v>5.9722</v>
      </c>
      <c r="X86" s="49">
        <v>4.8845999999999998</v>
      </c>
      <c r="Y86" s="49">
        <v>4.8990999999999998</v>
      </c>
      <c r="Z86" s="49">
        <v>8.8650000000000002</v>
      </c>
      <c r="AA86" s="49">
        <v>8.8946000000000005</v>
      </c>
      <c r="AB86" s="49">
        <v>9.9849999999999994</v>
      </c>
      <c r="AC86" s="49">
        <v>10.0091</v>
      </c>
      <c r="AD86" s="49">
        <v>7.5190000000000001</v>
      </c>
      <c r="AE86" s="49">
        <v>7.5549999999999997</v>
      </c>
      <c r="AH86" s="16">
        <f t="shared" si="7"/>
        <v>19861130</v>
      </c>
      <c r="AI86" s="16">
        <f t="shared" si="8"/>
        <v>7.0403000000000002</v>
      </c>
      <c r="AJ86" s="16">
        <f t="shared" si="9"/>
        <v>4.2815000000000012</v>
      </c>
      <c r="AK86" s="16">
        <f t="shared" si="10"/>
        <v>3.9065000000000012</v>
      </c>
      <c r="AL86" s="18">
        <v>4.5</v>
      </c>
      <c r="AM86" s="17">
        <f t="shared" si="11"/>
        <v>6.6653000000000002</v>
      </c>
      <c r="AN86" s="17">
        <f t="shared" si="12"/>
        <v>4.2815000000000012</v>
      </c>
      <c r="AO86" s="17">
        <f t="shared" si="13"/>
        <v>3.9065000000000012</v>
      </c>
    </row>
    <row r="87" spans="1:41">
      <c r="A87" s="49">
        <v>19861231</v>
      </c>
      <c r="B87" s="49">
        <v>2.7704</v>
      </c>
      <c r="C87" s="49">
        <v>2.8056999999999999</v>
      </c>
      <c r="D87" s="49">
        <v>2.9655999999999998</v>
      </c>
      <c r="E87" s="49">
        <v>3.0078</v>
      </c>
      <c r="F87" s="49">
        <v>2.5781000000000001</v>
      </c>
      <c r="G87" s="49">
        <v>2.6067</v>
      </c>
      <c r="H87" s="49">
        <v>3.5175999999999998</v>
      </c>
      <c r="I87" s="49">
        <v>3.55</v>
      </c>
      <c r="J87" s="49">
        <v>3.5579000000000001</v>
      </c>
      <c r="K87" s="49">
        <v>3.5979999999999999</v>
      </c>
      <c r="L87" s="49">
        <v>3.4777</v>
      </c>
      <c r="M87" s="49">
        <v>3.5024000000000002</v>
      </c>
      <c r="N87" s="49">
        <v>-1.8908</v>
      </c>
      <c r="O87" s="49">
        <v>-1.8369</v>
      </c>
      <c r="P87" s="49">
        <v>-0.8054</v>
      </c>
      <c r="Q87" s="49">
        <v>-0.74960000000000004</v>
      </c>
      <c r="R87" s="49">
        <v>-2.923</v>
      </c>
      <c r="S87" s="49">
        <v>-2.8708999999999998</v>
      </c>
      <c r="T87" s="49">
        <v>5.5258000000000003</v>
      </c>
      <c r="U87" s="49">
        <v>5.5522</v>
      </c>
      <c r="V87" s="49">
        <v>5.9770000000000003</v>
      </c>
      <c r="W87" s="49">
        <v>6.0143000000000004</v>
      </c>
      <c r="X87" s="49">
        <v>5.1409000000000002</v>
      </c>
      <c r="Y87" s="49">
        <v>5.1580000000000004</v>
      </c>
      <c r="Z87" s="49">
        <v>0.54259999999999997</v>
      </c>
      <c r="AA87" s="49">
        <v>0.58389999999999997</v>
      </c>
      <c r="AB87" s="49">
        <v>0.57379999999999998</v>
      </c>
      <c r="AC87" s="49">
        <v>0.61760000000000004</v>
      </c>
      <c r="AD87" s="49">
        <v>0.504</v>
      </c>
      <c r="AE87" s="49">
        <v>0.54239999999999999</v>
      </c>
      <c r="AH87" s="16">
        <f t="shared" si="7"/>
        <v>19861231</v>
      </c>
      <c r="AI87" s="16">
        <f t="shared" si="8"/>
        <v>2.8056999999999999</v>
      </c>
      <c r="AJ87" s="16">
        <f t="shared" si="9"/>
        <v>2.2168999999999994</v>
      </c>
      <c r="AK87" s="16">
        <f t="shared" si="10"/>
        <v>-10.7209</v>
      </c>
      <c r="AL87" s="18">
        <v>3.8125</v>
      </c>
      <c r="AM87" s="17">
        <f t="shared" si="11"/>
        <v>2.4879916666666664</v>
      </c>
      <c r="AN87" s="17">
        <f t="shared" si="12"/>
        <v>2.2168999999999994</v>
      </c>
      <c r="AO87" s="17">
        <f t="shared" si="13"/>
        <v>-10.7209</v>
      </c>
    </row>
    <row r="88" spans="1:41">
      <c r="A88" s="49">
        <v>19870131</v>
      </c>
      <c r="B88" s="49">
        <v>8.4575999999999993</v>
      </c>
      <c r="C88" s="49">
        <v>8.4702999999999999</v>
      </c>
      <c r="D88" s="49">
        <v>10.184699999999999</v>
      </c>
      <c r="E88" s="49">
        <v>10.1912</v>
      </c>
      <c r="F88" s="49">
        <v>6.8322000000000003</v>
      </c>
      <c r="G88" s="49">
        <v>6.8507999999999996</v>
      </c>
      <c r="H88" s="49">
        <v>9.0992999999999995</v>
      </c>
      <c r="I88" s="49">
        <v>9.1114999999999995</v>
      </c>
      <c r="J88" s="49">
        <v>10.7156</v>
      </c>
      <c r="K88" s="49">
        <v>10.719799999999999</v>
      </c>
      <c r="L88" s="49">
        <v>7.6563999999999997</v>
      </c>
      <c r="M88" s="49">
        <v>7.6759000000000004</v>
      </c>
      <c r="N88" s="49">
        <v>4.1647999999999996</v>
      </c>
      <c r="O88" s="49">
        <v>4.1807999999999996</v>
      </c>
      <c r="P88" s="49">
        <v>7.2605000000000004</v>
      </c>
      <c r="Q88" s="49">
        <v>7.2798999999999996</v>
      </c>
      <c r="R88" s="49">
        <v>1.1599999999999999E-2</v>
      </c>
      <c r="S88" s="49">
        <v>2.29E-2</v>
      </c>
      <c r="T88" s="49">
        <v>9.4620999999999995</v>
      </c>
      <c r="U88" s="49">
        <v>9.4788999999999994</v>
      </c>
      <c r="V88" s="49">
        <v>8.4835999999999991</v>
      </c>
      <c r="W88" s="49">
        <v>8.4879999999999995</v>
      </c>
      <c r="X88" s="49">
        <v>10.173999999999999</v>
      </c>
      <c r="Y88" s="49">
        <v>10.200100000000001</v>
      </c>
      <c r="Z88" s="49">
        <v>8.5221</v>
      </c>
      <c r="AA88" s="49">
        <v>8.5271000000000008</v>
      </c>
      <c r="AB88" s="49">
        <v>13.4217</v>
      </c>
      <c r="AC88" s="49">
        <v>13.425800000000001</v>
      </c>
      <c r="AD88" s="49">
        <v>2.4746999999999999</v>
      </c>
      <c r="AE88" s="49">
        <v>2.4809000000000001</v>
      </c>
      <c r="AH88" s="16">
        <f t="shared" si="7"/>
        <v>19870131</v>
      </c>
      <c r="AI88" s="16">
        <f t="shared" si="8"/>
        <v>8.4702999999999999</v>
      </c>
      <c r="AJ88" s="16">
        <f t="shared" si="9"/>
        <v>10.300899999999999</v>
      </c>
      <c r="AK88" s="16">
        <f t="shared" si="10"/>
        <v>-11.092899999999998</v>
      </c>
      <c r="AL88" s="18">
        <v>4.5625</v>
      </c>
      <c r="AM88" s="17">
        <f t="shared" si="11"/>
        <v>8.090091666666666</v>
      </c>
      <c r="AN88" s="17">
        <f t="shared" si="12"/>
        <v>10.300899999999999</v>
      </c>
      <c r="AO88" s="17">
        <f t="shared" si="13"/>
        <v>-11.092899999999998</v>
      </c>
    </row>
    <row r="89" spans="1:41">
      <c r="A89" s="49">
        <v>19870228</v>
      </c>
      <c r="B89" s="49">
        <v>2.9514999999999998</v>
      </c>
      <c r="C89" s="49">
        <v>2.9722</v>
      </c>
      <c r="D89" s="49">
        <v>0.85750000000000004</v>
      </c>
      <c r="E89" s="49">
        <v>0.88560000000000005</v>
      </c>
      <c r="F89" s="49">
        <v>4.9851999999999999</v>
      </c>
      <c r="G89" s="49">
        <v>4.9987000000000004</v>
      </c>
      <c r="H89" s="49">
        <v>3.3260999999999998</v>
      </c>
      <c r="I89" s="49">
        <v>3.3462999999999998</v>
      </c>
      <c r="J89" s="49">
        <v>0.89290000000000003</v>
      </c>
      <c r="K89" s="49">
        <v>0.92330000000000001</v>
      </c>
      <c r="L89" s="49">
        <v>5.5614999999999997</v>
      </c>
      <c r="M89" s="49">
        <v>5.5721999999999996</v>
      </c>
      <c r="N89" s="49">
        <v>0.32529999999999998</v>
      </c>
      <c r="O89" s="49">
        <v>0.3493</v>
      </c>
      <c r="P89" s="49">
        <v>0.65580000000000005</v>
      </c>
      <c r="Q89" s="49">
        <v>0.67100000000000004</v>
      </c>
      <c r="R89" s="49">
        <v>-0.15040000000000001</v>
      </c>
      <c r="S89" s="49">
        <v>-0.1138</v>
      </c>
      <c r="T89" s="49">
        <v>3.8022</v>
      </c>
      <c r="U89" s="49">
        <v>3.81</v>
      </c>
      <c r="V89" s="49">
        <v>-8.5699999999999998E-2</v>
      </c>
      <c r="W89" s="49">
        <v>-6.9500000000000006E-2</v>
      </c>
      <c r="X89" s="49">
        <v>6.5856000000000003</v>
      </c>
      <c r="Y89" s="49">
        <v>6.5872000000000002</v>
      </c>
      <c r="Z89" s="49">
        <v>2.5627</v>
      </c>
      <c r="AA89" s="49">
        <v>2.6027</v>
      </c>
      <c r="AB89" s="49">
        <v>2.0264000000000002</v>
      </c>
      <c r="AC89" s="49">
        <v>2.0731000000000002</v>
      </c>
      <c r="AD89" s="49">
        <v>3.2959000000000001</v>
      </c>
      <c r="AE89" s="49">
        <v>3.3268</v>
      </c>
      <c r="AH89" s="16">
        <f t="shared" si="7"/>
        <v>19870228</v>
      </c>
      <c r="AI89" s="16">
        <f t="shared" si="8"/>
        <v>2.9722</v>
      </c>
      <c r="AJ89" s="16">
        <f t="shared" si="9"/>
        <v>-3.8640999999999992</v>
      </c>
      <c r="AK89" s="16">
        <f t="shared" si="10"/>
        <v>-5.9382999999999999</v>
      </c>
      <c r="AL89" s="18">
        <v>5</v>
      </c>
      <c r="AM89" s="17">
        <f t="shared" si="11"/>
        <v>2.5555333333333334</v>
      </c>
      <c r="AN89" s="17">
        <f t="shared" si="12"/>
        <v>-3.8640999999999992</v>
      </c>
      <c r="AO89" s="17">
        <f t="shared" si="13"/>
        <v>-5.9382999999999999</v>
      </c>
    </row>
    <row r="90" spans="1:41">
      <c r="A90" s="49">
        <v>19870331</v>
      </c>
      <c r="B90" s="49">
        <v>1.7906</v>
      </c>
      <c r="C90" s="49">
        <v>2.0602</v>
      </c>
      <c r="D90" s="49">
        <v>4.3346</v>
      </c>
      <c r="E90" s="49">
        <v>4.665</v>
      </c>
      <c r="F90" s="49">
        <v>-0.58199999999999996</v>
      </c>
      <c r="G90" s="49">
        <v>-0.3695</v>
      </c>
      <c r="H90" s="49">
        <v>1.6680999999999999</v>
      </c>
      <c r="I90" s="49">
        <v>1.9297</v>
      </c>
      <c r="J90" s="49">
        <v>4.3094999999999999</v>
      </c>
      <c r="K90" s="49">
        <v>4.6302000000000003</v>
      </c>
      <c r="L90" s="49">
        <v>-0.65049999999999997</v>
      </c>
      <c r="M90" s="49">
        <v>-0.44109999999999999</v>
      </c>
      <c r="N90" s="49">
        <v>2.6751999999999998</v>
      </c>
      <c r="O90" s="49">
        <v>3.0021</v>
      </c>
      <c r="P90" s="49">
        <v>4.4772999999999996</v>
      </c>
      <c r="Q90" s="49">
        <v>4.8631000000000002</v>
      </c>
      <c r="R90" s="49">
        <v>6.2600000000000003E-2</v>
      </c>
      <c r="S90" s="49">
        <v>0.30430000000000001</v>
      </c>
      <c r="T90" s="49">
        <v>0.68759999999999999</v>
      </c>
      <c r="U90" s="49">
        <v>0.93620000000000003</v>
      </c>
      <c r="V90" s="49">
        <v>2.63</v>
      </c>
      <c r="W90" s="49">
        <v>2.9369999999999998</v>
      </c>
      <c r="X90" s="49">
        <v>-0.61470000000000002</v>
      </c>
      <c r="Y90" s="49">
        <v>-0.40570000000000001</v>
      </c>
      <c r="Z90" s="49">
        <v>3.2591000000000001</v>
      </c>
      <c r="AA90" s="49">
        <v>3.5419</v>
      </c>
      <c r="AB90" s="49">
        <v>6.2137000000000002</v>
      </c>
      <c r="AC90" s="49">
        <v>6.5499000000000001</v>
      </c>
      <c r="AD90" s="49">
        <v>-0.73260000000000003</v>
      </c>
      <c r="AE90" s="49">
        <v>-0.52229999999999999</v>
      </c>
      <c r="AH90" s="16">
        <f t="shared" si="7"/>
        <v>19870331</v>
      </c>
      <c r="AI90" s="16">
        <f t="shared" si="8"/>
        <v>2.0602</v>
      </c>
      <c r="AJ90" s="16">
        <f t="shared" si="9"/>
        <v>9.6300999999999988</v>
      </c>
      <c r="AK90" s="16">
        <f t="shared" si="10"/>
        <v>0.97829999999999995</v>
      </c>
      <c r="AL90" s="18">
        <v>4.0625</v>
      </c>
      <c r="AM90" s="17">
        <f t="shared" si="11"/>
        <v>1.7216583333333333</v>
      </c>
      <c r="AN90" s="17">
        <f t="shared" si="12"/>
        <v>9.6300999999999988</v>
      </c>
      <c r="AO90" s="17">
        <f t="shared" si="13"/>
        <v>0.97829999999999995</v>
      </c>
    </row>
    <row r="91" spans="1:41">
      <c r="A91" s="49">
        <v>19870430</v>
      </c>
      <c r="B91" s="49">
        <v>8.548</v>
      </c>
      <c r="C91" s="49">
        <v>8.5580999999999996</v>
      </c>
      <c r="D91" s="49">
        <v>9.6974</v>
      </c>
      <c r="E91" s="49">
        <v>9.7111000000000001</v>
      </c>
      <c r="F91" s="49">
        <v>7.4234999999999998</v>
      </c>
      <c r="G91" s="49">
        <v>7.4301000000000004</v>
      </c>
      <c r="H91" s="49">
        <v>9.2203999999999997</v>
      </c>
      <c r="I91" s="49">
        <v>9.2285000000000004</v>
      </c>
      <c r="J91" s="49">
        <v>10.3657</v>
      </c>
      <c r="K91" s="49">
        <v>10.376300000000001</v>
      </c>
      <c r="L91" s="49">
        <v>8.1653000000000002</v>
      </c>
      <c r="M91" s="49">
        <v>8.1710999999999991</v>
      </c>
      <c r="N91" s="49">
        <v>3.7399</v>
      </c>
      <c r="O91" s="49">
        <v>3.7646000000000002</v>
      </c>
      <c r="P91" s="49">
        <v>5.8890000000000002</v>
      </c>
      <c r="Q91" s="49">
        <v>5.9207000000000001</v>
      </c>
      <c r="R91" s="49">
        <v>0.4914</v>
      </c>
      <c r="S91" s="49">
        <v>0.50560000000000005</v>
      </c>
      <c r="T91" s="49">
        <v>9.7487999999999992</v>
      </c>
      <c r="U91" s="49">
        <v>9.7507999999999999</v>
      </c>
      <c r="V91" s="49">
        <v>10.5344</v>
      </c>
      <c r="W91" s="49">
        <v>10.5359</v>
      </c>
      <c r="X91" s="49">
        <v>9.2057000000000002</v>
      </c>
      <c r="Y91" s="49">
        <v>9.2080000000000002</v>
      </c>
      <c r="Z91" s="49">
        <v>8.3848000000000003</v>
      </c>
      <c r="AA91" s="49">
        <v>8.4024999999999999</v>
      </c>
      <c r="AB91" s="49">
        <v>10.1812</v>
      </c>
      <c r="AC91" s="49">
        <v>10.201599999999999</v>
      </c>
      <c r="AD91" s="49">
        <v>5.7858999999999998</v>
      </c>
      <c r="AE91" s="49">
        <v>5.7996999999999996</v>
      </c>
      <c r="AH91" s="16">
        <f t="shared" si="7"/>
        <v>19870430</v>
      </c>
      <c r="AI91" s="16">
        <f t="shared" si="8"/>
        <v>8.5580999999999996</v>
      </c>
      <c r="AJ91" s="16">
        <f t="shared" si="9"/>
        <v>7.6203000000000012</v>
      </c>
      <c r="AK91" s="16">
        <f t="shared" si="10"/>
        <v>-12.121099999999998</v>
      </c>
      <c r="AL91" s="18">
        <v>3.9375</v>
      </c>
      <c r="AM91" s="17">
        <f t="shared" si="11"/>
        <v>8.2299749999999996</v>
      </c>
      <c r="AN91" s="17">
        <f t="shared" si="12"/>
        <v>7.6203000000000012</v>
      </c>
      <c r="AO91" s="17">
        <f t="shared" si="13"/>
        <v>-12.121099999999998</v>
      </c>
    </row>
    <row r="92" spans="1:41">
      <c r="A92" s="49">
        <v>19870531</v>
      </c>
      <c r="B92" s="49">
        <v>4.0723000000000003</v>
      </c>
      <c r="C92" s="49">
        <v>4.0867000000000004</v>
      </c>
      <c r="D92" s="49">
        <v>5.8733000000000004</v>
      </c>
      <c r="E92" s="49">
        <v>5.8860999999999999</v>
      </c>
      <c r="F92" s="49">
        <v>2.2715000000000001</v>
      </c>
      <c r="G92" s="49">
        <v>2.2875000000000001</v>
      </c>
      <c r="H92" s="49">
        <v>2.972</v>
      </c>
      <c r="I92" s="49">
        <v>2.9842</v>
      </c>
      <c r="J92" s="49">
        <v>4.9698000000000002</v>
      </c>
      <c r="K92" s="49">
        <v>4.9801000000000002</v>
      </c>
      <c r="L92" s="49">
        <v>1.0919000000000001</v>
      </c>
      <c r="M92" s="49">
        <v>1.1060000000000001</v>
      </c>
      <c r="N92" s="49">
        <v>12.360099999999999</v>
      </c>
      <c r="O92" s="49">
        <v>12.390700000000001</v>
      </c>
      <c r="P92" s="49">
        <v>11.2478</v>
      </c>
      <c r="Q92" s="49">
        <v>11.2752</v>
      </c>
      <c r="R92" s="49">
        <v>14.129099999999999</v>
      </c>
      <c r="S92" s="49">
        <v>14.164899999999999</v>
      </c>
      <c r="T92" s="49">
        <v>0.58579999999999999</v>
      </c>
      <c r="U92" s="49">
        <v>0.59189999999999998</v>
      </c>
      <c r="V92" s="49">
        <v>3.7982999999999998</v>
      </c>
      <c r="W92" s="49">
        <v>3.802</v>
      </c>
      <c r="X92" s="49">
        <v>-1.6654</v>
      </c>
      <c r="Y92" s="49">
        <v>-1.6576</v>
      </c>
      <c r="Z92" s="49">
        <v>6.7888000000000002</v>
      </c>
      <c r="AA92" s="49">
        <v>6.8110999999999997</v>
      </c>
      <c r="AB92" s="49">
        <v>6.2539999999999996</v>
      </c>
      <c r="AC92" s="49">
        <v>6.2716000000000003</v>
      </c>
      <c r="AD92" s="49">
        <v>7.5955000000000004</v>
      </c>
      <c r="AE92" s="49">
        <v>7.6246999999999998</v>
      </c>
      <c r="AH92" s="16">
        <f t="shared" si="7"/>
        <v>19870531</v>
      </c>
      <c r="AI92" s="16">
        <f t="shared" si="8"/>
        <v>4.0867000000000004</v>
      </c>
      <c r="AJ92" s="16">
        <f t="shared" si="9"/>
        <v>0.98440000000000083</v>
      </c>
      <c r="AK92" s="16">
        <f t="shared" si="10"/>
        <v>19.353999999999999</v>
      </c>
      <c r="AL92" s="18">
        <v>3.75</v>
      </c>
      <c r="AM92" s="17">
        <f t="shared" si="11"/>
        <v>3.7742000000000004</v>
      </c>
      <c r="AN92" s="17">
        <f t="shared" si="12"/>
        <v>0.98440000000000083</v>
      </c>
      <c r="AO92" s="17">
        <f t="shared" si="13"/>
        <v>19.353999999999999</v>
      </c>
    </row>
    <row r="93" spans="1:41">
      <c r="A93" s="49">
        <v>19870630</v>
      </c>
      <c r="B93" s="49">
        <v>-3.4983</v>
      </c>
      <c r="C93" s="49">
        <v>-3.4805000000000001</v>
      </c>
      <c r="D93" s="49">
        <v>-1.8556999999999999</v>
      </c>
      <c r="E93" s="49">
        <v>-1.8297000000000001</v>
      </c>
      <c r="F93" s="49">
        <v>-5.1996000000000002</v>
      </c>
      <c r="G93" s="49">
        <v>-5.1901000000000002</v>
      </c>
      <c r="H93" s="49">
        <v>-4.6569000000000003</v>
      </c>
      <c r="I93" s="49">
        <v>-4.6401000000000003</v>
      </c>
      <c r="J93" s="49">
        <v>-3.0386000000000002</v>
      </c>
      <c r="K93" s="49">
        <v>-3.0129000000000001</v>
      </c>
      <c r="L93" s="49">
        <v>-6.2397</v>
      </c>
      <c r="M93" s="49">
        <v>-6.2316000000000003</v>
      </c>
      <c r="N93" s="49">
        <v>4.4968000000000004</v>
      </c>
      <c r="O93" s="49">
        <v>4.5217000000000001</v>
      </c>
      <c r="P93" s="49">
        <v>4.7873999999999999</v>
      </c>
      <c r="Q93" s="49">
        <v>4.8146000000000004</v>
      </c>
      <c r="R93" s="49">
        <v>4.0472000000000001</v>
      </c>
      <c r="S93" s="49">
        <v>4.0686</v>
      </c>
      <c r="T93" s="49">
        <v>-7.0350000000000001</v>
      </c>
      <c r="U93" s="49">
        <v>-7.0152000000000001</v>
      </c>
      <c r="V93" s="49">
        <v>-3.5901999999999998</v>
      </c>
      <c r="W93" s="49">
        <v>-3.552</v>
      </c>
      <c r="X93" s="49">
        <v>-9.5854999999999997</v>
      </c>
      <c r="Y93" s="49">
        <v>-9.5790000000000006</v>
      </c>
      <c r="Z93" s="49">
        <v>-1.0788</v>
      </c>
      <c r="AA93" s="49">
        <v>-1.0667</v>
      </c>
      <c r="AB93" s="49">
        <v>-2.4483000000000001</v>
      </c>
      <c r="AC93" s="49">
        <v>-2.4361000000000002</v>
      </c>
      <c r="AD93" s="49">
        <v>0.96109999999999995</v>
      </c>
      <c r="AE93" s="49">
        <v>0.97299999999999998</v>
      </c>
      <c r="AH93" s="16">
        <f t="shared" si="7"/>
        <v>19870630</v>
      </c>
      <c r="AI93" s="16">
        <f t="shared" si="8"/>
        <v>-3.4805000000000001</v>
      </c>
      <c r="AJ93" s="16">
        <f t="shared" si="9"/>
        <v>3.9647000000000006</v>
      </c>
      <c r="AK93" s="16">
        <f t="shared" si="10"/>
        <v>18.127700000000001</v>
      </c>
      <c r="AL93" s="18">
        <v>3.25</v>
      </c>
      <c r="AM93" s="17">
        <f t="shared" si="11"/>
        <v>-3.7513333333333336</v>
      </c>
      <c r="AN93" s="17">
        <f t="shared" si="12"/>
        <v>3.9647000000000006</v>
      </c>
      <c r="AO93" s="17">
        <f t="shared" si="13"/>
        <v>18.127700000000001</v>
      </c>
    </row>
    <row r="94" spans="1:41">
      <c r="A94" s="49">
        <v>19870731</v>
      </c>
      <c r="B94" s="49">
        <v>-0.377</v>
      </c>
      <c r="C94" s="49">
        <v>-0.37309999999999999</v>
      </c>
      <c r="D94" s="49">
        <v>-0.37159999999999999</v>
      </c>
      <c r="E94" s="49">
        <v>-0.36840000000000001</v>
      </c>
      <c r="F94" s="49">
        <v>-0.38290000000000002</v>
      </c>
      <c r="G94" s="49">
        <v>-0.37819999999999998</v>
      </c>
      <c r="H94" s="49">
        <v>-1.0965</v>
      </c>
      <c r="I94" s="49">
        <v>-1.0928</v>
      </c>
      <c r="J94" s="49">
        <v>-1.1496999999999999</v>
      </c>
      <c r="K94" s="49">
        <v>-1.1471</v>
      </c>
      <c r="L94" s="49">
        <v>-1.0426</v>
      </c>
      <c r="M94" s="49">
        <v>-1.0379</v>
      </c>
      <c r="N94" s="49">
        <v>4.1440000000000001</v>
      </c>
      <c r="O94" s="49">
        <v>4.1496000000000004</v>
      </c>
      <c r="P94" s="49">
        <v>3.6674000000000002</v>
      </c>
      <c r="Q94" s="49">
        <v>3.6735000000000002</v>
      </c>
      <c r="R94" s="49">
        <v>4.8864999999999998</v>
      </c>
      <c r="S94" s="49">
        <v>4.8914999999999997</v>
      </c>
      <c r="T94" s="49">
        <v>-1.5268999999999999</v>
      </c>
      <c r="U94" s="49">
        <v>-1.5217000000000001</v>
      </c>
      <c r="V94" s="49">
        <v>-0.42409999999999998</v>
      </c>
      <c r="W94" s="49">
        <v>-0.42049999999999998</v>
      </c>
      <c r="X94" s="49">
        <v>-2.3978999999999999</v>
      </c>
      <c r="Y94" s="49">
        <v>-2.3915000000000002</v>
      </c>
      <c r="Z94" s="49">
        <v>-0.48870000000000002</v>
      </c>
      <c r="AA94" s="49">
        <v>-0.48720000000000002</v>
      </c>
      <c r="AB94" s="49">
        <v>-1.9162999999999999</v>
      </c>
      <c r="AC94" s="49">
        <v>-1.9147000000000001</v>
      </c>
      <c r="AD94" s="49">
        <v>1.5651999999999999</v>
      </c>
      <c r="AE94" s="49">
        <v>1.5666</v>
      </c>
      <c r="AH94" s="16">
        <f t="shared" si="7"/>
        <v>19870731</v>
      </c>
      <c r="AI94" s="16">
        <f t="shared" si="8"/>
        <v>-0.37309999999999999</v>
      </c>
      <c r="AJ94" s="16">
        <f t="shared" si="9"/>
        <v>-1.3271999999999995</v>
      </c>
      <c r="AK94" s="16">
        <f t="shared" si="10"/>
        <v>10.75</v>
      </c>
      <c r="AL94" s="18">
        <v>3.625</v>
      </c>
      <c r="AM94" s="17">
        <f t="shared" si="11"/>
        <v>-0.67518333333333325</v>
      </c>
      <c r="AN94" s="17">
        <f t="shared" si="12"/>
        <v>-1.3271999999999995</v>
      </c>
      <c r="AO94" s="17">
        <f t="shared" si="13"/>
        <v>10.75</v>
      </c>
    </row>
    <row r="95" spans="1:41">
      <c r="A95" s="49">
        <v>19870831</v>
      </c>
      <c r="B95" s="49">
        <v>6.5503999999999998</v>
      </c>
      <c r="C95" s="49">
        <v>6.5587999999999997</v>
      </c>
      <c r="D95" s="49">
        <v>5.9516999999999998</v>
      </c>
      <c r="E95" s="49">
        <v>5.9614000000000003</v>
      </c>
      <c r="F95" s="49">
        <v>7.1927000000000003</v>
      </c>
      <c r="G95" s="49">
        <v>7.1997</v>
      </c>
      <c r="H95" s="49">
        <v>6.3913000000000002</v>
      </c>
      <c r="I95" s="49">
        <v>6.3987999999999996</v>
      </c>
      <c r="J95" s="49">
        <v>5.5640999999999998</v>
      </c>
      <c r="K95" s="49">
        <v>5.5739000000000001</v>
      </c>
      <c r="L95" s="49">
        <v>7.2275999999999998</v>
      </c>
      <c r="M95" s="49">
        <v>7.2325999999999997</v>
      </c>
      <c r="N95" s="49">
        <v>7.4969000000000001</v>
      </c>
      <c r="O95" s="49">
        <v>7.5113000000000003</v>
      </c>
      <c r="P95" s="49">
        <v>7.8669000000000002</v>
      </c>
      <c r="Q95" s="49">
        <v>7.8757000000000001</v>
      </c>
      <c r="R95" s="49">
        <v>6.9272999999999998</v>
      </c>
      <c r="S95" s="49">
        <v>6.9503000000000004</v>
      </c>
      <c r="T95" s="49">
        <v>6.2115</v>
      </c>
      <c r="U95" s="49">
        <v>6.2149999999999999</v>
      </c>
      <c r="V95" s="49">
        <v>3.0531000000000001</v>
      </c>
      <c r="W95" s="49">
        <v>3.0590999999999999</v>
      </c>
      <c r="X95" s="49">
        <v>8.7579999999999991</v>
      </c>
      <c r="Y95" s="49">
        <v>8.7594999999999992</v>
      </c>
      <c r="Z95" s="49">
        <v>6.6428000000000003</v>
      </c>
      <c r="AA95" s="49">
        <v>6.6558999999999999</v>
      </c>
      <c r="AB95" s="49">
        <v>8.2570999999999994</v>
      </c>
      <c r="AC95" s="49">
        <v>8.2712000000000003</v>
      </c>
      <c r="AD95" s="49">
        <v>4.4000000000000004</v>
      </c>
      <c r="AE95" s="49">
        <v>4.4116</v>
      </c>
      <c r="AH95" s="16">
        <f t="shared" si="7"/>
        <v>19870831</v>
      </c>
      <c r="AI95" s="16">
        <f t="shared" si="8"/>
        <v>6.5587999999999997</v>
      </c>
      <c r="AJ95" s="16">
        <f t="shared" si="9"/>
        <v>-0.73329999999999984</v>
      </c>
      <c r="AK95" s="16">
        <f t="shared" si="10"/>
        <v>2.0195000000000007</v>
      </c>
      <c r="AL95" s="18">
        <v>3.3125</v>
      </c>
      <c r="AM95" s="17">
        <f t="shared" si="11"/>
        <v>6.2827583333333328</v>
      </c>
      <c r="AN95" s="17">
        <f t="shared" si="12"/>
        <v>-0.73329999999999984</v>
      </c>
      <c r="AO95" s="17">
        <f t="shared" si="13"/>
        <v>2.0195000000000007</v>
      </c>
    </row>
    <row r="96" spans="1:41">
      <c r="A96" s="49">
        <v>19870930</v>
      </c>
      <c r="B96" s="49">
        <v>9.4500000000000001E-2</v>
      </c>
      <c r="C96" s="49">
        <v>0.30709999999999998</v>
      </c>
      <c r="D96" s="49">
        <v>2.4066000000000001</v>
      </c>
      <c r="E96" s="49">
        <v>2.6044999999999998</v>
      </c>
      <c r="F96" s="49">
        <v>-2.3597000000000001</v>
      </c>
      <c r="G96" s="49">
        <v>-2.1315</v>
      </c>
      <c r="H96" s="49">
        <v>0.12659999999999999</v>
      </c>
      <c r="I96" s="49">
        <v>0.34570000000000001</v>
      </c>
      <c r="J96" s="49">
        <v>2.8386999999999998</v>
      </c>
      <c r="K96" s="49">
        <v>3.0356000000000001</v>
      </c>
      <c r="L96" s="49">
        <v>-2.5754999999999999</v>
      </c>
      <c r="M96" s="49">
        <v>-2.3342999999999998</v>
      </c>
      <c r="N96" s="49">
        <v>-9.7100000000000006E-2</v>
      </c>
      <c r="O96" s="49">
        <v>7.8200000000000006E-2</v>
      </c>
      <c r="P96" s="49">
        <v>0.31559999999999999</v>
      </c>
      <c r="Q96" s="49">
        <v>0.51849999999999996</v>
      </c>
      <c r="R96" s="49">
        <v>-0.73760000000000003</v>
      </c>
      <c r="S96" s="49">
        <v>-0.60570000000000002</v>
      </c>
      <c r="T96" s="49">
        <v>0.81330000000000002</v>
      </c>
      <c r="U96" s="49">
        <v>1.0687</v>
      </c>
      <c r="V96" s="49">
        <v>6.1558999999999999</v>
      </c>
      <c r="W96" s="49">
        <v>6.3756000000000004</v>
      </c>
      <c r="X96" s="49">
        <v>-3.2761999999999998</v>
      </c>
      <c r="Y96" s="49">
        <v>-2.9935999999999998</v>
      </c>
      <c r="Z96" s="49">
        <v>-0.83009999999999995</v>
      </c>
      <c r="AA96" s="49">
        <v>-0.6613</v>
      </c>
      <c r="AB96" s="49">
        <v>-0.55379999999999996</v>
      </c>
      <c r="AC96" s="49">
        <v>-0.38</v>
      </c>
      <c r="AD96" s="49">
        <v>-1.2278</v>
      </c>
      <c r="AE96" s="49">
        <v>-1.0664</v>
      </c>
      <c r="AH96" s="16">
        <f t="shared" si="7"/>
        <v>19870930</v>
      </c>
      <c r="AI96" s="16">
        <f t="shared" si="8"/>
        <v>0.30709999999999998</v>
      </c>
      <c r="AJ96" s="16">
        <f t="shared" si="9"/>
        <v>6.4940999999999995</v>
      </c>
      <c r="AK96" s="16">
        <f t="shared" si="10"/>
        <v>-0.78850000000000031</v>
      </c>
      <c r="AL96" s="18">
        <v>3.5</v>
      </c>
      <c r="AM96" s="17">
        <f t="shared" si="11"/>
        <v>1.5433333333333299E-2</v>
      </c>
      <c r="AN96" s="17">
        <f t="shared" si="12"/>
        <v>6.4940999999999995</v>
      </c>
      <c r="AO96" s="17">
        <f t="shared" si="13"/>
        <v>-0.78850000000000031</v>
      </c>
    </row>
    <row r="97" spans="1:41">
      <c r="A97" s="49">
        <v>19871031</v>
      </c>
      <c r="B97" s="49">
        <v>-10.455</v>
      </c>
      <c r="C97" s="49">
        <v>-10.45</v>
      </c>
      <c r="D97" s="49">
        <v>-10.6066</v>
      </c>
      <c r="E97" s="49">
        <v>-10.600899999999999</v>
      </c>
      <c r="F97" s="49">
        <v>-10.2858</v>
      </c>
      <c r="G97" s="49">
        <v>-10.281499999999999</v>
      </c>
      <c r="H97" s="49">
        <v>-10.781499999999999</v>
      </c>
      <c r="I97" s="49">
        <v>-10.7776</v>
      </c>
      <c r="J97" s="49">
        <v>-11.1892</v>
      </c>
      <c r="K97" s="49">
        <v>-11.1839</v>
      </c>
      <c r="L97" s="49">
        <v>-10.351900000000001</v>
      </c>
      <c r="M97" s="49">
        <v>-10.349399999999999</v>
      </c>
      <c r="N97" s="49">
        <v>-8.5320999999999998</v>
      </c>
      <c r="O97" s="49">
        <v>-8.5213999999999999</v>
      </c>
      <c r="P97" s="49">
        <v>-7.7253999999999996</v>
      </c>
      <c r="Q97" s="49">
        <v>-7.7183999999999999</v>
      </c>
      <c r="R97" s="49">
        <v>-9.7962000000000007</v>
      </c>
      <c r="S97" s="49">
        <v>-9.7795000000000005</v>
      </c>
      <c r="T97" s="49">
        <v>-10.6936</v>
      </c>
      <c r="U97" s="49">
        <v>-10.692</v>
      </c>
      <c r="V97" s="49">
        <v>-13.1296</v>
      </c>
      <c r="W97" s="49">
        <v>-13.1286</v>
      </c>
      <c r="X97" s="49">
        <v>-8.6418999999999997</v>
      </c>
      <c r="Y97" s="49">
        <v>-8.6399000000000008</v>
      </c>
      <c r="Z97" s="49">
        <v>-10.9054</v>
      </c>
      <c r="AA97" s="49">
        <v>-10.898</v>
      </c>
      <c r="AB97" s="49">
        <v>-9.0684000000000005</v>
      </c>
      <c r="AC97" s="49">
        <v>-9.0582999999999991</v>
      </c>
      <c r="AD97" s="49">
        <v>-13.5707</v>
      </c>
      <c r="AE97" s="49">
        <v>-13.5672</v>
      </c>
      <c r="AH97" s="16">
        <f t="shared" si="7"/>
        <v>19871031</v>
      </c>
      <c r="AI97" s="16">
        <f t="shared" si="8"/>
        <v>-10.45</v>
      </c>
      <c r="AJ97" s="16">
        <f t="shared" si="9"/>
        <v>1.2266000000000004</v>
      </c>
      <c r="AK97" s="16">
        <f t="shared" si="10"/>
        <v>4.0353999999999957</v>
      </c>
      <c r="AL97" s="18">
        <v>3.8125</v>
      </c>
      <c r="AM97" s="17">
        <f t="shared" si="11"/>
        <v>-10.767708333333333</v>
      </c>
      <c r="AN97" s="17">
        <f t="shared" si="12"/>
        <v>1.2266000000000004</v>
      </c>
      <c r="AO97" s="17">
        <f t="shared" si="13"/>
        <v>4.0353999999999957</v>
      </c>
    </row>
    <row r="98" spans="1:41">
      <c r="A98" s="49">
        <v>19871130</v>
      </c>
      <c r="B98" s="49">
        <v>-3.9586000000000001</v>
      </c>
      <c r="C98" s="49">
        <v>-3.9424999999999999</v>
      </c>
      <c r="D98" s="49">
        <v>-3.1511</v>
      </c>
      <c r="E98" s="49">
        <v>-3.1352000000000002</v>
      </c>
      <c r="F98" s="49">
        <v>-4.8582999999999998</v>
      </c>
      <c r="G98" s="49">
        <v>-4.8418999999999999</v>
      </c>
      <c r="H98" s="49">
        <v>-4.2294999999999998</v>
      </c>
      <c r="I98" s="49">
        <v>-4.2164999999999999</v>
      </c>
      <c r="J98" s="49">
        <v>-3.3666</v>
      </c>
      <c r="K98" s="49">
        <v>-3.3540999999999999</v>
      </c>
      <c r="L98" s="49">
        <v>-5.1333000000000002</v>
      </c>
      <c r="M98" s="49">
        <v>-5.1196000000000002</v>
      </c>
      <c r="N98" s="49">
        <v>-2.4028999999999998</v>
      </c>
      <c r="O98" s="49">
        <v>-2.3691</v>
      </c>
      <c r="P98" s="49">
        <v>-2.1230000000000002</v>
      </c>
      <c r="Q98" s="49">
        <v>-2.0908000000000002</v>
      </c>
      <c r="R98" s="49">
        <v>-2.8513999999999999</v>
      </c>
      <c r="S98" s="49">
        <v>-2.8149999999999999</v>
      </c>
      <c r="T98" s="49">
        <v>-4.8815999999999997</v>
      </c>
      <c r="U98" s="49">
        <v>-4.8780999999999999</v>
      </c>
      <c r="V98" s="49">
        <v>-3.2302</v>
      </c>
      <c r="W98" s="49">
        <v>-3.2269000000000001</v>
      </c>
      <c r="X98" s="49">
        <v>-6.2110000000000003</v>
      </c>
      <c r="Y98" s="49">
        <v>-6.2073</v>
      </c>
      <c r="Z98" s="49">
        <v>-3.3054000000000001</v>
      </c>
      <c r="AA98" s="49">
        <v>-3.2786</v>
      </c>
      <c r="AB98" s="49">
        <v>-3.5097999999999998</v>
      </c>
      <c r="AC98" s="49">
        <v>-3.4874999999999998</v>
      </c>
      <c r="AD98" s="49">
        <v>-2.9929999999999999</v>
      </c>
      <c r="AE98" s="49">
        <v>-2.9590999999999998</v>
      </c>
      <c r="AH98" s="16">
        <f t="shared" si="7"/>
        <v>19871130</v>
      </c>
      <c r="AI98" s="16">
        <f t="shared" si="8"/>
        <v>-3.9424999999999999</v>
      </c>
      <c r="AJ98" s="16">
        <f t="shared" si="9"/>
        <v>2.4897</v>
      </c>
      <c r="AK98" s="16">
        <f t="shared" si="10"/>
        <v>3.5679000000000007</v>
      </c>
      <c r="AL98" s="18">
        <v>3.625</v>
      </c>
      <c r="AM98" s="17">
        <f t="shared" si="11"/>
        <v>-4.2445833333333329</v>
      </c>
      <c r="AN98" s="17">
        <f t="shared" si="12"/>
        <v>2.4897</v>
      </c>
      <c r="AO98" s="17">
        <f t="shared" si="13"/>
        <v>3.5679000000000007</v>
      </c>
    </row>
    <row r="99" spans="1:41">
      <c r="A99" s="49">
        <v>19871231</v>
      </c>
      <c r="B99" s="49">
        <v>-6.3117999999999999</v>
      </c>
      <c r="C99" s="49">
        <v>-6.2811000000000003</v>
      </c>
      <c r="D99" s="49">
        <v>-4.8685</v>
      </c>
      <c r="E99" s="49">
        <v>-4.8330000000000002</v>
      </c>
      <c r="F99" s="49">
        <v>-7.9497</v>
      </c>
      <c r="G99" s="49">
        <v>-7.9245000000000001</v>
      </c>
      <c r="H99" s="49">
        <v>-7.3139000000000003</v>
      </c>
      <c r="I99" s="49">
        <v>-7.2843999999999998</v>
      </c>
      <c r="J99" s="49">
        <v>-5.7408999999999999</v>
      </c>
      <c r="K99" s="49">
        <v>-5.7050000000000001</v>
      </c>
      <c r="L99" s="49">
        <v>-8.9931000000000001</v>
      </c>
      <c r="M99" s="49">
        <v>-8.9703999999999997</v>
      </c>
      <c r="N99" s="49">
        <v>-0.66900000000000004</v>
      </c>
      <c r="O99" s="49">
        <v>-0.63160000000000005</v>
      </c>
      <c r="P99" s="49">
        <v>-0.76060000000000005</v>
      </c>
      <c r="Q99" s="49">
        <v>-0.72660000000000002</v>
      </c>
      <c r="R99" s="49">
        <v>-0.52149999999999996</v>
      </c>
      <c r="S99" s="49">
        <v>-0.4783</v>
      </c>
      <c r="T99" s="49">
        <v>-9.6133000000000006</v>
      </c>
      <c r="U99" s="49">
        <v>-9.5893999999999995</v>
      </c>
      <c r="V99" s="49">
        <v>-7.2267999999999999</v>
      </c>
      <c r="W99" s="49">
        <v>-7.1928999999999998</v>
      </c>
      <c r="X99" s="49">
        <v>-11.597300000000001</v>
      </c>
      <c r="Y99" s="49">
        <v>-11.5816</v>
      </c>
      <c r="Z99" s="49">
        <v>-4.1087999999999996</v>
      </c>
      <c r="AA99" s="49">
        <v>-4.0715000000000003</v>
      </c>
      <c r="AB99" s="49">
        <v>-4.1825000000000001</v>
      </c>
      <c r="AC99" s="49">
        <v>-4.1445999999999996</v>
      </c>
      <c r="AD99" s="49">
        <v>-3.9967000000000001</v>
      </c>
      <c r="AE99" s="49">
        <v>-3.9601999999999999</v>
      </c>
      <c r="AH99" s="16">
        <f t="shared" si="7"/>
        <v>19871231</v>
      </c>
      <c r="AI99" s="16">
        <f t="shared" si="8"/>
        <v>-6.2811000000000003</v>
      </c>
      <c r="AJ99" s="16">
        <f t="shared" si="9"/>
        <v>3.0170999999999997</v>
      </c>
      <c r="AK99" s="16">
        <f t="shared" si="10"/>
        <v>13.470499999999999</v>
      </c>
      <c r="AL99" s="18">
        <v>3.75</v>
      </c>
      <c r="AM99" s="17">
        <f t="shared" si="11"/>
        <v>-6.5936000000000003</v>
      </c>
      <c r="AN99" s="17">
        <f t="shared" si="12"/>
        <v>3.0170999999999997</v>
      </c>
      <c r="AO99" s="17">
        <f t="shared" si="13"/>
        <v>13.470499999999999</v>
      </c>
    </row>
    <row r="100" spans="1:41">
      <c r="A100" s="49">
        <v>19880131</v>
      </c>
      <c r="B100" s="49">
        <v>11.1076</v>
      </c>
      <c r="C100" s="49">
        <v>11.1183</v>
      </c>
      <c r="D100" s="49">
        <v>11.4701</v>
      </c>
      <c r="E100" s="49">
        <v>11.4756</v>
      </c>
      <c r="F100" s="49">
        <v>10.727499999999999</v>
      </c>
      <c r="G100" s="49">
        <v>10.7439</v>
      </c>
      <c r="H100" s="49">
        <v>11.1823</v>
      </c>
      <c r="I100" s="49">
        <v>11.1936</v>
      </c>
      <c r="J100" s="49">
        <v>11.5952</v>
      </c>
      <c r="K100" s="49">
        <v>11.599299999999999</v>
      </c>
      <c r="L100" s="49">
        <v>10.7645</v>
      </c>
      <c r="M100" s="49">
        <v>10.782999999999999</v>
      </c>
      <c r="N100" s="49">
        <v>10.7164</v>
      </c>
      <c r="O100" s="49">
        <v>10.724600000000001</v>
      </c>
      <c r="P100" s="49">
        <v>10.88</v>
      </c>
      <c r="Q100" s="49">
        <v>10.891500000000001</v>
      </c>
      <c r="R100" s="49">
        <v>10.510199999999999</v>
      </c>
      <c r="S100" s="49">
        <v>10.514200000000001</v>
      </c>
      <c r="T100" s="49">
        <v>11.985200000000001</v>
      </c>
      <c r="U100" s="49">
        <v>11.9993</v>
      </c>
      <c r="V100" s="49">
        <v>11.9671</v>
      </c>
      <c r="W100" s="49">
        <v>11.967700000000001</v>
      </c>
      <c r="X100" s="49">
        <v>12.000299999999999</v>
      </c>
      <c r="Y100" s="49">
        <v>12.0258</v>
      </c>
      <c r="Z100" s="49">
        <v>10.076499999999999</v>
      </c>
      <c r="AA100" s="49">
        <v>10.0838</v>
      </c>
      <c r="AB100" s="49">
        <v>11.178599999999999</v>
      </c>
      <c r="AC100" s="49">
        <v>11.1866</v>
      </c>
      <c r="AD100" s="49">
        <v>8.6516000000000002</v>
      </c>
      <c r="AE100" s="49">
        <v>8.6580999999999992</v>
      </c>
      <c r="AH100" s="16">
        <f t="shared" si="7"/>
        <v>19880131</v>
      </c>
      <c r="AI100" s="16">
        <f t="shared" si="8"/>
        <v>11.1183</v>
      </c>
      <c r="AJ100" s="16">
        <f t="shared" si="9"/>
        <v>1.1936</v>
      </c>
      <c r="AK100" s="16">
        <f t="shared" si="10"/>
        <v>-0.97659999999999769</v>
      </c>
      <c r="AL100" s="18">
        <v>4.125</v>
      </c>
      <c r="AM100" s="17">
        <f t="shared" si="11"/>
        <v>10.77455</v>
      </c>
      <c r="AN100" s="17">
        <f t="shared" si="12"/>
        <v>1.1936</v>
      </c>
      <c r="AO100" s="17">
        <f t="shared" si="13"/>
        <v>-0.97659999999999769</v>
      </c>
    </row>
    <row r="101" spans="1:41">
      <c r="A101" s="49">
        <v>19880229</v>
      </c>
      <c r="B101" s="49">
        <v>8.1371000000000002</v>
      </c>
      <c r="C101" s="49">
        <v>8.1547999999999998</v>
      </c>
      <c r="D101" s="49">
        <v>8.0440000000000005</v>
      </c>
      <c r="E101" s="49">
        <v>8.0694999999999997</v>
      </c>
      <c r="F101" s="49">
        <v>8.2353000000000005</v>
      </c>
      <c r="G101" s="49">
        <v>8.2448999999999995</v>
      </c>
      <c r="H101" s="49">
        <v>8.2486999999999995</v>
      </c>
      <c r="I101" s="49">
        <v>8.2645999999999997</v>
      </c>
      <c r="J101" s="49">
        <v>8.1934000000000005</v>
      </c>
      <c r="K101" s="49">
        <v>8.2199000000000009</v>
      </c>
      <c r="L101" s="49">
        <v>8.3050999999999995</v>
      </c>
      <c r="M101" s="49">
        <v>8.3102</v>
      </c>
      <c r="N101" s="49">
        <v>7.5514000000000001</v>
      </c>
      <c r="O101" s="49">
        <v>7.5791000000000004</v>
      </c>
      <c r="P101" s="49">
        <v>7.3346</v>
      </c>
      <c r="Q101" s="49">
        <v>7.3554000000000004</v>
      </c>
      <c r="R101" s="49">
        <v>7.8258000000000001</v>
      </c>
      <c r="S101" s="49">
        <v>7.8621999999999996</v>
      </c>
      <c r="T101" s="49">
        <v>8.6199999999999992</v>
      </c>
      <c r="U101" s="49">
        <v>8.6229999999999993</v>
      </c>
      <c r="V101" s="49">
        <v>7.7145000000000001</v>
      </c>
      <c r="W101" s="49">
        <v>7.7211999999999996</v>
      </c>
      <c r="X101" s="49">
        <v>9.3870000000000005</v>
      </c>
      <c r="Y101" s="49">
        <v>9.3870000000000005</v>
      </c>
      <c r="Z101" s="49">
        <v>7.7287999999999997</v>
      </c>
      <c r="AA101" s="49">
        <v>7.7625000000000002</v>
      </c>
      <c r="AB101" s="49">
        <v>8.7333999999999996</v>
      </c>
      <c r="AC101" s="49">
        <v>8.7822999999999993</v>
      </c>
      <c r="AD101" s="49">
        <v>6.3996000000000004</v>
      </c>
      <c r="AE101" s="49">
        <v>6.4137000000000004</v>
      </c>
      <c r="AH101" s="16">
        <f t="shared" si="7"/>
        <v>19880229</v>
      </c>
      <c r="AI101" s="16">
        <f t="shared" si="8"/>
        <v>8.1547999999999998</v>
      </c>
      <c r="AJ101" s="16">
        <f t="shared" si="9"/>
        <v>-0.59709999999999841</v>
      </c>
      <c r="AK101" s="16">
        <f t="shared" si="10"/>
        <v>-1.3125</v>
      </c>
      <c r="AL101" s="18">
        <v>4</v>
      </c>
      <c r="AM101" s="17">
        <f t="shared" si="11"/>
        <v>7.8214666666666668</v>
      </c>
      <c r="AN101" s="17">
        <f t="shared" si="12"/>
        <v>-0.59709999999999841</v>
      </c>
      <c r="AO101" s="17">
        <f t="shared" si="13"/>
        <v>-1.3125</v>
      </c>
    </row>
    <row r="102" spans="1:41">
      <c r="A102" s="49">
        <v>19880331</v>
      </c>
      <c r="B102" s="49">
        <v>3.7153999999999998</v>
      </c>
      <c r="C102" s="49">
        <v>3.9902000000000002</v>
      </c>
      <c r="D102" s="49">
        <v>4.8644999999999996</v>
      </c>
      <c r="E102" s="49">
        <v>5.1936</v>
      </c>
      <c r="F102" s="49">
        <v>2.5047999999999999</v>
      </c>
      <c r="G102" s="49">
        <v>2.7231000000000001</v>
      </c>
      <c r="H102" s="49">
        <v>4.0631000000000004</v>
      </c>
      <c r="I102" s="49">
        <v>4.3365</v>
      </c>
      <c r="J102" s="49">
        <v>5.3545999999999996</v>
      </c>
      <c r="K102" s="49">
        <v>5.681</v>
      </c>
      <c r="L102" s="49">
        <v>2.7471999999999999</v>
      </c>
      <c r="M102" s="49">
        <v>2.9670999999999998</v>
      </c>
      <c r="N102" s="49">
        <v>1.8849</v>
      </c>
      <c r="O102" s="49">
        <v>2.1673</v>
      </c>
      <c r="P102" s="49">
        <v>2.5266000000000002</v>
      </c>
      <c r="Q102" s="49">
        <v>2.8679000000000001</v>
      </c>
      <c r="R102" s="49">
        <v>1.0788</v>
      </c>
      <c r="S102" s="49">
        <v>1.2868999999999999</v>
      </c>
      <c r="T102" s="49">
        <v>4.9229000000000003</v>
      </c>
      <c r="U102" s="49">
        <v>5.1883999999999997</v>
      </c>
      <c r="V102" s="49">
        <v>6.9089</v>
      </c>
      <c r="W102" s="49">
        <v>7.2431000000000001</v>
      </c>
      <c r="X102" s="49">
        <v>3.2656000000000001</v>
      </c>
      <c r="Y102" s="49">
        <v>3.4746999999999999</v>
      </c>
      <c r="Z102" s="49">
        <v>2.8504</v>
      </c>
      <c r="AA102" s="49">
        <v>3.1347999999999998</v>
      </c>
      <c r="AB102" s="49">
        <v>3.6202000000000001</v>
      </c>
      <c r="AC102" s="49">
        <v>3.9380000000000002</v>
      </c>
      <c r="AD102" s="49">
        <v>1.8093999999999999</v>
      </c>
      <c r="AE102" s="49">
        <v>2.0489000000000002</v>
      </c>
      <c r="AH102" s="16">
        <f t="shared" si="7"/>
        <v>19880331</v>
      </c>
      <c r="AI102" s="16">
        <f t="shared" si="8"/>
        <v>3.9902000000000002</v>
      </c>
      <c r="AJ102" s="16">
        <f t="shared" si="9"/>
        <v>4.2949000000000002</v>
      </c>
      <c r="AK102" s="16">
        <f t="shared" si="10"/>
        <v>-4.4932999999999996</v>
      </c>
      <c r="AL102" s="18">
        <v>4.0625</v>
      </c>
      <c r="AM102" s="17">
        <f t="shared" si="11"/>
        <v>3.6516583333333337</v>
      </c>
      <c r="AN102" s="17">
        <f t="shared" si="12"/>
        <v>4.2949000000000002</v>
      </c>
      <c r="AO102" s="17">
        <f t="shared" si="13"/>
        <v>-4.4932999999999996</v>
      </c>
    </row>
    <row r="103" spans="1:41">
      <c r="A103" s="49">
        <v>19880430</v>
      </c>
      <c r="B103" s="49">
        <v>2.9228999999999998</v>
      </c>
      <c r="C103" s="49">
        <v>2.9275000000000002</v>
      </c>
      <c r="D103" s="49">
        <v>3.5709</v>
      </c>
      <c r="E103" s="49">
        <v>3.5767000000000002</v>
      </c>
      <c r="F103" s="49">
        <v>2.2235</v>
      </c>
      <c r="G103" s="49">
        <v>2.2267999999999999</v>
      </c>
      <c r="H103" s="49">
        <v>2.2993000000000001</v>
      </c>
      <c r="I103" s="49">
        <v>2.3033000000000001</v>
      </c>
      <c r="J103" s="49">
        <v>2.9376000000000002</v>
      </c>
      <c r="K103" s="49">
        <v>2.9430000000000001</v>
      </c>
      <c r="L103" s="49">
        <v>1.6316999999999999</v>
      </c>
      <c r="M103" s="49">
        <v>1.6341000000000001</v>
      </c>
      <c r="N103" s="49">
        <v>6.2667000000000002</v>
      </c>
      <c r="O103" s="49">
        <v>6.2750000000000004</v>
      </c>
      <c r="P103" s="49">
        <v>6.6666999999999996</v>
      </c>
      <c r="Q103" s="49">
        <v>6.6746999999999996</v>
      </c>
      <c r="R103" s="49">
        <v>5.7558999999999996</v>
      </c>
      <c r="S103" s="49">
        <v>5.7645999999999997</v>
      </c>
      <c r="T103" s="49">
        <v>1.2267999999999999</v>
      </c>
      <c r="U103" s="49">
        <v>1.2282999999999999</v>
      </c>
      <c r="V103" s="49">
        <v>2.0041000000000002</v>
      </c>
      <c r="W103" s="49">
        <v>2.0049999999999999</v>
      </c>
      <c r="X103" s="49">
        <v>0.55269999999999997</v>
      </c>
      <c r="Y103" s="49">
        <v>0.55459999999999998</v>
      </c>
      <c r="Z103" s="49">
        <v>3.8443999999999998</v>
      </c>
      <c r="AA103" s="49">
        <v>3.8519000000000001</v>
      </c>
      <c r="AB103" s="49">
        <v>4.0176999999999996</v>
      </c>
      <c r="AC103" s="49">
        <v>4.0284000000000004</v>
      </c>
      <c r="AD103" s="49">
        <v>3.6065</v>
      </c>
      <c r="AE103" s="49">
        <v>3.6097000000000001</v>
      </c>
      <c r="AH103" s="16">
        <f t="shared" si="7"/>
        <v>19880430</v>
      </c>
      <c r="AI103" s="16">
        <f t="shared" si="8"/>
        <v>2.9275000000000002</v>
      </c>
      <c r="AJ103" s="16">
        <f t="shared" si="9"/>
        <v>2.2189999999999999</v>
      </c>
      <c r="AK103" s="16">
        <f t="shared" si="10"/>
        <v>7.8621999999999996</v>
      </c>
      <c r="AL103" s="18">
        <v>5</v>
      </c>
      <c r="AM103" s="17">
        <f t="shared" si="11"/>
        <v>2.5108333333333337</v>
      </c>
      <c r="AN103" s="17">
        <f t="shared" si="12"/>
        <v>2.2189999999999999</v>
      </c>
      <c r="AO103" s="17">
        <f t="shared" si="13"/>
        <v>7.8621999999999996</v>
      </c>
    </row>
    <row r="104" spans="1:41">
      <c r="A104" s="49">
        <v>19880531</v>
      </c>
      <c r="B104" s="49">
        <v>-2.5842999999999998</v>
      </c>
      <c r="C104" s="49">
        <v>-2.5760000000000001</v>
      </c>
      <c r="D104" s="49">
        <v>-0.97889999999999999</v>
      </c>
      <c r="E104" s="49">
        <v>-0.96960000000000002</v>
      </c>
      <c r="F104" s="49">
        <v>-4.3434999999999997</v>
      </c>
      <c r="G104" s="49">
        <v>-4.3362999999999996</v>
      </c>
      <c r="H104" s="49">
        <v>-3.6619000000000002</v>
      </c>
      <c r="I104" s="49">
        <v>-3.6551999999999998</v>
      </c>
      <c r="J104" s="49">
        <v>-2.1970000000000001</v>
      </c>
      <c r="K104" s="49">
        <v>-2.1892999999999998</v>
      </c>
      <c r="L104" s="49">
        <v>-5.2173999999999996</v>
      </c>
      <c r="M104" s="49">
        <v>-5.2115999999999998</v>
      </c>
      <c r="N104" s="49">
        <v>2.9767999999999999</v>
      </c>
      <c r="O104" s="49">
        <v>2.9929000000000001</v>
      </c>
      <c r="P104" s="49">
        <v>4.7668999999999997</v>
      </c>
      <c r="Q104" s="49">
        <v>4.7832999999999997</v>
      </c>
      <c r="R104" s="49">
        <v>0.66649999999999998</v>
      </c>
      <c r="S104" s="49">
        <v>0.68230000000000002</v>
      </c>
      <c r="T104" s="49">
        <v>-5.2328000000000001</v>
      </c>
      <c r="U104" s="49">
        <v>-5.2287999999999997</v>
      </c>
      <c r="V104" s="49">
        <v>-3.7749000000000001</v>
      </c>
      <c r="W104" s="49">
        <v>-3.7664</v>
      </c>
      <c r="X104" s="49">
        <v>-6.5189000000000004</v>
      </c>
      <c r="Y104" s="49">
        <v>-6.5189000000000004</v>
      </c>
      <c r="Z104" s="49">
        <v>-1.4571000000000001</v>
      </c>
      <c r="AA104" s="49">
        <v>-1.4463999999999999</v>
      </c>
      <c r="AB104" s="49">
        <v>-0.40679999999999999</v>
      </c>
      <c r="AC104" s="49">
        <v>-0.4</v>
      </c>
      <c r="AD104" s="49">
        <v>-2.9072</v>
      </c>
      <c r="AE104" s="49">
        <v>-2.8910999999999998</v>
      </c>
      <c r="AH104" s="16">
        <f t="shared" si="7"/>
        <v>19880531</v>
      </c>
      <c r="AI104" s="16">
        <f t="shared" si="8"/>
        <v>-2.5760000000000001</v>
      </c>
      <c r="AJ104" s="16">
        <f t="shared" si="9"/>
        <v>7.1233000000000004</v>
      </c>
      <c r="AK104" s="16">
        <f t="shared" si="10"/>
        <v>12.866499999999998</v>
      </c>
      <c r="AL104" s="18">
        <v>3.5625</v>
      </c>
      <c r="AM104" s="17">
        <f t="shared" si="11"/>
        <v>-2.8728750000000001</v>
      </c>
      <c r="AN104" s="17">
        <f t="shared" si="12"/>
        <v>7.1233000000000004</v>
      </c>
      <c r="AO104" s="17">
        <f t="shared" si="13"/>
        <v>12.866499999999998</v>
      </c>
    </row>
    <row r="105" spans="1:41">
      <c r="A105" s="49">
        <v>19880630</v>
      </c>
      <c r="B105" s="49">
        <v>2.8277999999999999</v>
      </c>
      <c r="C105" s="49">
        <v>2.8466</v>
      </c>
      <c r="D105" s="49">
        <v>4.8478000000000003</v>
      </c>
      <c r="E105" s="49">
        <v>4.8715000000000002</v>
      </c>
      <c r="F105" s="49">
        <v>0.53359999999999996</v>
      </c>
      <c r="G105" s="49">
        <v>0.54700000000000004</v>
      </c>
      <c r="H105" s="49">
        <v>3.1901000000000002</v>
      </c>
      <c r="I105" s="49">
        <v>3.21</v>
      </c>
      <c r="J105" s="49">
        <v>5.6006</v>
      </c>
      <c r="K105" s="49">
        <v>5.6265999999999998</v>
      </c>
      <c r="L105" s="49">
        <v>0.54620000000000002</v>
      </c>
      <c r="M105" s="49">
        <v>0.55959999999999999</v>
      </c>
      <c r="N105" s="49">
        <v>1.0851</v>
      </c>
      <c r="O105" s="49">
        <v>1.0986</v>
      </c>
      <c r="P105" s="49">
        <v>1.5434000000000001</v>
      </c>
      <c r="Q105" s="49">
        <v>1.5569</v>
      </c>
      <c r="R105" s="49">
        <v>0.46850000000000003</v>
      </c>
      <c r="S105" s="49">
        <v>0.48199999999999998</v>
      </c>
      <c r="T105" s="49">
        <v>3.6722000000000001</v>
      </c>
      <c r="U105" s="49">
        <v>3.6938</v>
      </c>
      <c r="V105" s="49">
        <v>7.0781000000000001</v>
      </c>
      <c r="W105" s="49">
        <v>7.1134000000000004</v>
      </c>
      <c r="X105" s="49">
        <v>0.57750000000000001</v>
      </c>
      <c r="Y105" s="49">
        <v>0.58699999999999997</v>
      </c>
      <c r="Z105" s="49">
        <v>2.5406</v>
      </c>
      <c r="AA105" s="49">
        <v>2.5583</v>
      </c>
      <c r="AB105" s="49">
        <v>3.9834999999999998</v>
      </c>
      <c r="AC105" s="49">
        <v>3.9996</v>
      </c>
      <c r="AD105" s="49">
        <v>0.49349999999999999</v>
      </c>
      <c r="AE105" s="49">
        <v>0.51339999999999997</v>
      </c>
      <c r="AH105" s="16">
        <f t="shared" si="7"/>
        <v>19880630</v>
      </c>
      <c r="AI105" s="16">
        <f t="shared" si="8"/>
        <v>2.8466</v>
      </c>
      <c r="AJ105" s="16">
        <f t="shared" si="9"/>
        <v>6.1418999999999997</v>
      </c>
      <c r="AK105" s="16">
        <f t="shared" si="10"/>
        <v>-4.1472999999999995</v>
      </c>
      <c r="AL105" s="18">
        <v>3.5</v>
      </c>
      <c r="AM105" s="17">
        <f t="shared" si="11"/>
        <v>2.5549333333333335</v>
      </c>
      <c r="AN105" s="17">
        <f t="shared" si="12"/>
        <v>6.1418999999999997</v>
      </c>
      <c r="AO105" s="17">
        <f t="shared" si="13"/>
        <v>-4.1472999999999995</v>
      </c>
    </row>
    <row r="106" spans="1:41">
      <c r="A106" s="49">
        <v>19880731</v>
      </c>
      <c r="B106" s="49">
        <v>3.1776</v>
      </c>
      <c r="C106" s="49">
        <v>3.1798000000000002</v>
      </c>
      <c r="D106" s="49">
        <v>4.6356999999999999</v>
      </c>
      <c r="E106" s="49">
        <v>4.6380999999999997</v>
      </c>
      <c r="F106" s="49">
        <v>1.4473</v>
      </c>
      <c r="G106" s="49">
        <v>1.4492</v>
      </c>
      <c r="H106" s="49">
        <v>4.5426000000000002</v>
      </c>
      <c r="I106" s="49">
        <v>4.5449000000000002</v>
      </c>
      <c r="J106" s="49">
        <v>6.4374000000000002</v>
      </c>
      <c r="K106" s="49">
        <v>6.4398999999999997</v>
      </c>
      <c r="L106" s="49">
        <v>2.3555000000000001</v>
      </c>
      <c r="M106" s="49">
        <v>2.3576000000000001</v>
      </c>
      <c r="N106" s="49">
        <v>-3.5167000000000002</v>
      </c>
      <c r="O106" s="49">
        <v>-3.5150000000000001</v>
      </c>
      <c r="P106" s="49">
        <v>-3.5777999999999999</v>
      </c>
      <c r="Q106" s="49">
        <v>-3.5756000000000001</v>
      </c>
      <c r="R106" s="49">
        <v>-3.4333999999999998</v>
      </c>
      <c r="S106" s="49">
        <v>-3.4323999999999999</v>
      </c>
      <c r="T106" s="49">
        <v>8.1241000000000003</v>
      </c>
      <c r="U106" s="49">
        <v>8.1241000000000003</v>
      </c>
      <c r="V106" s="49">
        <v>12.568300000000001</v>
      </c>
      <c r="W106" s="49">
        <v>12.568300000000001</v>
      </c>
      <c r="X106" s="49">
        <v>3.8182</v>
      </c>
      <c r="Y106" s="49">
        <v>3.8182</v>
      </c>
      <c r="Z106" s="49">
        <v>-0.32929999999999998</v>
      </c>
      <c r="AA106" s="49">
        <v>-0.32390000000000002</v>
      </c>
      <c r="AB106" s="49">
        <v>-0.45729999999999998</v>
      </c>
      <c r="AC106" s="49">
        <v>-0.4521</v>
      </c>
      <c r="AD106" s="49">
        <v>-0.14130000000000001</v>
      </c>
      <c r="AE106" s="49">
        <v>-0.1356</v>
      </c>
      <c r="AH106" s="16">
        <f t="shared" si="7"/>
        <v>19880731</v>
      </c>
      <c r="AI106" s="16">
        <f t="shared" si="8"/>
        <v>3.1798000000000002</v>
      </c>
      <c r="AJ106" s="16">
        <f t="shared" si="9"/>
        <v>3.9390999999999998</v>
      </c>
      <c r="AK106" s="16">
        <f t="shared" si="10"/>
        <v>-15.805499999999999</v>
      </c>
      <c r="AL106" s="18">
        <v>3.8125</v>
      </c>
      <c r="AM106" s="17">
        <f t="shared" si="11"/>
        <v>2.8620916666666667</v>
      </c>
      <c r="AN106" s="17">
        <f t="shared" si="12"/>
        <v>3.9390999999999998</v>
      </c>
      <c r="AO106" s="17">
        <f t="shared" si="13"/>
        <v>-15.805499999999999</v>
      </c>
    </row>
    <row r="107" spans="1:41">
      <c r="A107" s="49">
        <v>19880831</v>
      </c>
      <c r="B107" s="49">
        <v>-5.1673</v>
      </c>
      <c r="C107" s="49">
        <v>-5.1599000000000004</v>
      </c>
      <c r="D107" s="49">
        <v>-5.3368000000000002</v>
      </c>
      <c r="E107" s="49">
        <v>-5.327</v>
      </c>
      <c r="F107" s="49">
        <v>-4.9592999999999998</v>
      </c>
      <c r="G107" s="49">
        <v>-4.9550999999999998</v>
      </c>
      <c r="H107" s="49">
        <v>-5.7306999999999997</v>
      </c>
      <c r="I107" s="49">
        <v>-5.7239000000000004</v>
      </c>
      <c r="J107" s="49">
        <v>-6.0415999999999999</v>
      </c>
      <c r="K107" s="49">
        <v>-6.0313999999999997</v>
      </c>
      <c r="L107" s="49">
        <v>-5.3564999999999996</v>
      </c>
      <c r="M107" s="49">
        <v>-5.3539000000000003</v>
      </c>
      <c r="N107" s="49">
        <v>-2.1711999999999998</v>
      </c>
      <c r="O107" s="49">
        <v>-2.161</v>
      </c>
      <c r="P107" s="49">
        <v>-1.7826</v>
      </c>
      <c r="Q107" s="49">
        <v>-1.7746999999999999</v>
      </c>
      <c r="R107" s="49">
        <v>-2.6993</v>
      </c>
      <c r="S107" s="49">
        <v>-2.6859999999999999</v>
      </c>
      <c r="T107" s="49">
        <v>-7.7008999999999999</v>
      </c>
      <c r="U107" s="49">
        <v>-7.6985000000000001</v>
      </c>
      <c r="V107" s="49">
        <v>-8.6626999999999992</v>
      </c>
      <c r="W107" s="49">
        <v>-8.6580999999999992</v>
      </c>
      <c r="X107" s="49">
        <v>-6.6853999999999996</v>
      </c>
      <c r="Y107" s="49">
        <v>-6.6853999999999996</v>
      </c>
      <c r="Z107" s="49">
        <v>-2.8214000000000001</v>
      </c>
      <c r="AA107" s="49">
        <v>-2.8079999999999998</v>
      </c>
      <c r="AB107" s="49">
        <v>-2.6991000000000001</v>
      </c>
      <c r="AC107" s="49">
        <v>-2.6816</v>
      </c>
      <c r="AD107" s="49">
        <v>-3.0013000000000001</v>
      </c>
      <c r="AE107" s="49">
        <v>-2.9939</v>
      </c>
      <c r="AH107" s="16">
        <f t="shared" si="7"/>
        <v>19880831</v>
      </c>
      <c r="AI107" s="16">
        <f t="shared" si="8"/>
        <v>-5.1599000000000004</v>
      </c>
      <c r="AJ107" s="16">
        <f t="shared" si="9"/>
        <v>0.23380000000000067</v>
      </c>
      <c r="AK107" s="16">
        <f t="shared" si="10"/>
        <v>6.9246000000000008</v>
      </c>
      <c r="AL107" s="18">
        <v>3.9375</v>
      </c>
      <c r="AM107" s="17">
        <f t="shared" si="11"/>
        <v>-5.4880250000000004</v>
      </c>
      <c r="AN107" s="17">
        <f t="shared" si="12"/>
        <v>0.23380000000000067</v>
      </c>
      <c r="AO107" s="17">
        <f t="shared" si="13"/>
        <v>6.9246000000000008</v>
      </c>
    </row>
    <row r="108" spans="1:41">
      <c r="A108" s="49">
        <v>19880930</v>
      </c>
      <c r="B108" s="49">
        <v>1.5145999999999999</v>
      </c>
      <c r="C108" s="49">
        <v>1.7574000000000001</v>
      </c>
      <c r="D108" s="49">
        <v>3.7241</v>
      </c>
      <c r="E108" s="49">
        <v>3.9634999999999998</v>
      </c>
      <c r="F108" s="49">
        <v>-1.1883999999999999</v>
      </c>
      <c r="G108" s="49">
        <v>-0.94140000000000001</v>
      </c>
      <c r="H108" s="49">
        <v>2.1223999999999998</v>
      </c>
      <c r="I108" s="49">
        <v>2.375</v>
      </c>
      <c r="J108" s="49">
        <v>4.6454000000000004</v>
      </c>
      <c r="K108" s="49">
        <v>4.8893000000000004</v>
      </c>
      <c r="L108" s="49">
        <v>-0.89639999999999997</v>
      </c>
      <c r="M108" s="49">
        <v>-0.63360000000000005</v>
      </c>
      <c r="N108" s="49">
        <v>-1.5991</v>
      </c>
      <c r="O108" s="49">
        <v>-1.4052</v>
      </c>
      <c r="P108" s="49">
        <v>-0.72119999999999995</v>
      </c>
      <c r="Q108" s="49">
        <v>-0.50380000000000003</v>
      </c>
      <c r="R108" s="49">
        <v>-2.8029999999999999</v>
      </c>
      <c r="S108" s="49">
        <v>-2.6415000000000002</v>
      </c>
      <c r="T108" s="49">
        <v>2.7768999999999999</v>
      </c>
      <c r="U108" s="49">
        <v>3.0586000000000002</v>
      </c>
      <c r="V108" s="49">
        <v>5.8849</v>
      </c>
      <c r="W108" s="49">
        <v>6.1406999999999998</v>
      </c>
      <c r="X108" s="49">
        <v>-0.43809999999999999</v>
      </c>
      <c r="Y108" s="49">
        <v>-0.12939999999999999</v>
      </c>
      <c r="Z108" s="49">
        <v>1.2040999999999999</v>
      </c>
      <c r="AA108" s="49">
        <v>1.4162999999999999</v>
      </c>
      <c r="AB108" s="49">
        <v>3.1606999999999998</v>
      </c>
      <c r="AC108" s="49">
        <v>3.3904999999999998</v>
      </c>
      <c r="AD108" s="49">
        <v>-1.6783999999999999</v>
      </c>
      <c r="AE108" s="49">
        <v>-1.4918</v>
      </c>
      <c r="AH108" s="16">
        <f t="shared" si="7"/>
        <v>19880930</v>
      </c>
      <c r="AI108" s="16">
        <f t="shared" si="8"/>
        <v>1.7574000000000001</v>
      </c>
      <c r="AJ108" s="16">
        <f t="shared" si="9"/>
        <v>7.6606000000000005</v>
      </c>
      <c r="AK108" s="16">
        <f t="shared" si="10"/>
        <v>-7.4009999999999998</v>
      </c>
      <c r="AL108" s="18">
        <v>4.1875</v>
      </c>
      <c r="AM108" s="17">
        <f t="shared" si="11"/>
        <v>1.4084416666666668</v>
      </c>
      <c r="AN108" s="17">
        <f t="shared" si="12"/>
        <v>7.6606000000000005</v>
      </c>
      <c r="AO108" s="17">
        <f t="shared" si="13"/>
        <v>-7.4009999999999998</v>
      </c>
    </row>
    <row r="109" spans="1:41">
      <c r="A109" s="49">
        <v>19881031</v>
      </c>
      <c r="B109" s="49">
        <v>8.6300000000000002E-2</v>
      </c>
      <c r="C109" s="49">
        <v>9.0399999999999994E-2</v>
      </c>
      <c r="D109" s="49">
        <v>0.75890000000000002</v>
      </c>
      <c r="E109" s="49">
        <v>0.76370000000000005</v>
      </c>
      <c r="F109" s="49">
        <v>-0.77749999999999997</v>
      </c>
      <c r="G109" s="49">
        <v>-0.7742</v>
      </c>
      <c r="H109" s="49">
        <v>0.4325</v>
      </c>
      <c r="I109" s="49">
        <v>0.43619999999999998</v>
      </c>
      <c r="J109" s="49">
        <v>0.97009999999999996</v>
      </c>
      <c r="K109" s="49">
        <v>0.97509999999999997</v>
      </c>
      <c r="L109" s="49">
        <v>-0.2467</v>
      </c>
      <c r="M109" s="49">
        <v>-0.2447</v>
      </c>
      <c r="N109" s="49">
        <v>-1.7535000000000001</v>
      </c>
      <c r="O109" s="49">
        <v>-1.7473000000000001</v>
      </c>
      <c r="P109" s="49">
        <v>-0.31519999999999998</v>
      </c>
      <c r="Q109" s="49">
        <v>-0.31159999999999999</v>
      </c>
      <c r="R109" s="49">
        <v>-3.7692999999999999</v>
      </c>
      <c r="S109" s="49">
        <v>-3.7593999999999999</v>
      </c>
      <c r="T109" s="49">
        <v>0.96140000000000003</v>
      </c>
      <c r="U109" s="49">
        <v>0.96289999999999998</v>
      </c>
      <c r="V109" s="49">
        <v>0.3407</v>
      </c>
      <c r="W109" s="49">
        <v>0.34160000000000001</v>
      </c>
      <c r="X109" s="49">
        <v>1.6435</v>
      </c>
      <c r="Y109" s="49">
        <v>1.6457999999999999</v>
      </c>
      <c r="Z109" s="49">
        <v>-0.32040000000000002</v>
      </c>
      <c r="AA109" s="49">
        <v>-0.31359999999999999</v>
      </c>
      <c r="AB109" s="49">
        <v>1.7413000000000001</v>
      </c>
      <c r="AC109" s="49">
        <v>1.7514000000000001</v>
      </c>
      <c r="AD109" s="49">
        <v>-3.5167000000000002</v>
      </c>
      <c r="AE109" s="49">
        <v>-3.5150000000000001</v>
      </c>
      <c r="AH109" s="16">
        <f t="shared" si="7"/>
        <v>19881031</v>
      </c>
      <c r="AI109" s="16">
        <f t="shared" si="8"/>
        <v>9.0399999999999994E-2</v>
      </c>
      <c r="AJ109" s="16">
        <f t="shared" si="9"/>
        <v>4.6676000000000002</v>
      </c>
      <c r="AK109" s="16">
        <f t="shared" si="10"/>
        <v>-4.8013999999999992</v>
      </c>
      <c r="AL109" s="18">
        <v>5</v>
      </c>
      <c r="AM109" s="17">
        <f t="shared" si="11"/>
        <v>-0.3262666666666667</v>
      </c>
      <c r="AN109" s="17">
        <f t="shared" si="12"/>
        <v>4.6676000000000002</v>
      </c>
      <c r="AO109" s="17">
        <f t="shared" si="13"/>
        <v>-4.8013999999999992</v>
      </c>
    </row>
    <row r="110" spans="1:41">
      <c r="A110" s="49">
        <v>19881130</v>
      </c>
      <c r="B110" s="49">
        <v>5.6672000000000002</v>
      </c>
      <c r="C110" s="49">
        <v>5.6776</v>
      </c>
      <c r="D110" s="49">
        <v>5.3365</v>
      </c>
      <c r="E110" s="49">
        <v>5.3456000000000001</v>
      </c>
      <c r="F110" s="49">
        <v>6.0989000000000004</v>
      </c>
      <c r="G110" s="49">
        <v>6.1109999999999998</v>
      </c>
      <c r="H110" s="49">
        <v>5.5172999999999996</v>
      </c>
      <c r="I110" s="49">
        <v>5.5258000000000003</v>
      </c>
      <c r="J110" s="49">
        <v>5.1271000000000004</v>
      </c>
      <c r="K110" s="49">
        <v>5.1346999999999996</v>
      </c>
      <c r="L110" s="49">
        <v>6.0166000000000004</v>
      </c>
      <c r="M110" s="49">
        <v>6.0263999999999998</v>
      </c>
      <c r="N110" s="49">
        <v>6.4823000000000004</v>
      </c>
      <c r="O110" s="49">
        <v>6.5029000000000003</v>
      </c>
      <c r="P110" s="49">
        <v>6.4156000000000004</v>
      </c>
      <c r="Q110" s="49">
        <v>6.4326999999999996</v>
      </c>
      <c r="R110" s="49">
        <v>6.5792000000000002</v>
      </c>
      <c r="S110" s="49">
        <v>6.6048</v>
      </c>
      <c r="T110" s="49">
        <v>6.0444000000000004</v>
      </c>
      <c r="U110" s="49">
        <v>6.0484999999999998</v>
      </c>
      <c r="V110" s="49">
        <v>5.8879000000000001</v>
      </c>
      <c r="W110" s="49">
        <v>5.8959000000000001</v>
      </c>
      <c r="X110" s="49">
        <v>6.2142999999999997</v>
      </c>
      <c r="Y110" s="49">
        <v>6.2142999999999997</v>
      </c>
      <c r="Z110" s="49">
        <v>4.7584</v>
      </c>
      <c r="AA110" s="49">
        <v>4.7733999999999996</v>
      </c>
      <c r="AB110" s="49">
        <v>4.2089999999999996</v>
      </c>
      <c r="AC110" s="49">
        <v>4.2160000000000002</v>
      </c>
      <c r="AD110" s="49">
        <v>5.6559999999999997</v>
      </c>
      <c r="AE110" s="49">
        <v>5.6841999999999997</v>
      </c>
      <c r="AH110" s="16">
        <f t="shared" si="7"/>
        <v>19881130</v>
      </c>
      <c r="AI110" s="16">
        <f t="shared" si="8"/>
        <v>5.6776</v>
      </c>
      <c r="AJ110" s="16">
        <f t="shared" si="9"/>
        <v>-1.0638000000000005</v>
      </c>
      <c r="AK110" s="16">
        <f t="shared" si="10"/>
        <v>1.8764000000000003</v>
      </c>
      <c r="AL110" s="18">
        <v>4.5625</v>
      </c>
      <c r="AM110" s="17">
        <f t="shared" si="11"/>
        <v>5.2973916666666669</v>
      </c>
      <c r="AN110" s="17">
        <f t="shared" si="12"/>
        <v>-1.0638000000000005</v>
      </c>
      <c r="AO110" s="17">
        <f t="shared" si="13"/>
        <v>1.8764000000000003</v>
      </c>
    </row>
    <row r="111" spans="1:41">
      <c r="A111" s="49">
        <v>19881231</v>
      </c>
      <c r="B111" s="49">
        <v>2.7963</v>
      </c>
      <c r="C111" s="49">
        <v>2.8235000000000001</v>
      </c>
      <c r="D111" s="49">
        <v>1.8771</v>
      </c>
      <c r="E111" s="49">
        <v>1.9019999999999999</v>
      </c>
      <c r="F111" s="49">
        <v>3.9891999999999999</v>
      </c>
      <c r="G111" s="49">
        <v>4.0193000000000003</v>
      </c>
      <c r="H111" s="49">
        <v>3.0478999999999998</v>
      </c>
      <c r="I111" s="49">
        <v>3.0747</v>
      </c>
      <c r="J111" s="49">
        <v>1.9424999999999999</v>
      </c>
      <c r="K111" s="49">
        <v>1.9678</v>
      </c>
      <c r="L111" s="49">
        <v>4.4532999999999996</v>
      </c>
      <c r="M111" s="49">
        <v>4.4820000000000002</v>
      </c>
      <c r="N111" s="49">
        <v>1.4408000000000001</v>
      </c>
      <c r="O111" s="49">
        <v>1.4699</v>
      </c>
      <c r="P111" s="49">
        <v>1.544</v>
      </c>
      <c r="Q111" s="49">
        <v>1.5666</v>
      </c>
      <c r="R111" s="49">
        <v>1.2909999999999999</v>
      </c>
      <c r="S111" s="49">
        <v>1.3294999999999999</v>
      </c>
      <c r="T111" s="49">
        <v>2.6318999999999999</v>
      </c>
      <c r="U111" s="49">
        <v>2.6543000000000001</v>
      </c>
      <c r="V111" s="49">
        <v>0.224</v>
      </c>
      <c r="W111" s="49">
        <v>0.24909999999999999</v>
      </c>
      <c r="X111" s="49">
        <v>5.2378</v>
      </c>
      <c r="Y111" s="49">
        <v>5.2572999999999999</v>
      </c>
      <c r="Z111" s="49">
        <v>3.653</v>
      </c>
      <c r="AA111" s="49">
        <v>3.6859999999999999</v>
      </c>
      <c r="AB111" s="49">
        <v>4.0469999999999997</v>
      </c>
      <c r="AC111" s="49">
        <v>4.0727000000000002</v>
      </c>
      <c r="AD111" s="49">
        <v>3.0156999999999998</v>
      </c>
      <c r="AE111" s="49">
        <v>3.0606</v>
      </c>
      <c r="AH111" s="16">
        <f t="shared" si="7"/>
        <v>19881231</v>
      </c>
      <c r="AI111" s="16">
        <f t="shared" si="8"/>
        <v>2.8235000000000001</v>
      </c>
      <c r="AJ111" s="16">
        <f t="shared" si="9"/>
        <v>-2.2770999999999999</v>
      </c>
      <c r="AK111" s="16">
        <f t="shared" si="10"/>
        <v>-3.5537000000000001</v>
      </c>
      <c r="AL111" s="18">
        <v>3.875</v>
      </c>
      <c r="AM111" s="17">
        <f t="shared" si="11"/>
        <v>2.5005833333333336</v>
      </c>
      <c r="AN111" s="17">
        <f t="shared" si="12"/>
        <v>-2.2770999999999999</v>
      </c>
      <c r="AO111" s="17">
        <f t="shared" si="13"/>
        <v>-3.5537000000000001</v>
      </c>
    </row>
    <row r="112" spans="1:41">
      <c r="A112" s="49">
        <v>19890131</v>
      </c>
      <c r="B112" s="49">
        <v>5.1234000000000002</v>
      </c>
      <c r="C112" s="49">
        <v>5.1280999999999999</v>
      </c>
      <c r="D112" s="49">
        <v>5.7961999999999998</v>
      </c>
      <c r="E112" s="49">
        <v>5.8006000000000002</v>
      </c>
      <c r="F112" s="49">
        <v>4.4538000000000002</v>
      </c>
      <c r="G112" s="49">
        <v>4.4585999999999997</v>
      </c>
      <c r="H112" s="49">
        <v>4.3700999999999999</v>
      </c>
      <c r="I112" s="49">
        <v>4.3745000000000003</v>
      </c>
      <c r="J112" s="49">
        <v>4.8893000000000004</v>
      </c>
      <c r="K112" s="49">
        <v>4.8935000000000004</v>
      </c>
      <c r="L112" s="49">
        <v>3.8668</v>
      </c>
      <c r="M112" s="49">
        <v>3.8714</v>
      </c>
      <c r="N112" s="49">
        <v>9.2596000000000007</v>
      </c>
      <c r="O112" s="49">
        <v>9.2655999999999992</v>
      </c>
      <c r="P112" s="49">
        <v>10.379</v>
      </c>
      <c r="Q112" s="49">
        <v>10.3848</v>
      </c>
      <c r="R112" s="49">
        <v>7.9720000000000004</v>
      </c>
      <c r="S112" s="49">
        <v>7.9781000000000004</v>
      </c>
      <c r="T112" s="49">
        <v>3.7707999999999999</v>
      </c>
      <c r="U112" s="49">
        <v>3.7745000000000002</v>
      </c>
      <c r="V112" s="49">
        <v>3.9308999999999998</v>
      </c>
      <c r="W112" s="49">
        <v>3.9321000000000002</v>
      </c>
      <c r="X112" s="49">
        <v>3.6375000000000002</v>
      </c>
      <c r="Y112" s="49">
        <v>3.6433</v>
      </c>
      <c r="Z112" s="49">
        <v>5.2606999999999999</v>
      </c>
      <c r="AA112" s="49">
        <v>5.2662000000000004</v>
      </c>
      <c r="AB112" s="49">
        <v>6.0708000000000002</v>
      </c>
      <c r="AC112" s="49">
        <v>6.0787000000000004</v>
      </c>
      <c r="AD112" s="49">
        <v>4.2781000000000002</v>
      </c>
      <c r="AE112" s="49">
        <v>4.2805</v>
      </c>
      <c r="AH112" s="16">
        <f t="shared" si="7"/>
        <v>19890131</v>
      </c>
      <c r="AI112" s="16">
        <f t="shared" si="8"/>
        <v>5.1280999999999999</v>
      </c>
      <c r="AJ112" s="16">
        <f t="shared" si="9"/>
        <v>3.4288000000000003</v>
      </c>
      <c r="AK112" s="16">
        <f t="shared" si="10"/>
        <v>9.597999999999999</v>
      </c>
      <c r="AL112" s="18">
        <v>4.375</v>
      </c>
      <c r="AM112" s="17">
        <f t="shared" si="11"/>
        <v>4.7635166666666668</v>
      </c>
      <c r="AN112" s="17">
        <f t="shared" si="12"/>
        <v>3.4288000000000003</v>
      </c>
      <c r="AO112" s="17">
        <f t="shared" si="13"/>
        <v>9.597999999999999</v>
      </c>
    </row>
    <row r="113" spans="1:41">
      <c r="A113" s="49">
        <v>19890228</v>
      </c>
      <c r="B113" s="49">
        <v>-0.41849999999999998</v>
      </c>
      <c r="C113" s="49">
        <v>-0.40749999999999997</v>
      </c>
      <c r="D113" s="49">
        <v>1.5439000000000001</v>
      </c>
      <c r="E113" s="49">
        <v>1.5589</v>
      </c>
      <c r="F113" s="49">
        <v>-2.4007000000000001</v>
      </c>
      <c r="G113" s="49">
        <v>-2.3936999999999999</v>
      </c>
      <c r="H113" s="49">
        <v>-0.19489999999999999</v>
      </c>
      <c r="I113" s="49">
        <v>-0.18440000000000001</v>
      </c>
      <c r="J113" s="49">
        <v>2.1499000000000001</v>
      </c>
      <c r="K113" s="49">
        <v>2.1656</v>
      </c>
      <c r="L113" s="49">
        <v>-2.4954999999999998</v>
      </c>
      <c r="M113" s="49">
        <v>-2.4897999999999998</v>
      </c>
      <c r="N113" s="49">
        <v>-1.59</v>
      </c>
      <c r="O113" s="49">
        <v>-1.5767</v>
      </c>
      <c r="P113" s="49">
        <v>-1.3633</v>
      </c>
      <c r="Q113" s="49">
        <v>-1.3511</v>
      </c>
      <c r="R113" s="49">
        <v>-1.8564000000000001</v>
      </c>
      <c r="S113" s="49">
        <v>-1.8419000000000001</v>
      </c>
      <c r="T113" s="49">
        <v>-0.81979999999999997</v>
      </c>
      <c r="U113" s="49">
        <v>-0.81769999999999998</v>
      </c>
      <c r="V113" s="49">
        <v>2.1284999999999998</v>
      </c>
      <c r="W113" s="49">
        <v>2.1332</v>
      </c>
      <c r="X113" s="49">
        <v>-3.2905000000000002</v>
      </c>
      <c r="Y113" s="49">
        <v>-3.2905000000000002</v>
      </c>
      <c r="Z113" s="49">
        <v>0.7177</v>
      </c>
      <c r="AA113" s="49">
        <v>0.74060000000000004</v>
      </c>
      <c r="AB113" s="49">
        <v>2.1756000000000002</v>
      </c>
      <c r="AC113" s="49">
        <v>2.2042999999999999</v>
      </c>
      <c r="AD113" s="49">
        <v>-1.0842000000000001</v>
      </c>
      <c r="AE113" s="49">
        <v>-1.0683</v>
      </c>
      <c r="AH113" s="16">
        <f t="shared" si="7"/>
        <v>19890228</v>
      </c>
      <c r="AI113" s="16">
        <f t="shared" si="8"/>
        <v>-0.40749999999999997</v>
      </c>
      <c r="AJ113" s="16">
        <f t="shared" si="9"/>
        <v>5.1462000000000003</v>
      </c>
      <c r="AK113" s="16">
        <f t="shared" si="10"/>
        <v>-2.8688000000000002</v>
      </c>
      <c r="AL113" s="16">
        <v>4.375</v>
      </c>
      <c r="AM113" s="17">
        <f t="shared" si="11"/>
        <v>-0.77208333333333323</v>
      </c>
      <c r="AN113" s="17">
        <f t="shared" si="12"/>
        <v>5.1462000000000003</v>
      </c>
      <c r="AO113" s="17">
        <f t="shared" si="13"/>
        <v>-2.8688000000000002</v>
      </c>
    </row>
    <row r="114" spans="1:41">
      <c r="A114" s="49">
        <v>19890331</v>
      </c>
      <c r="B114" s="49">
        <v>0.82579999999999998</v>
      </c>
      <c r="C114" s="49">
        <v>1.0949</v>
      </c>
      <c r="D114" s="49">
        <v>1.6194</v>
      </c>
      <c r="E114" s="49">
        <v>1.8902000000000001</v>
      </c>
      <c r="F114" s="49">
        <v>-9.4000000000000004E-3</v>
      </c>
      <c r="G114" s="49">
        <v>0.25790000000000002</v>
      </c>
      <c r="H114" s="49">
        <v>0.4768</v>
      </c>
      <c r="I114" s="49">
        <v>0.74080000000000001</v>
      </c>
      <c r="J114" s="49">
        <v>1.3620000000000001</v>
      </c>
      <c r="K114" s="49">
        <v>1.6195999999999999</v>
      </c>
      <c r="L114" s="49">
        <v>-0.43440000000000001</v>
      </c>
      <c r="M114" s="49">
        <v>-0.1638</v>
      </c>
      <c r="N114" s="49">
        <v>2.6766999999999999</v>
      </c>
      <c r="O114" s="49">
        <v>2.9722</v>
      </c>
      <c r="P114" s="49">
        <v>2.8963999999999999</v>
      </c>
      <c r="Q114" s="49">
        <v>3.2317999999999998</v>
      </c>
      <c r="R114" s="49">
        <v>2.4165000000000001</v>
      </c>
      <c r="S114" s="49">
        <v>2.665</v>
      </c>
      <c r="T114" s="49">
        <v>-2.2267999999999999</v>
      </c>
      <c r="U114" s="49">
        <v>-1.9708000000000001</v>
      </c>
      <c r="V114" s="49">
        <v>-0.436</v>
      </c>
      <c r="W114" s="49">
        <v>-0.1986</v>
      </c>
      <c r="X114" s="49">
        <v>-3.8166000000000002</v>
      </c>
      <c r="Y114" s="49">
        <v>-3.544</v>
      </c>
      <c r="Z114" s="49">
        <v>4.3563000000000001</v>
      </c>
      <c r="AA114" s="49">
        <v>4.6318999999999999</v>
      </c>
      <c r="AB114" s="49">
        <v>3.5268000000000002</v>
      </c>
      <c r="AC114" s="49">
        <v>3.8090000000000002</v>
      </c>
      <c r="AD114" s="49">
        <v>5.4132999999999996</v>
      </c>
      <c r="AE114" s="49">
        <v>5.6803999999999997</v>
      </c>
      <c r="AH114" s="16">
        <f t="shared" si="7"/>
        <v>19890331</v>
      </c>
      <c r="AI114" s="16">
        <f t="shared" si="8"/>
        <v>1.0949</v>
      </c>
      <c r="AJ114" s="16">
        <f t="shared" si="9"/>
        <v>2.3501999999999996</v>
      </c>
      <c r="AK114" s="16">
        <f t="shared" si="10"/>
        <v>4.4409999999999998</v>
      </c>
      <c r="AL114" s="16">
        <v>4.5</v>
      </c>
      <c r="AM114" s="17">
        <f t="shared" si="11"/>
        <v>0.71989999999999998</v>
      </c>
      <c r="AN114" s="17">
        <f t="shared" si="12"/>
        <v>2.3501999999999996</v>
      </c>
      <c r="AO114" s="17">
        <f t="shared" si="13"/>
        <v>4.4409999999999998</v>
      </c>
    </row>
    <row r="115" spans="1:41">
      <c r="A115" s="49">
        <v>19890430</v>
      </c>
      <c r="B115" s="49">
        <v>1.087</v>
      </c>
      <c r="C115" s="49">
        <v>1.0895999999999999</v>
      </c>
      <c r="D115" s="49">
        <v>1.0608</v>
      </c>
      <c r="E115" s="49">
        <v>1.0642</v>
      </c>
      <c r="F115" s="49">
        <v>1.1153999999999999</v>
      </c>
      <c r="G115" s="49">
        <v>1.117</v>
      </c>
      <c r="H115" s="49">
        <v>0.45750000000000002</v>
      </c>
      <c r="I115" s="49">
        <v>0.4597</v>
      </c>
      <c r="J115" s="49">
        <v>0.34010000000000001</v>
      </c>
      <c r="K115" s="49">
        <v>0.34339999999999998</v>
      </c>
      <c r="L115" s="49">
        <v>0.58099999999999996</v>
      </c>
      <c r="M115" s="49">
        <v>0.58199999999999996</v>
      </c>
      <c r="N115" s="49">
        <v>4.3478000000000003</v>
      </c>
      <c r="O115" s="49">
        <v>4.3521000000000001</v>
      </c>
      <c r="P115" s="49">
        <v>4.5785</v>
      </c>
      <c r="Q115" s="49">
        <v>4.5826000000000002</v>
      </c>
      <c r="R115" s="49">
        <v>4.0731999999999999</v>
      </c>
      <c r="S115" s="49">
        <v>4.0777000000000001</v>
      </c>
      <c r="T115" s="49">
        <v>-0.46389999999999998</v>
      </c>
      <c r="U115" s="49">
        <v>-0.46260000000000001</v>
      </c>
      <c r="V115" s="49">
        <v>-0.83250000000000002</v>
      </c>
      <c r="W115" s="49">
        <v>-0.83</v>
      </c>
      <c r="X115" s="49">
        <v>-0.1244</v>
      </c>
      <c r="Y115" s="49">
        <v>-0.1242</v>
      </c>
      <c r="Z115" s="49">
        <v>1.6947000000000001</v>
      </c>
      <c r="AA115" s="49">
        <v>1.6981999999999999</v>
      </c>
      <c r="AB115" s="49">
        <v>1.696</v>
      </c>
      <c r="AC115" s="49">
        <v>1.7002999999999999</v>
      </c>
      <c r="AD115" s="49">
        <v>1.6923999999999999</v>
      </c>
      <c r="AE115" s="49">
        <v>1.6948000000000001</v>
      </c>
      <c r="AH115" s="16">
        <f t="shared" si="7"/>
        <v>19890430</v>
      </c>
      <c r="AI115" s="16">
        <f t="shared" si="8"/>
        <v>1.0895999999999999</v>
      </c>
      <c r="AJ115" s="16">
        <f t="shared" si="9"/>
        <v>0.26630000000000015</v>
      </c>
      <c r="AK115" s="16">
        <f t="shared" si="10"/>
        <v>7.7348999999999997</v>
      </c>
      <c r="AL115" s="16">
        <v>4.46875</v>
      </c>
      <c r="AM115" s="17">
        <f t="shared" si="11"/>
        <v>0.71720416666666664</v>
      </c>
      <c r="AN115" s="17">
        <f t="shared" si="12"/>
        <v>0.26630000000000015</v>
      </c>
      <c r="AO115" s="17">
        <f t="shared" si="13"/>
        <v>7.7348999999999997</v>
      </c>
    </row>
    <row r="116" spans="1:41">
      <c r="A116" s="49">
        <v>19890531</v>
      </c>
      <c r="B116" s="49">
        <v>1.7112000000000001</v>
      </c>
      <c r="C116" s="49">
        <v>1.7162999999999999</v>
      </c>
      <c r="D116" s="49">
        <v>2.3351999999999999</v>
      </c>
      <c r="E116" s="49">
        <v>2.3412999999999999</v>
      </c>
      <c r="F116" s="49">
        <v>1.0416000000000001</v>
      </c>
      <c r="G116" s="49">
        <v>1.0455000000000001</v>
      </c>
      <c r="H116" s="49">
        <v>1.2996000000000001</v>
      </c>
      <c r="I116" s="49">
        <v>1.3038000000000001</v>
      </c>
      <c r="J116" s="49">
        <v>2.0884</v>
      </c>
      <c r="K116" s="49">
        <v>2.0941999999999998</v>
      </c>
      <c r="L116" s="49">
        <v>0.47139999999999999</v>
      </c>
      <c r="M116" s="49">
        <v>0.4738</v>
      </c>
      <c r="N116" s="49">
        <v>3.7612999999999999</v>
      </c>
      <c r="O116" s="49">
        <v>3.7713000000000001</v>
      </c>
      <c r="P116" s="49">
        <v>3.4906000000000001</v>
      </c>
      <c r="Q116" s="49">
        <v>3.4984999999999999</v>
      </c>
      <c r="R116" s="49">
        <v>4.0854999999999997</v>
      </c>
      <c r="S116" s="49">
        <v>4.0979000000000001</v>
      </c>
      <c r="T116" s="49">
        <v>1.3118000000000001</v>
      </c>
      <c r="U116" s="49">
        <v>1.3156000000000001</v>
      </c>
      <c r="V116" s="49">
        <v>2.9685000000000001</v>
      </c>
      <c r="W116" s="49">
        <v>2.9763000000000002</v>
      </c>
      <c r="X116" s="49">
        <v>-0.2054</v>
      </c>
      <c r="Y116" s="49">
        <v>-0.2054</v>
      </c>
      <c r="Z116" s="49">
        <v>1.2835000000000001</v>
      </c>
      <c r="AA116" s="49">
        <v>1.2882</v>
      </c>
      <c r="AB116" s="49">
        <v>1.0995999999999999</v>
      </c>
      <c r="AC116" s="49">
        <v>1.1031</v>
      </c>
      <c r="AD116" s="49">
        <v>1.5146999999999999</v>
      </c>
      <c r="AE116" s="49">
        <v>1.5207999999999999</v>
      </c>
      <c r="AH116" s="16">
        <f t="shared" si="7"/>
        <v>19890531</v>
      </c>
      <c r="AI116" s="16">
        <f t="shared" si="8"/>
        <v>1.7162999999999999</v>
      </c>
      <c r="AJ116" s="16">
        <f t="shared" si="9"/>
        <v>1.0209999999999997</v>
      </c>
      <c r="AK116" s="16">
        <f t="shared" si="10"/>
        <v>5.0284000000000004</v>
      </c>
      <c r="AL116" s="16">
        <v>4.59375</v>
      </c>
      <c r="AM116" s="17">
        <f t="shared" si="11"/>
        <v>1.3334874999999999</v>
      </c>
      <c r="AN116" s="17">
        <f t="shared" si="12"/>
        <v>1.0209999999999997</v>
      </c>
      <c r="AO116" s="17">
        <f t="shared" si="13"/>
        <v>5.0284000000000004</v>
      </c>
    </row>
    <row r="117" spans="1:41">
      <c r="A117" s="49">
        <v>19890630</v>
      </c>
      <c r="B117" s="49">
        <v>-3.7218</v>
      </c>
      <c r="C117" s="49">
        <v>-3.7058</v>
      </c>
      <c r="D117" s="49">
        <v>-3.7988</v>
      </c>
      <c r="E117" s="49">
        <v>-3.7787999999999999</v>
      </c>
      <c r="F117" s="49">
        <v>-3.6379000000000001</v>
      </c>
      <c r="G117" s="49">
        <v>-3.6263000000000001</v>
      </c>
      <c r="H117" s="49">
        <v>-4.1852999999999998</v>
      </c>
      <c r="I117" s="49">
        <v>-4.1681999999999997</v>
      </c>
      <c r="J117" s="49">
        <v>-4.2422000000000004</v>
      </c>
      <c r="K117" s="49">
        <v>-4.22</v>
      </c>
      <c r="L117" s="49">
        <v>-4.1242999999999999</v>
      </c>
      <c r="M117" s="49">
        <v>-4.1128</v>
      </c>
      <c r="N117" s="49">
        <v>-1.4755</v>
      </c>
      <c r="O117" s="49">
        <v>-1.4648000000000001</v>
      </c>
      <c r="P117" s="49">
        <v>-1.7514000000000001</v>
      </c>
      <c r="Q117" s="49">
        <v>-1.7417</v>
      </c>
      <c r="R117" s="49">
        <v>-1.1489</v>
      </c>
      <c r="S117" s="49">
        <v>-1.1369</v>
      </c>
      <c r="T117" s="49">
        <v>-5.1177999999999999</v>
      </c>
      <c r="U117" s="49">
        <v>-5.0991999999999997</v>
      </c>
      <c r="V117" s="49">
        <v>-4.7499000000000002</v>
      </c>
      <c r="W117" s="49">
        <v>-4.7201000000000004</v>
      </c>
      <c r="X117" s="49">
        <v>-5.4654999999999996</v>
      </c>
      <c r="Y117" s="49">
        <v>-5.4576000000000002</v>
      </c>
      <c r="Z117" s="49">
        <v>-2.9647000000000001</v>
      </c>
      <c r="AA117" s="49">
        <v>-2.9497</v>
      </c>
      <c r="AB117" s="49">
        <v>-3.6621000000000001</v>
      </c>
      <c r="AC117" s="49">
        <v>-3.6486000000000001</v>
      </c>
      <c r="AD117" s="49">
        <v>-2.0895999999999999</v>
      </c>
      <c r="AE117" s="49">
        <v>-2.0724999999999998</v>
      </c>
      <c r="AH117" s="16">
        <f t="shared" si="7"/>
        <v>19890630</v>
      </c>
      <c r="AI117" s="16">
        <f t="shared" si="8"/>
        <v>-3.7058</v>
      </c>
      <c r="AJ117" s="16">
        <f t="shared" si="9"/>
        <v>-0.71199999999999974</v>
      </c>
      <c r="AK117" s="16">
        <f t="shared" si="10"/>
        <v>5.4541999999999984</v>
      </c>
      <c r="AL117" s="16">
        <v>5.125</v>
      </c>
      <c r="AM117" s="17">
        <f t="shared" si="11"/>
        <v>-4.132883333333333</v>
      </c>
      <c r="AN117" s="17">
        <f t="shared" si="12"/>
        <v>-0.71199999999999974</v>
      </c>
      <c r="AO117" s="17">
        <f t="shared" si="13"/>
        <v>5.4541999999999984</v>
      </c>
    </row>
    <row r="118" spans="1:41">
      <c r="A118" s="49">
        <v>19890731</v>
      </c>
      <c r="B118" s="49">
        <v>7.3064</v>
      </c>
      <c r="C118" s="49">
        <v>7.3083999999999998</v>
      </c>
      <c r="D118" s="49">
        <v>7.1646000000000001</v>
      </c>
      <c r="E118" s="49">
        <v>7.1679000000000004</v>
      </c>
      <c r="F118" s="49">
        <v>7.4600999999999997</v>
      </c>
      <c r="G118" s="49">
        <v>7.4608999999999996</v>
      </c>
      <c r="H118" s="49">
        <v>7.6688999999999998</v>
      </c>
      <c r="I118" s="49">
        <v>7.6711</v>
      </c>
      <c r="J118" s="49">
        <v>7.4212999999999996</v>
      </c>
      <c r="K118" s="49">
        <v>7.4248000000000003</v>
      </c>
      <c r="L118" s="49">
        <v>7.9330999999999996</v>
      </c>
      <c r="M118" s="49">
        <v>7.9339000000000004</v>
      </c>
      <c r="N118" s="49">
        <v>5.6012000000000004</v>
      </c>
      <c r="O118" s="49">
        <v>5.6025</v>
      </c>
      <c r="P118" s="49">
        <v>6.0118</v>
      </c>
      <c r="Q118" s="49">
        <v>6.0136000000000003</v>
      </c>
      <c r="R118" s="49">
        <v>5.1180000000000003</v>
      </c>
      <c r="S118" s="49">
        <v>5.1186999999999996</v>
      </c>
      <c r="T118" s="49">
        <v>8.2667000000000002</v>
      </c>
      <c r="U118" s="49">
        <v>8.2667000000000002</v>
      </c>
      <c r="V118" s="49">
        <v>7.0076000000000001</v>
      </c>
      <c r="W118" s="49">
        <v>7.0076000000000001</v>
      </c>
      <c r="X118" s="49">
        <v>9.4656000000000002</v>
      </c>
      <c r="Y118" s="49">
        <v>9.4656000000000002</v>
      </c>
      <c r="Z118" s="49">
        <v>6.9051999999999998</v>
      </c>
      <c r="AA118" s="49">
        <v>6.9103000000000003</v>
      </c>
      <c r="AB118" s="49">
        <v>7.8883000000000001</v>
      </c>
      <c r="AC118" s="49">
        <v>7.8959999999999999</v>
      </c>
      <c r="AD118" s="49">
        <v>5.6896000000000004</v>
      </c>
      <c r="AE118" s="49">
        <v>5.6914999999999996</v>
      </c>
      <c r="AH118" s="16">
        <f t="shared" si="7"/>
        <v>19890731</v>
      </c>
      <c r="AI118" s="16">
        <f t="shared" si="8"/>
        <v>7.3083999999999998</v>
      </c>
      <c r="AJ118" s="16">
        <f t="shared" si="9"/>
        <v>0.38580000000000059</v>
      </c>
      <c r="AK118" s="16">
        <f t="shared" si="10"/>
        <v>-4.2263999999999999</v>
      </c>
      <c r="AL118" s="16">
        <v>5.3125</v>
      </c>
      <c r="AM118" s="17">
        <f t="shared" si="11"/>
        <v>6.8656916666666667</v>
      </c>
      <c r="AN118" s="17">
        <f t="shared" si="12"/>
        <v>0.38580000000000059</v>
      </c>
      <c r="AO118" s="17">
        <f t="shared" si="13"/>
        <v>-4.2263999999999999</v>
      </c>
    </row>
    <row r="119" spans="1:41">
      <c r="A119" s="49">
        <v>19890831</v>
      </c>
      <c r="B119" s="49">
        <v>-1.4047000000000001</v>
      </c>
      <c r="C119" s="49">
        <v>-1.3986000000000001</v>
      </c>
      <c r="D119" s="49">
        <v>-0.98580000000000001</v>
      </c>
      <c r="E119" s="49">
        <v>-0.97860000000000003</v>
      </c>
      <c r="F119" s="49">
        <v>-1.8583000000000001</v>
      </c>
      <c r="G119" s="49">
        <v>-1.8533999999999999</v>
      </c>
      <c r="H119" s="49">
        <v>-2.4232</v>
      </c>
      <c r="I119" s="49">
        <v>-2.4174000000000002</v>
      </c>
      <c r="J119" s="49">
        <v>-1.8388</v>
      </c>
      <c r="K119" s="49">
        <v>-1.8312999999999999</v>
      </c>
      <c r="L119" s="49">
        <v>-3.044</v>
      </c>
      <c r="M119" s="49">
        <v>-3.0400999999999998</v>
      </c>
      <c r="N119" s="49">
        <v>3.4746999999999999</v>
      </c>
      <c r="O119" s="49">
        <v>3.4826000000000001</v>
      </c>
      <c r="P119" s="49">
        <v>2.8942999999999999</v>
      </c>
      <c r="Q119" s="49">
        <v>2.9003999999999999</v>
      </c>
      <c r="R119" s="49">
        <v>4.1630000000000003</v>
      </c>
      <c r="S119" s="49">
        <v>4.1729000000000003</v>
      </c>
      <c r="T119" s="49">
        <v>-4.2674000000000003</v>
      </c>
      <c r="U119" s="49">
        <v>-4.2651000000000003</v>
      </c>
      <c r="V119" s="49">
        <v>-3.1480999999999999</v>
      </c>
      <c r="W119" s="49">
        <v>-3.1434000000000002</v>
      </c>
      <c r="X119" s="49">
        <v>-5.3098000000000001</v>
      </c>
      <c r="Y119" s="49">
        <v>-5.3098000000000001</v>
      </c>
      <c r="Z119" s="49">
        <v>-3.7600000000000001E-2</v>
      </c>
      <c r="AA119" s="49">
        <v>-2.7199999999999998E-2</v>
      </c>
      <c r="AB119" s="49">
        <v>-0.37509999999999999</v>
      </c>
      <c r="AC119" s="49">
        <v>-0.36459999999999998</v>
      </c>
      <c r="AD119" s="49">
        <v>0.3886</v>
      </c>
      <c r="AE119" s="49">
        <v>0.3987</v>
      </c>
      <c r="AH119" s="16">
        <f t="shared" si="7"/>
        <v>19890831</v>
      </c>
      <c r="AI119" s="16">
        <f t="shared" si="8"/>
        <v>-1.3986000000000001</v>
      </c>
      <c r="AJ119" s="16">
        <f t="shared" si="9"/>
        <v>-6.3700000000000534E-2</v>
      </c>
      <c r="AK119" s="16">
        <f t="shared" si="10"/>
        <v>11.944699999999999</v>
      </c>
      <c r="AL119" s="16">
        <v>5.3125</v>
      </c>
      <c r="AM119" s="17">
        <f t="shared" si="11"/>
        <v>-1.8413083333333333</v>
      </c>
      <c r="AN119" s="17">
        <f t="shared" si="12"/>
        <v>-6.3700000000000534E-2</v>
      </c>
      <c r="AO119" s="17">
        <f t="shared" si="13"/>
        <v>11.944699999999999</v>
      </c>
    </row>
    <row r="120" spans="1:41">
      <c r="A120" s="49">
        <v>19890930</v>
      </c>
      <c r="B120" s="49">
        <v>4.3470000000000004</v>
      </c>
      <c r="C120" s="49">
        <v>4.5305999999999997</v>
      </c>
      <c r="D120" s="49">
        <v>5.5004999999999997</v>
      </c>
      <c r="E120" s="49">
        <v>5.6863999999999999</v>
      </c>
      <c r="F120" s="49">
        <v>3.0859000000000001</v>
      </c>
      <c r="G120" s="49">
        <v>3.2671000000000001</v>
      </c>
      <c r="H120" s="49">
        <v>3.3468</v>
      </c>
      <c r="I120" s="49">
        <v>3.5369000000000002</v>
      </c>
      <c r="J120" s="49">
        <v>4.4137000000000004</v>
      </c>
      <c r="K120" s="49">
        <v>4.6022999999999996</v>
      </c>
      <c r="L120" s="49">
        <v>2.1977000000000002</v>
      </c>
      <c r="M120" s="49">
        <v>2.3894000000000002</v>
      </c>
      <c r="N120" s="49">
        <v>8.8558000000000003</v>
      </c>
      <c r="O120" s="49">
        <v>9.0096000000000007</v>
      </c>
      <c r="P120" s="49">
        <v>10.212300000000001</v>
      </c>
      <c r="Q120" s="49">
        <v>10.385999999999999</v>
      </c>
      <c r="R120" s="49">
        <v>7.2690000000000001</v>
      </c>
      <c r="S120" s="49">
        <v>7.3994999999999997</v>
      </c>
      <c r="T120" s="49">
        <v>1.5479000000000001</v>
      </c>
      <c r="U120" s="49">
        <v>1.7585999999999999</v>
      </c>
      <c r="V120" s="49">
        <v>2.0327000000000002</v>
      </c>
      <c r="W120" s="49">
        <v>2.2307000000000001</v>
      </c>
      <c r="X120" s="49">
        <v>1.0858000000000001</v>
      </c>
      <c r="Y120" s="49">
        <v>1.3087</v>
      </c>
      <c r="Z120" s="49">
        <v>5.5697999999999999</v>
      </c>
      <c r="AA120" s="49">
        <v>5.7343000000000002</v>
      </c>
      <c r="AB120" s="49">
        <v>6.9965999999999999</v>
      </c>
      <c r="AC120" s="49">
        <v>7.1746999999999996</v>
      </c>
      <c r="AD120" s="49">
        <v>3.7822</v>
      </c>
      <c r="AE120" s="49">
        <v>3.9298000000000002</v>
      </c>
      <c r="AH120" s="16">
        <f t="shared" si="7"/>
        <v>19890930</v>
      </c>
      <c r="AI120" s="16">
        <f t="shared" si="8"/>
        <v>4.5305999999999997</v>
      </c>
      <c r="AJ120" s="16">
        <f t="shared" si="9"/>
        <v>5.1993999999999989</v>
      </c>
      <c r="AK120" s="16">
        <f t="shared" si="10"/>
        <v>10.793799999999999</v>
      </c>
      <c r="AL120" s="16">
        <v>5.46875</v>
      </c>
      <c r="AM120" s="17">
        <f t="shared" si="11"/>
        <v>4.0748708333333328</v>
      </c>
      <c r="AN120" s="17">
        <f t="shared" si="12"/>
        <v>5.1993999999999989</v>
      </c>
      <c r="AO120" s="17">
        <f t="shared" si="13"/>
        <v>10.793799999999999</v>
      </c>
    </row>
    <row r="121" spans="1:41">
      <c r="A121" s="49">
        <v>19891031</v>
      </c>
      <c r="B121" s="49">
        <v>0.12</v>
      </c>
      <c r="C121" s="49">
        <v>0.122</v>
      </c>
      <c r="D121" s="49">
        <v>0.82689999999999997</v>
      </c>
      <c r="E121" s="49">
        <v>0.82930000000000004</v>
      </c>
      <c r="F121" s="49">
        <v>-0.67200000000000004</v>
      </c>
      <c r="G121" s="49">
        <v>-0.67030000000000001</v>
      </c>
      <c r="H121" s="49">
        <v>0.22159999999999999</v>
      </c>
      <c r="I121" s="49">
        <v>0.2233</v>
      </c>
      <c r="J121" s="49">
        <v>0.99060000000000004</v>
      </c>
      <c r="K121" s="49">
        <v>0.99299999999999999</v>
      </c>
      <c r="L121" s="49">
        <v>-0.62549999999999994</v>
      </c>
      <c r="M121" s="49">
        <v>-0.62460000000000004</v>
      </c>
      <c r="N121" s="49">
        <v>-0.3125</v>
      </c>
      <c r="O121" s="49">
        <v>-0.30890000000000001</v>
      </c>
      <c r="P121" s="49">
        <v>0.1593</v>
      </c>
      <c r="Q121" s="49">
        <v>0.16200000000000001</v>
      </c>
      <c r="R121" s="49">
        <v>-0.88049999999999995</v>
      </c>
      <c r="S121" s="49">
        <v>-0.87580000000000002</v>
      </c>
      <c r="T121" s="49">
        <v>0.16769999999999999</v>
      </c>
      <c r="U121" s="49">
        <v>0.1691</v>
      </c>
      <c r="V121" s="49">
        <v>1.5233000000000001</v>
      </c>
      <c r="W121" s="49">
        <v>1.5259</v>
      </c>
      <c r="X121" s="49">
        <v>-1.1378999999999999</v>
      </c>
      <c r="Y121" s="49">
        <v>-1.1377999999999999</v>
      </c>
      <c r="Z121" s="49">
        <v>0.28649999999999998</v>
      </c>
      <c r="AA121" s="49">
        <v>0.28860000000000002</v>
      </c>
      <c r="AB121" s="49">
        <v>0.44180000000000003</v>
      </c>
      <c r="AC121" s="49">
        <v>0.44400000000000001</v>
      </c>
      <c r="AD121" s="49">
        <v>8.4900000000000003E-2</v>
      </c>
      <c r="AE121" s="49">
        <v>8.6900000000000005E-2</v>
      </c>
      <c r="AH121" s="16">
        <f t="shared" si="7"/>
        <v>19891031</v>
      </c>
      <c r="AI121" s="16">
        <f t="shared" si="8"/>
        <v>0.122</v>
      </c>
      <c r="AJ121" s="16">
        <f t="shared" si="9"/>
        <v>2.6554000000000002</v>
      </c>
      <c r="AK121" s="16">
        <f t="shared" si="10"/>
        <v>-1.0821999999999998</v>
      </c>
      <c r="AL121" s="16">
        <v>5.6875</v>
      </c>
      <c r="AM121" s="17">
        <f t="shared" si="11"/>
        <v>-0.35195833333333332</v>
      </c>
      <c r="AN121" s="17">
        <f t="shared" si="12"/>
        <v>2.6554000000000002</v>
      </c>
      <c r="AO121" s="17">
        <f t="shared" si="13"/>
        <v>-1.0821999999999998</v>
      </c>
    </row>
    <row r="122" spans="1:41">
      <c r="A122" s="49">
        <v>19891130</v>
      </c>
      <c r="B122" s="49">
        <v>5.0323000000000002</v>
      </c>
      <c r="C122" s="49">
        <v>5.0388000000000002</v>
      </c>
      <c r="D122" s="49">
        <v>4.7074999999999996</v>
      </c>
      <c r="E122" s="49">
        <v>4.7137000000000002</v>
      </c>
      <c r="F122" s="49">
        <v>5.4016999999999999</v>
      </c>
      <c r="G122" s="49">
        <v>5.4085999999999999</v>
      </c>
      <c r="H122" s="49">
        <v>5.2066999999999997</v>
      </c>
      <c r="I122" s="49">
        <v>5.2121000000000004</v>
      </c>
      <c r="J122" s="49">
        <v>4.6139000000000001</v>
      </c>
      <c r="K122" s="49">
        <v>4.6195000000000004</v>
      </c>
      <c r="L122" s="49">
        <v>5.8707000000000003</v>
      </c>
      <c r="M122" s="49">
        <v>5.8757999999999999</v>
      </c>
      <c r="N122" s="49">
        <v>4.2882999999999996</v>
      </c>
      <c r="O122" s="49">
        <v>4.2996999999999996</v>
      </c>
      <c r="P122" s="49">
        <v>5.0925000000000002</v>
      </c>
      <c r="Q122" s="49">
        <v>5.1012000000000004</v>
      </c>
      <c r="R122" s="49">
        <v>3.3089</v>
      </c>
      <c r="S122" s="49">
        <v>3.3237000000000001</v>
      </c>
      <c r="T122" s="49">
        <v>6.1835000000000004</v>
      </c>
      <c r="U122" s="49">
        <v>6.1872999999999996</v>
      </c>
      <c r="V122" s="49">
        <v>4.5263999999999998</v>
      </c>
      <c r="W122" s="49">
        <v>4.5342000000000002</v>
      </c>
      <c r="X122" s="49">
        <v>7.8230000000000004</v>
      </c>
      <c r="Y122" s="49">
        <v>7.8230000000000004</v>
      </c>
      <c r="Z122" s="49">
        <v>4.0537000000000001</v>
      </c>
      <c r="AA122" s="49">
        <v>4.0608000000000004</v>
      </c>
      <c r="AB122" s="49">
        <v>4.7050000000000001</v>
      </c>
      <c r="AC122" s="49">
        <v>4.7083000000000004</v>
      </c>
      <c r="AD122" s="49">
        <v>3.2067999999999999</v>
      </c>
      <c r="AE122" s="49">
        <v>3.2187000000000001</v>
      </c>
      <c r="AH122" s="16">
        <f t="shared" si="7"/>
        <v>19891130</v>
      </c>
      <c r="AI122" s="16">
        <f t="shared" si="8"/>
        <v>5.0388000000000002</v>
      </c>
      <c r="AJ122" s="16">
        <f t="shared" si="9"/>
        <v>0.52120000000000077</v>
      </c>
      <c r="AK122" s="16">
        <f t="shared" si="10"/>
        <v>-2.0703999999999994</v>
      </c>
      <c r="AL122" s="16">
        <v>6.40625</v>
      </c>
      <c r="AM122" s="17">
        <f t="shared" si="11"/>
        <v>4.5049458333333332</v>
      </c>
      <c r="AN122" s="17">
        <f t="shared" si="12"/>
        <v>0.52120000000000077</v>
      </c>
      <c r="AO122" s="17">
        <f t="shared" si="13"/>
        <v>-2.0703999999999994</v>
      </c>
    </row>
    <row r="123" spans="1:41">
      <c r="A123" s="49">
        <v>19891231</v>
      </c>
      <c r="B123" s="49">
        <v>1.4923</v>
      </c>
      <c r="C123" s="49">
        <v>1.5125</v>
      </c>
      <c r="D123" s="49">
        <v>1.7592000000000001</v>
      </c>
      <c r="E123" s="49">
        <v>1.7830999999999999</v>
      </c>
      <c r="F123" s="49">
        <v>1.1902999999999999</v>
      </c>
      <c r="G123" s="49">
        <v>1.2060999999999999</v>
      </c>
      <c r="H123" s="49">
        <v>0.52310000000000001</v>
      </c>
      <c r="I123" s="49">
        <v>0.54300000000000004</v>
      </c>
      <c r="J123" s="49">
        <v>0.80089999999999995</v>
      </c>
      <c r="K123" s="49">
        <v>0.82640000000000002</v>
      </c>
      <c r="L123" s="49">
        <v>0.21529999999999999</v>
      </c>
      <c r="M123" s="49">
        <v>0.22889999999999999</v>
      </c>
      <c r="N123" s="49">
        <v>5.6657000000000002</v>
      </c>
      <c r="O123" s="49">
        <v>5.6870000000000003</v>
      </c>
      <c r="P123" s="49">
        <v>5.6776</v>
      </c>
      <c r="Q123" s="49">
        <v>5.6951999999999998</v>
      </c>
      <c r="R123" s="49">
        <v>5.6512000000000002</v>
      </c>
      <c r="S123" s="49">
        <v>5.6772</v>
      </c>
      <c r="T123" s="49">
        <v>-1.0677000000000001</v>
      </c>
      <c r="U123" s="49">
        <v>-1.0503</v>
      </c>
      <c r="V123" s="49">
        <v>-0.81659999999999999</v>
      </c>
      <c r="W123" s="49">
        <v>-0.78920000000000001</v>
      </c>
      <c r="X123" s="49">
        <v>-1.3083</v>
      </c>
      <c r="Y123" s="49">
        <v>-1.3006</v>
      </c>
      <c r="Z123" s="49">
        <v>2.4396</v>
      </c>
      <c r="AA123" s="49">
        <v>2.4624999999999999</v>
      </c>
      <c r="AB123" s="49">
        <v>2.4744000000000002</v>
      </c>
      <c r="AC123" s="49">
        <v>2.4979</v>
      </c>
      <c r="AD123" s="49">
        <v>2.3936000000000002</v>
      </c>
      <c r="AE123" s="49">
        <v>2.4157000000000002</v>
      </c>
      <c r="AH123" s="16">
        <f t="shared" si="7"/>
        <v>19891231</v>
      </c>
      <c r="AI123" s="16">
        <f t="shared" si="8"/>
        <v>1.5125</v>
      </c>
      <c r="AJ123" s="16">
        <f t="shared" si="9"/>
        <v>0.61549999999999983</v>
      </c>
      <c r="AK123" s="16">
        <f t="shared" si="10"/>
        <v>10.3171</v>
      </c>
      <c r="AL123" s="16">
        <v>6.53125</v>
      </c>
      <c r="AM123" s="17">
        <f t="shared" si="11"/>
        <v>0.96822916666666659</v>
      </c>
      <c r="AN123" s="17">
        <f t="shared" si="12"/>
        <v>0.61549999999999983</v>
      </c>
      <c r="AO123" s="17">
        <f t="shared" si="13"/>
        <v>10.3171</v>
      </c>
    </row>
    <row r="124" spans="1:41">
      <c r="A124" s="49">
        <v>19900131</v>
      </c>
      <c r="B124" s="49">
        <v>-4.5168999999999997</v>
      </c>
      <c r="C124" s="49">
        <v>-4.5129000000000001</v>
      </c>
      <c r="D124" s="49">
        <v>-4.8672000000000004</v>
      </c>
      <c r="E124" s="49">
        <v>-4.8651999999999997</v>
      </c>
      <c r="F124" s="49">
        <v>-4.1669999999999998</v>
      </c>
      <c r="G124" s="49">
        <v>-4.1611000000000002</v>
      </c>
      <c r="H124" s="49">
        <v>-5.3376000000000001</v>
      </c>
      <c r="I124" s="49">
        <v>-5.3331999999999997</v>
      </c>
      <c r="J124" s="49">
        <v>-5.4936999999999996</v>
      </c>
      <c r="K124" s="49">
        <v>-5.4916999999999998</v>
      </c>
      <c r="L124" s="49">
        <v>-5.1675000000000004</v>
      </c>
      <c r="M124" s="49">
        <v>-5.1605999999999996</v>
      </c>
      <c r="N124" s="49">
        <v>-6.6E-3</v>
      </c>
      <c r="O124" s="49">
        <v>-5.0000000000000001E-3</v>
      </c>
      <c r="P124" s="49">
        <v>-0.17319999999999999</v>
      </c>
      <c r="Q124" s="49">
        <v>-0.17100000000000001</v>
      </c>
      <c r="R124" s="49">
        <v>9.6299999999999997E-2</v>
      </c>
      <c r="S124" s="49">
        <v>9.7500000000000003E-2</v>
      </c>
      <c r="T124" s="49">
        <v>-6.3423999999999996</v>
      </c>
      <c r="U124" s="49">
        <v>-6.3362999999999996</v>
      </c>
      <c r="V124" s="49">
        <v>-5.9497999999999998</v>
      </c>
      <c r="W124" s="49">
        <v>-5.9478</v>
      </c>
      <c r="X124" s="49">
        <v>-6.8220000000000001</v>
      </c>
      <c r="Y124" s="49">
        <v>-6.8109999999999999</v>
      </c>
      <c r="Z124" s="49">
        <v>-3.9864999999999999</v>
      </c>
      <c r="AA124" s="49">
        <v>-3.9845000000000002</v>
      </c>
      <c r="AB124" s="49">
        <v>-4.7938000000000001</v>
      </c>
      <c r="AC124" s="49">
        <v>-4.7919</v>
      </c>
      <c r="AD124" s="49">
        <v>-3.2345000000000002</v>
      </c>
      <c r="AE124" s="49">
        <v>-3.2323</v>
      </c>
      <c r="AH124" s="16">
        <f t="shared" si="7"/>
        <v>19900131</v>
      </c>
      <c r="AI124" s="16">
        <f t="shared" si="8"/>
        <v>-4.5129000000000001</v>
      </c>
      <c r="AJ124" s="16">
        <f t="shared" si="9"/>
        <v>-0.59960000000000013</v>
      </c>
      <c r="AK124" s="16">
        <f t="shared" si="10"/>
        <v>10.578800000000001</v>
      </c>
      <c r="AL124" s="16">
        <v>6.625</v>
      </c>
      <c r="AM124" s="17">
        <f t="shared" si="11"/>
        <v>-5.0649833333333332</v>
      </c>
      <c r="AN124" s="17">
        <f t="shared" si="12"/>
        <v>-0.59960000000000013</v>
      </c>
      <c r="AO124" s="17">
        <f t="shared" si="13"/>
        <v>10.578800000000001</v>
      </c>
    </row>
    <row r="125" spans="1:41">
      <c r="A125" s="49">
        <v>19900228</v>
      </c>
      <c r="B125" s="49">
        <v>-5.7548000000000004</v>
      </c>
      <c r="C125" s="49">
        <v>-5.7454999999999998</v>
      </c>
      <c r="D125" s="49">
        <v>-6.6018999999999997</v>
      </c>
      <c r="E125" s="49">
        <v>-6.5921000000000003</v>
      </c>
      <c r="F125" s="49">
        <v>-4.915</v>
      </c>
      <c r="G125" s="49">
        <v>-4.9062000000000001</v>
      </c>
      <c r="H125" s="49">
        <v>-6.6439000000000004</v>
      </c>
      <c r="I125" s="49">
        <v>-6.6348000000000003</v>
      </c>
      <c r="J125" s="49">
        <v>-7.3551000000000002</v>
      </c>
      <c r="K125" s="49">
        <v>-7.3451000000000004</v>
      </c>
      <c r="L125" s="49">
        <v>-5.8724999999999996</v>
      </c>
      <c r="M125" s="49">
        <v>-5.8644999999999996</v>
      </c>
      <c r="N125" s="49">
        <v>-1.1397999999999999</v>
      </c>
      <c r="O125" s="49">
        <v>-1.1292</v>
      </c>
      <c r="P125" s="49">
        <v>-1.2665999999999999</v>
      </c>
      <c r="Q125" s="49">
        <v>-1.2583</v>
      </c>
      <c r="R125" s="49">
        <v>-1.0609999999999999</v>
      </c>
      <c r="S125" s="49">
        <v>-1.0489999999999999</v>
      </c>
      <c r="T125" s="49">
        <v>-7.3703000000000003</v>
      </c>
      <c r="U125" s="49">
        <v>-7.3667999999999996</v>
      </c>
      <c r="V125" s="49">
        <v>-7.8956999999999997</v>
      </c>
      <c r="W125" s="49">
        <v>-7.8895</v>
      </c>
      <c r="X125" s="49">
        <v>-6.7205000000000004</v>
      </c>
      <c r="Y125" s="49">
        <v>-6.7205000000000004</v>
      </c>
      <c r="Z125" s="49">
        <v>-5.6919000000000004</v>
      </c>
      <c r="AA125" s="49">
        <v>-5.6755000000000004</v>
      </c>
      <c r="AB125" s="49">
        <v>-6.5350999999999999</v>
      </c>
      <c r="AC125" s="49">
        <v>-6.5194999999999999</v>
      </c>
      <c r="AD125" s="49">
        <v>-4.9212999999999996</v>
      </c>
      <c r="AE125" s="49">
        <v>-4.9042000000000003</v>
      </c>
      <c r="AH125" s="16">
        <f t="shared" si="7"/>
        <v>19900228</v>
      </c>
      <c r="AI125" s="16">
        <f t="shared" si="8"/>
        <v>-5.7454999999999998</v>
      </c>
      <c r="AJ125" s="16">
        <f t="shared" si="9"/>
        <v>-1.6899000000000008</v>
      </c>
      <c r="AK125" s="16">
        <f t="shared" si="10"/>
        <v>10.9023</v>
      </c>
      <c r="AL125" s="16">
        <v>6.71875</v>
      </c>
      <c r="AM125" s="17">
        <f t="shared" si="11"/>
        <v>-6.3053958333333329</v>
      </c>
      <c r="AN125" s="17">
        <f t="shared" si="12"/>
        <v>-1.6899000000000008</v>
      </c>
      <c r="AO125" s="17">
        <f t="shared" si="13"/>
        <v>10.9023</v>
      </c>
    </row>
    <row r="126" spans="1:41">
      <c r="A126" s="49">
        <v>19900331</v>
      </c>
      <c r="B126" s="49">
        <v>-13.2164</v>
      </c>
      <c r="C126" s="49">
        <v>-12.9442</v>
      </c>
      <c r="D126" s="49">
        <v>-12.6675</v>
      </c>
      <c r="E126" s="49">
        <v>-12.4133</v>
      </c>
      <c r="F126" s="49">
        <v>-13.7501</v>
      </c>
      <c r="G126" s="49">
        <v>-13.46</v>
      </c>
      <c r="H126" s="49">
        <v>-14.1244</v>
      </c>
      <c r="I126" s="49">
        <v>-13.842700000000001</v>
      </c>
      <c r="J126" s="49">
        <v>-13.263</v>
      </c>
      <c r="K126" s="49">
        <v>-13.007</v>
      </c>
      <c r="L126" s="49">
        <v>-15.043200000000001</v>
      </c>
      <c r="M126" s="49">
        <v>-14.733700000000001</v>
      </c>
      <c r="N126" s="49">
        <v>-8.7822999999999993</v>
      </c>
      <c r="O126" s="49">
        <v>-8.5580999999999996</v>
      </c>
      <c r="P126" s="49">
        <v>-8.7251999999999992</v>
      </c>
      <c r="Q126" s="49">
        <v>-8.4838000000000005</v>
      </c>
      <c r="R126" s="49">
        <v>-8.8175000000000008</v>
      </c>
      <c r="S126" s="49">
        <v>-8.6039999999999992</v>
      </c>
      <c r="T126" s="49">
        <v>-14.918900000000001</v>
      </c>
      <c r="U126" s="49">
        <v>-14.6142</v>
      </c>
      <c r="V126" s="49">
        <v>-12.845000000000001</v>
      </c>
      <c r="W126" s="49">
        <v>-12.588100000000001</v>
      </c>
      <c r="X126" s="49">
        <v>-17.4526</v>
      </c>
      <c r="Y126" s="49">
        <v>-17.088899999999999</v>
      </c>
      <c r="Z126" s="49">
        <v>-13.098800000000001</v>
      </c>
      <c r="AA126" s="49">
        <v>-12.846399999999999</v>
      </c>
      <c r="AB126" s="49">
        <v>-13.885300000000001</v>
      </c>
      <c r="AC126" s="49">
        <v>-13.630800000000001</v>
      </c>
      <c r="AD126" s="49">
        <v>-12.3912</v>
      </c>
      <c r="AE126" s="49">
        <v>-12.1408</v>
      </c>
      <c r="AH126" s="16">
        <f t="shared" si="7"/>
        <v>19900331</v>
      </c>
      <c r="AI126" s="16">
        <f t="shared" si="8"/>
        <v>-12.9442</v>
      </c>
      <c r="AJ126" s="16">
        <f t="shared" si="9"/>
        <v>1.8468999999999998</v>
      </c>
      <c r="AK126" s="16">
        <f t="shared" si="10"/>
        <v>10.652899999999999</v>
      </c>
      <c r="AL126" s="16">
        <v>6.96875</v>
      </c>
      <c r="AM126" s="17">
        <f t="shared" si="11"/>
        <v>-13.524929166666666</v>
      </c>
      <c r="AN126" s="17">
        <f t="shared" si="12"/>
        <v>1.8468999999999998</v>
      </c>
      <c r="AO126" s="17">
        <f t="shared" si="13"/>
        <v>10.652899999999999</v>
      </c>
    </row>
    <row r="127" spans="1:41">
      <c r="A127" s="49">
        <v>19900430</v>
      </c>
      <c r="B127" s="49">
        <v>-0.38969999999999999</v>
      </c>
      <c r="C127" s="49">
        <v>-0.38669999999999999</v>
      </c>
      <c r="D127" s="49">
        <v>-7.3599999999999999E-2</v>
      </c>
      <c r="E127" s="49">
        <v>-7.1199999999999999E-2</v>
      </c>
      <c r="F127" s="49">
        <v>-0.70109999999999995</v>
      </c>
      <c r="G127" s="49">
        <v>-0.69769999999999999</v>
      </c>
      <c r="H127" s="49">
        <v>0.97509999999999997</v>
      </c>
      <c r="I127" s="49">
        <v>0.97799999999999998</v>
      </c>
      <c r="J127" s="49">
        <v>0.97860000000000003</v>
      </c>
      <c r="K127" s="49">
        <v>0.98099999999999998</v>
      </c>
      <c r="L127" s="49">
        <v>0.97140000000000004</v>
      </c>
      <c r="M127" s="49">
        <v>0.97470000000000001</v>
      </c>
      <c r="N127" s="49">
        <v>-6.6451000000000002</v>
      </c>
      <c r="O127" s="49">
        <v>-6.6416000000000004</v>
      </c>
      <c r="P127" s="49">
        <v>-6.6581000000000001</v>
      </c>
      <c r="Q127" s="49">
        <v>-6.6555999999999997</v>
      </c>
      <c r="R127" s="49">
        <v>-6.6369999999999996</v>
      </c>
      <c r="S127" s="49">
        <v>-6.6329000000000002</v>
      </c>
      <c r="T127" s="49">
        <v>2.0377999999999998</v>
      </c>
      <c r="U127" s="49">
        <v>2.0396000000000001</v>
      </c>
      <c r="V127" s="49">
        <v>2.0276999999999998</v>
      </c>
      <c r="W127" s="49">
        <v>2.0293000000000001</v>
      </c>
      <c r="X127" s="49">
        <v>2.0510000000000002</v>
      </c>
      <c r="Y127" s="49">
        <v>2.0529000000000002</v>
      </c>
      <c r="Z127" s="49">
        <v>-0.36030000000000001</v>
      </c>
      <c r="AA127" s="49">
        <v>-0.35599999999999998</v>
      </c>
      <c r="AB127" s="49">
        <v>-0.60329999999999995</v>
      </c>
      <c r="AC127" s="49">
        <v>-0.5998</v>
      </c>
      <c r="AD127" s="49">
        <v>-0.1454</v>
      </c>
      <c r="AE127" s="49">
        <v>-0.1406</v>
      </c>
      <c r="AH127" s="16">
        <f t="shared" si="7"/>
        <v>19900430</v>
      </c>
      <c r="AI127" s="16">
        <f t="shared" si="8"/>
        <v>-0.38669999999999999</v>
      </c>
      <c r="AJ127" s="16">
        <f t="shared" si="9"/>
        <v>-1.6399999999999526E-2</v>
      </c>
      <c r="AK127" s="16">
        <f t="shared" si="10"/>
        <v>-15.244199999999999</v>
      </c>
      <c r="AL127" s="16">
        <v>7.21875</v>
      </c>
      <c r="AM127" s="17">
        <f t="shared" si="11"/>
        <v>-0.98826250000000004</v>
      </c>
      <c r="AN127" s="17">
        <f t="shared" si="12"/>
        <v>-1.6399999999999526E-2</v>
      </c>
      <c r="AO127" s="17">
        <f t="shared" si="13"/>
        <v>-15.244199999999999</v>
      </c>
    </row>
    <row r="128" spans="1:41">
      <c r="A128" s="49">
        <v>19900531</v>
      </c>
      <c r="B128" s="49">
        <v>10.423</v>
      </c>
      <c r="C128" s="49">
        <v>10.428800000000001</v>
      </c>
      <c r="D128" s="49">
        <v>10.122199999999999</v>
      </c>
      <c r="E128" s="49">
        <v>10.1289</v>
      </c>
      <c r="F128" s="49">
        <v>10.721299999999999</v>
      </c>
      <c r="G128" s="49">
        <v>10.7262</v>
      </c>
      <c r="H128" s="49">
        <v>10.002599999999999</v>
      </c>
      <c r="I128" s="49">
        <v>10.0078</v>
      </c>
      <c r="J128" s="49">
        <v>9.8123000000000005</v>
      </c>
      <c r="K128" s="49">
        <v>9.8186999999999998</v>
      </c>
      <c r="L128" s="49">
        <v>10.209899999999999</v>
      </c>
      <c r="M128" s="49">
        <v>10.213900000000001</v>
      </c>
      <c r="N128" s="49">
        <v>12.506600000000001</v>
      </c>
      <c r="O128" s="49">
        <v>12.5153</v>
      </c>
      <c r="P128" s="49">
        <v>12.220700000000001</v>
      </c>
      <c r="Q128" s="49">
        <v>12.2301</v>
      </c>
      <c r="R128" s="49">
        <v>12.683</v>
      </c>
      <c r="S128" s="49">
        <v>12.6912</v>
      </c>
      <c r="T128" s="49">
        <v>9.7845999999999993</v>
      </c>
      <c r="U128" s="49">
        <v>9.7888999999999999</v>
      </c>
      <c r="V128" s="49">
        <v>9.0844000000000005</v>
      </c>
      <c r="W128" s="49">
        <v>9.0921000000000003</v>
      </c>
      <c r="X128" s="49">
        <v>10.6868</v>
      </c>
      <c r="Y128" s="49">
        <v>10.6868</v>
      </c>
      <c r="Z128" s="49">
        <v>10.282999999999999</v>
      </c>
      <c r="AA128" s="49">
        <v>10.289400000000001</v>
      </c>
      <c r="AB128" s="49">
        <v>10.939</v>
      </c>
      <c r="AC128" s="49">
        <v>10.943099999999999</v>
      </c>
      <c r="AD128" s="49">
        <v>9.7058999999999997</v>
      </c>
      <c r="AE128" s="49">
        <v>9.7142999999999997</v>
      </c>
      <c r="AH128" s="16">
        <f t="shared" si="7"/>
        <v>19900531</v>
      </c>
      <c r="AI128" s="16">
        <f t="shared" si="8"/>
        <v>10.428800000000001</v>
      </c>
      <c r="AJ128" s="16">
        <f t="shared" si="9"/>
        <v>-0.85630000000000095</v>
      </c>
      <c r="AK128" s="16">
        <f t="shared" si="10"/>
        <v>4.8887</v>
      </c>
      <c r="AL128" s="16">
        <v>7.34375</v>
      </c>
      <c r="AM128" s="17">
        <f t="shared" si="11"/>
        <v>9.8168208333333347</v>
      </c>
      <c r="AN128" s="17">
        <f t="shared" si="12"/>
        <v>-0.85630000000000095</v>
      </c>
      <c r="AO128" s="17">
        <f t="shared" si="13"/>
        <v>4.8887</v>
      </c>
    </row>
    <row r="129" spans="1:41">
      <c r="A129" s="49">
        <v>19900630</v>
      </c>
      <c r="B129" s="49">
        <v>-3.1131000000000002</v>
      </c>
      <c r="C129" s="49">
        <v>-3.0948000000000002</v>
      </c>
      <c r="D129" s="49">
        <v>-4.1189999999999998</v>
      </c>
      <c r="E129" s="49">
        <v>-4.0967000000000002</v>
      </c>
      <c r="F129" s="49">
        <v>-2.1206999999999998</v>
      </c>
      <c r="G129" s="49">
        <v>-2.1063999999999998</v>
      </c>
      <c r="H129" s="49">
        <v>-4.5124000000000004</v>
      </c>
      <c r="I129" s="49">
        <v>-4.4923000000000002</v>
      </c>
      <c r="J129" s="49">
        <v>-5.1802000000000001</v>
      </c>
      <c r="K129" s="49">
        <v>-5.1555</v>
      </c>
      <c r="L129" s="49">
        <v>-3.7873999999999999</v>
      </c>
      <c r="M129" s="49">
        <v>-3.7722000000000002</v>
      </c>
      <c r="N129" s="49">
        <v>3.6678999999999999</v>
      </c>
      <c r="O129" s="49">
        <v>3.6768999999999998</v>
      </c>
      <c r="P129" s="49">
        <v>2.9119000000000002</v>
      </c>
      <c r="Q129" s="49">
        <v>2.9182000000000001</v>
      </c>
      <c r="R129" s="49">
        <v>4.1326999999999998</v>
      </c>
      <c r="S129" s="49">
        <v>4.1433999999999997</v>
      </c>
      <c r="T129" s="49">
        <v>-6.1547000000000001</v>
      </c>
      <c r="U129" s="49">
        <v>-6.1285999999999996</v>
      </c>
      <c r="V129" s="49">
        <v>-6.1943999999999999</v>
      </c>
      <c r="W129" s="49">
        <v>-6.1578999999999997</v>
      </c>
      <c r="X129" s="49">
        <v>-6.1043000000000003</v>
      </c>
      <c r="Y129" s="49">
        <v>-6.0914000000000001</v>
      </c>
      <c r="Z129" s="49">
        <v>-2.4102999999999999</v>
      </c>
      <c r="AA129" s="49">
        <v>-2.3978000000000002</v>
      </c>
      <c r="AB129" s="49">
        <v>-3.6374</v>
      </c>
      <c r="AC129" s="49">
        <v>-3.6307</v>
      </c>
      <c r="AD129" s="49">
        <v>-1.3189</v>
      </c>
      <c r="AE129" s="49">
        <v>-1.3011999999999999</v>
      </c>
      <c r="AH129" s="16">
        <f t="shared" si="7"/>
        <v>19900630</v>
      </c>
      <c r="AI129" s="16">
        <f t="shared" si="8"/>
        <v>-3.0948000000000002</v>
      </c>
      <c r="AJ129" s="16">
        <f t="shared" si="9"/>
        <v>-2.6084999999999994</v>
      </c>
      <c r="AK129" s="16">
        <f t="shared" si="10"/>
        <v>15.9893</v>
      </c>
      <c r="AL129" s="16">
        <v>7.375</v>
      </c>
      <c r="AM129" s="17">
        <f t="shared" si="11"/>
        <v>-3.7093833333333337</v>
      </c>
      <c r="AN129" s="17">
        <f t="shared" si="12"/>
        <v>-2.6084999999999994</v>
      </c>
      <c r="AO129" s="17">
        <f t="shared" si="13"/>
        <v>15.9893</v>
      </c>
    </row>
    <row r="130" spans="1:41">
      <c r="A130" s="49">
        <v>19900731</v>
      </c>
      <c r="B130" s="49">
        <v>-3.0154000000000001</v>
      </c>
      <c r="C130" s="49">
        <v>-3.0137999999999998</v>
      </c>
      <c r="D130" s="49">
        <v>-3.8978000000000002</v>
      </c>
      <c r="E130" s="49">
        <v>-3.8961000000000001</v>
      </c>
      <c r="F130" s="49">
        <v>-2.1627000000000001</v>
      </c>
      <c r="G130" s="49">
        <v>-2.1610999999999998</v>
      </c>
      <c r="H130" s="49">
        <v>-4.1531000000000002</v>
      </c>
      <c r="I130" s="49">
        <v>-4.1513</v>
      </c>
      <c r="J130" s="49">
        <v>-4.7081999999999997</v>
      </c>
      <c r="K130" s="49">
        <v>-4.7066999999999997</v>
      </c>
      <c r="L130" s="49">
        <v>-3.5590000000000002</v>
      </c>
      <c r="M130" s="49">
        <v>-3.5569999999999999</v>
      </c>
      <c r="N130" s="49">
        <v>2.0548999999999999</v>
      </c>
      <c r="O130" s="49">
        <v>2.056</v>
      </c>
      <c r="P130" s="49">
        <v>1.0437000000000001</v>
      </c>
      <c r="Q130" s="49">
        <v>1.0459000000000001</v>
      </c>
      <c r="R130" s="49">
        <v>2.6692</v>
      </c>
      <c r="S130" s="49">
        <v>2.6696</v>
      </c>
      <c r="T130" s="49">
        <v>-6.3642000000000003</v>
      </c>
      <c r="U130" s="49">
        <v>-6.3619000000000003</v>
      </c>
      <c r="V130" s="49">
        <v>-6.8170999999999999</v>
      </c>
      <c r="W130" s="49">
        <v>-6.8159999999999998</v>
      </c>
      <c r="X130" s="49">
        <v>-5.7892000000000001</v>
      </c>
      <c r="Y130" s="49">
        <v>-5.7853000000000003</v>
      </c>
      <c r="Z130" s="49">
        <v>-1.4321999999999999</v>
      </c>
      <c r="AA130" s="49">
        <v>-1.4311</v>
      </c>
      <c r="AB130" s="49">
        <v>-1.5848</v>
      </c>
      <c r="AC130" s="49">
        <v>-1.5825</v>
      </c>
      <c r="AD130" s="49">
        <v>-1.2996000000000001</v>
      </c>
      <c r="AE130" s="49">
        <v>-1.2996000000000001</v>
      </c>
      <c r="AH130" s="16">
        <f t="shared" si="7"/>
        <v>19900731</v>
      </c>
      <c r="AI130" s="16">
        <f t="shared" si="8"/>
        <v>-3.0137999999999998</v>
      </c>
      <c r="AJ130" s="16">
        <f t="shared" si="9"/>
        <v>-2.7733999999999996</v>
      </c>
      <c r="AK130" s="16">
        <f t="shared" si="10"/>
        <v>11.979200000000001</v>
      </c>
      <c r="AL130" s="16">
        <v>7.53125</v>
      </c>
      <c r="AM130" s="17">
        <f t="shared" si="11"/>
        <v>-3.6414041666666663</v>
      </c>
      <c r="AN130" s="17">
        <f t="shared" si="12"/>
        <v>-2.7733999999999996</v>
      </c>
      <c r="AO130" s="17">
        <f t="shared" si="13"/>
        <v>11.979200000000001</v>
      </c>
    </row>
    <row r="131" spans="1:41">
      <c r="A131" s="49">
        <v>19900831</v>
      </c>
      <c r="B131" s="49">
        <v>-12.7044</v>
      </c>
      <c r="C131" s="49">
        <v>-12.6972</v>
      </c>
      <c r="D131" s="49">
        <v>-11.3948</v>
      </c>
      <c r="E131" s="49">
        <v>-11.385899999999999</v>
      </c>
      <c r="F131" s="49">
        <v>-13.9472</v>
      </c>
      <c r="G131" s="49">
        <v>-13.941599999999999</v>
      </c>
      <c r="H131" s="49">
        <v>-12.1434</v>
      </c>
      <c r="I131" s="49">
        <v>-12.136699999999999</v>
      </c>
      <c r="J131" s="49">
        <v>-10.7851</v>
      </c>
      <c r="K131" s="49">
        <v>-10.7761</v>
      </c>
      <c r="L131" s="49">
        <v>-13.5794</v>
      </c>
      <c r="M131" s="49">
        <v>-13.575100000000001</v>
      </c>
      <c r="N131" s="49">
        <v>-15.049799999999999</v>
      </c>
      <c r="O131" s="49">
        <v>-15.0405</v>
      </c>
      <c r="P131" s="49">
        <v>-14.895</v>
      </c>
      <c r="Q131" s="49">
        <v>-14.886699999999999</v>
      </c>
      <c r="R131" s="49">
        <v>-15.1425</v>
      </c>
      <c r="S131" s="49">
        <v>-15.1325</v>
      </c>
      <c r="T131" s="49">
        <v>-10.666399999999999</v>
      </c>
      <c r="U131" s="49">
        <v>-10.663399999999999</v>
      </c>
      <c r="V131" s="49">
        <v>-8.9878</v>
      </c>
      <c r="W131" s="49">
        <v>-8.9824999999999999</v>
      </c>
      <c r="X131" s="49">
        <v>-12.774100000000001</v>
      </c>
      <c r="Y131" s="49">
        <v>-12.774100000000001</v>
      </c>
      <c r="Z131" s="49">
        <v>-13.869300000000001</v>
      </c>
      <c r="AA131" s="49">
        <v>-13.8581</v>
      </c>
      <c r="AB131" s="49">
        <v>-13.305099999999999</v>
      </c>
      <c r="AC131" s="49">
        <v>-13.291</v>
      </c>
      <c r="AD131" s="49">
        <v>-14.3575</v>
      </c>
      <c r="AE131" s="49">
        <v>-14.3489</v>
      </c>
      <c r="AH131" s="16">
        <f t="shared" si="7"/>
        <v>19900831</v>
      </c>
      <c r="AI131" s="16">
        <f t="shared" si="8"/>
        <v>-12.6972</v>
      </c>
      <c r="AJ131" s="16">
        <f t="shared" si="9"/>
        <v>3.0448000000000022</v>
      </c>
      <c r="AK131" s="16">
        <f t="shared" si="10"/>
        <v>-5.6679999999999993</v>
      </c>
      <c r="AL131" s="16">
        <v>7.65625</v>
      </c>
      <c r="AM131" s="17">
        <f t="shared" si="11"/>
        <v>-13.335220833333334</v>
      </c>
      <c r="AN131" s="17">
        <f t="shared" si="12"/>
        <v>3.0448000000000022</v>
      </c>
      <c r="AO131" s="17">
        <f t="shared" si="13"/>
        <v>-5.6679999999999993</v>
      </c>
    </row>
    <row r="132" spans="1:41">
      <c r="A132" s="49">
        <v>19900930</v>
      </c>
      <c r="B132" s="49">
        <v>-20.213999999999999</v>
      </c>
      <c r="C132" s="49">
        <v>-19.9956</v>
      </c>
      <c r="D132" s="49">
        <v>-18.561900000000001</v>
      </c>
      <c r="E132" s="49">
        <v>-18.3308</v>
      </c>
      <c r="F132" s="49">
        <v>-21.828399999999998</v>
      </c>
      <c r="G132" s="49">
        <v>-21.622199999999999</v>
      </c>
      <c r="H132" s="49">
        <v>-19.8963</v>
      </c>
      <c r="I132" s="49">
        <v>-19.659500000000001</v>
      </c>
      <c r="J132" s="49">
        <v>-18.6113</v>
      </c>
      <c r="K132" s="49">
        <v>-18.368400000000001</v>
      </c>
      <c r="L132" s="49">
        <v>-21.298500000000001</v>
      </c>
      <c r="M132" s="49">
        <v>-21.068300000000001</v>
      </c>
      <c r="N132" s="49">
        <v>-21.584800000000001</v>
      </c>
      <c r="O132" s="49">
        <v>-21.444900000000001</v>
      </c>
      <c r="P132" s="49">
        <v>-18.264800000000001</v>
      </c>
      <c r="Q132" s="49">
        <v>-18.103899999999999</v>
      </c>
      <c r="R132" s="49">
        <v>-23.5776</v>
      </c>
      <c r="S132" s="49">
        <v>-23.45</v>
      </c>
      <c r="T132" s="49">
        <v>-19.067499999999999</v>
      </c>
      <c r="U132" s="49">
        <v>-18.771899999999999</v>
      </c>
      <c r="V132" s="49">
        <v>-18.101500000000001</v>
      </c>
      <c r="W132" s="49">
        <v>-17.820799999999998</v>
      </c>
      <c r="X132" s="49">
        <v>-20.333300000000001</v>
      </c>
      <c r="Y132" s="49">
        <v>-20.0184</v>
      </c>
      <c r="Z132" s="49">
        <v>-20.900400000000001</v>
      </c>
      <c r="AA132" s="49">
        <v>-20.732099999999999</v>
      </c>
      <c r="AB132" s="49">
        <v>-19.361699999999999</v>
      </c>
      <c r="AC132" s="49">
        <v>-19.1722</v>
      </c>
      <c r="AD132" s="49">
        <v>-22.248000000000001</v>
      </c>
      <c r="AE132" s="49">
        <v>-22.097999999999999</v>
      </c>
      <c r="AH132" s="16">
        <f t="shared" ref="AH132:AH195" si="14">+A132</f>
        <v>19900930</v>
      </c>
      <c r="AI132" s="16">
        <f t="shared" ref="AI132:AI195" si="15">+C132</f>
        <v>-19.9956</v>
      </c>
      <c r="AJ132" s="16">
        <f t="shared" ref="AJ132:AJ195" si="16">+(K132-M132)+(Q132-S132)</f>
        <v>8.0459999999999994</v>
      </c>
      <c r="AK132" s="16">
        <f t="shared" ref="AK132:AK195" si="17">(S132+Q132)-(M132+K132)</f>
        <v>-2.1171999999999969</v>
      </c>
      <c r="AL132" s="16">
        <v>7.96875</v>
      </c>
      <c r="AM132" s="17">
        <f t="shared" si="11"/>
        <v>-20.6596625</v>
      </c>
      <c r="AN132" s="17">
        <f t="shared" si="12"/>
        <v>8.0459999999999994</v>
      </c>
      <c r="AO132" s="17">
        <f t="shared" si="13"/>
        <v>-2.1171999999999969</v>
      </c>
    </row>
    <row r="133" spans="1:41">
      <c r="A133" s="49">
        <v>19901031</v>
      </c>
      <c r="B133" s="49">
        <v>18.074400000000001</v>
      </c>
      <c r="C133" s="49">
        <v>18.078600000000002</v>
      </c>
      <c r="D133" s="49">
        <v>14.823700000000001</v>
      </c>
      <c r="E133" s="49">
        <v>14.8269</v>
      </c>
      <c r="F133" s="49">
        <v>21.3826</v>
      </c>
      <c r="G133" s="49">
        <v>21.387699999999999</v>
      </c>
      <c r="H133" s="49">
        <v>17.940100000000001</v>
      </c>
      <c r="I133" s="49">
        <v>17.9435</v>
      </c>
      <c r="J133" s="49">
        <v>14.7828</v>
      </c>
      <c r="K133" s="49">
        <v>14.7858</v>
      </c>
      <c r="L133" s="49">
        <v>21.501000000000001</v>
      </c>
      <c r="M133" s="49">
        <v>21.504999999999999</v>
      </c>
      <c r="N133" s="49">
        <v>18.665800000000001</v>
      </c>
      <c r="O133" s="49">
        <v>18.673200000000001</v>
      </c>
      <c r="P133" s="49">
        <v>15.067399999999999</v>
      </c>
      <c r="Q133" s="49">
        <v>15.071899999999999</v>
      </c>
      <c r="R133" s="49">
        <v>20.978899999999999</v>
      </c>
      <c r="S133" s="49">
        <v>20.988099999999999</v>
      </c>
      <c r="T133" s="49">
        <v>16.875499999999999</v>
      </c>
      <c r="U133" s="49">
        <v>16.878299999999999</v>
      </c>
      <c r="V133" s="49">
        <v>13.2516</v>
      </c>
      <c r="W133" s="49">
        <v>13.254099999999999</v>
      </c>
      <c r="X133" s="49">
        <v>21.7578</v>
      </c>
      <c r="Y133" s="49">
        <v>21.761099999999999</v>
      </c>
      <c r="Z133" s="49">
        <v>19.258500000000002</v>
      </c>
      <c r="AA133" s="49">
        <v>19.262699999999999</v>
      </c>
      <c r="AB133" s="49">
        <v>17.071100000000001</v>
      </c>
      <c r="AC133" s="49">
        <v>17.0749</v>
      </c>
      <c r="AD133" s="49">
        <v>21.242699999999999</v>
      </c>
      <c r="AE133" s="49">
        <v>21.247199999999999</v>
      </c>
      <c r="AH133" s="16">
        <f t="shared" si="14"/>
        <v>19901031</v>
      </c>
      <c r="AI133" s="16">
        <f t="shared" si="15"/>
        <v>18.078600000000002</v>
      </c>
      <c r="AJ133" s="16">
        <f t="shared" si="16"/>
        <v>-12.635399999999999</v>
      </c>
      <c r="AK133" s="16">
        <f t="shared" si="17"/>
        <v>-0.23079999999999501</v>
      </c>
      <c r="AL133" s="16">
        <v>8.21875</v>
      </c>
      <c r="AM133" s="17">
        <f t="shared" ref="AM133:AM196" si="18">+AI133-AL133/12</f>
        <v>17.393704166666669</v>
      </c>
      <c r="AN133" s="17">
        <f t="shared" ref="AN133:AN196" si="19">+AJ133</f>
        <v>-12.635399999999999</v>
      </c>
      <c r="AO133" s="17">
        <f t="shared" ref="AO133:AO196" si="20">+AK133</f>
        <v>-0.23079999999999501</v>
      </c>
    </row>
    <row r="134" spans="1:41">
      <c r="A134" s="49">
        <v>19901130</v>
      </c>
      <c r="B134" s="49">
        <v>-12.464499999999999</v>
      </c>
      <c r="C134" s="49">
        <v>-12.4572</v>
      </c>
      <c r="D134" s="49">
        <v>-10.828799999999999</v>
      </c>
      <c r="E134" s="49">
        <v>-10.8209</v>
      </c>
      <c r="F134" s="49">
        <v>-14.0383</v>
      </c>
      <c r="G134" s="49">
        <v>-14.031700000000001</v>
      </c>
      <c r="H134" s="49">
        <v>-11.8369</v>
      </c>
      <c r="I134" s="49">
        <v>-11.830399999999999</v>
      </c>
      <c r="J134" s="49">
        <v>-10.3642</v>
      </c>
      <c r="K134" s="49">
        <v>-10.3567</v>
      </c>
      <c r="L134" s="49">
        <v>-13.4056</v>
      </c>
      <c r="M134" s="49">
        <v>-13.4</v>
      </c>
      <c r="N134" s="49">
        <v>-15.209199999999999</v>
      </c>
      <c r="O134" s="49">
        <v>-15.1989</v>
      </c>
      <c r="P134" s="49">
        <v>-13.592000000000001</v>
      </c>
      <c r="Q134" s="49">
        <v>-13.5817</v>
      </c>
      <c r="R134" s="49">
        <v>-16.197399999999998</v>
      </c>
      <c r="S134" s="49">
        <v>-16.187100000000001</v>
      </c>
      <c r="T134" s="49">
        <v>-10.245799999999999</v>
      </c>
      <c r="U134" s="49">
        <v>-10.2407</v>
      </c>
      <c r="V134" s="49">
        <v>-9.4628999999999994</v>
      </c>
      <c r="W134" s="49">
        <v>-9.4537999999999993</v>
      </c>
      <c r="X134" s="49">
        <v>-11.2272</v>
      </c>
      <c r="Y134" s="49">
        <v>-11.2272</v>
      </c>
      <c r="Z134" s="49">
        <v>-13.769399999999999</v>
      </c>
      <c r="AA134" s="49">
        <v>-13.761100000000001</v>
      </c>
      <c r="AB134" s="49">
        <v>-11.670500000000001</v>
      </c>
      <c r="AC134" s="49">
        <v>-11.6655</v>
      </c>
      <c r="AD134" s="49">
        <v>-15.6061</v>
      </c>
      <c r="AE134" s="49">
        <v>-15.595000000000001</v>
      </c>
      <c r="AH134" s="16">
        <f t="shared" si="14"/>
        <v>19901130</v>
      </c>
      <c r="AI134" s="16">
        <f t="shared" si="15"/>
        <v>-12.4572</v>
      </c>
      <c r="AJ134" s="16">
        <f t="shared" si="16"/>
        <v>5.6487000000000016</v>
      </c>
      <c r="AK134" s="16">
        <f t="shared" si="17"/>
        <v>-6.0120999999999967</v>
      </c>
      <c r="AL134" s="16">
        <v>8.03125</v>
      </c>
      <c r="AM134" s="17">
        <f t="shared" si="18"/>
        <v>-13.126470833333334</v>
      </c>
      <c r="AN134" s="17">
        <f t="shared" si="19"/>
        <v>5.6487000000000016</v>
      </c>
      <c r="AO134" s="17">
        <f t="shared" si="20"/>
        <v>-6.0120999999999967</v>
      </c>
    </row>
    <row r="135" spans="1:41">
      <c r="A135" s="49">
        <v>19901231</v>
      </c>
      <c r="B135" s="49">
        <v>4.0628000000000002</v>
      </c>
      <c r="C135" s="49">
        <v>4.0971000000000002</v>
      </c>
      <c r="D135" s="49">
        <v>4.7790999999999997</v>
      </c>
      <c r="E135" s="49">
        <v>4.8164999999999996</v>
      </c>
      <c r="F135" s="49">
        <v>3.3473000000000002</v>
      </c>
      <c r="G135" s="49">
        <v>3.3786</v>
      </c>
      <c r="H135" s="49">
        <v>5.3695000000000004</v>
      </c>
      <c r="I135" s="49">
        <v>5.4051</v>
      </c>
      <c r="J135" s="49">
        <v>5.6825000000000001</v>
      </c>
      <c r="K135" s="49">
        <v>5.7226999999999997</v>
      </c>
      <c r="L135" s="49">
        <v>5.0240999999999998</v>
      </c>
      <c r="M135" s="49">
        <v>5.0545999999999998</v>
      </c>
      <c r="N135" s="49">
        <v>-1.8774</v>
      </c>
      <c r="O135" s="49">
        <v>-1.8486</v>
      </c>
      <c r="P135" s="49">
        <v>-0.79239999999999999</v>
      </c>
      <c r="Q135" s="49">
        <v>-0.77229999999999999</v>
      </c>
      <c r="R135" s="49">
        <v>-2.5613000000000001</v>
      </c>
      <c r="S135" s="49">
        <v>-2.5270999999999999</v>
      </c>
      <c r="T135" s="49">
        <v>7.4527000000000001</v>
      </c>
      <c r="U135" s="49">
        <v>7.4916999999999998</v>
      </c>
      <c r="V135" s="49">
        <v>6.5895000000000001</v>
      </c>
      <c r="W135" s="49">
        <v>6.6417000000000002</v>
      </c>
      <c r="X135" s="49">
        <v>8.5563000000000002</v>
      </c>
      <c r="Y135" s="49">
        <v>8.5785</v>
      </c>
      <c r="Z135" s="49">
        <v>2.7408000000000001</v>
      </c>
      <c r="AA135" s="49">
        <v>2.7721</v>
      </c>
      <c r="AB135" s="49">
        <v>4.3403999999999998</v>
      </c>
      <c r="AC135" s="49">
        <v>4.3630000000000004</v>
      </c>
      <c r="AD135" s="49">
        <v>1.2734000000000001</v>
      </c>
      <c r="AE135" s="49">
        <v>1.3126</v>
      </c>
      <c r="AH135" s="16">
        <f t="shared" si="14"/>
        <v>19901231</v>
      </c>
      <c r="AI135" s="16">
        <f t="shared" si="15"/>
        <v>4.0971000000000002</v>
      </c>
      <c r="AJ135" s="16">
        <f t="shared" si="16"/>
        <v>2.4228999999999998</v>
      </c>
      <c r="AK135" s="16">
        <f t="shared" si="17"/>
        <v>-14.076700000000001</v>
      </c>
      <c r="AL135" s="16">
        <v>8.34375</v>
      </c>
      <c r="AM135" s="17">
        <f t="shared" si="18"/>
        <v>3.4017875000000002</v>
      </c>
      <c r="AN135" s="17">
        <f t="shared" si="19"/>
        <v>2.4228999999999998</v>
      </c>
      <c r="AO135" s="17">
        <f t="shared" si="20"/>
        <v>-14.076700000000001</v>
      </c>
    </row>
    <row r="136" spans="1:41">
      <c r="A136" s="49">
        <v>19910131</v>
      </c>
      <c r="B136" s="49">
        <v>-2.1797</v>
      </c>
      <c r="C136" s="49">
        <v>-2.1743999999999999</v>
      </c>
      <c r="D136" s="49">
        <v>-1.9189000000000001</v>
      </c>
      <c r="E136" s="49">
        <v>-1.9105000000000001</v>
      </c>
      <c r="F136" s="49">
        <v>-2.4430999999999998</v>
      </c>
      <c r="G136" s="49">
        <v>-2.4409999999999998</v>
      </c>
      <c r="H136" s="49">
        <v>-1.1963999999999999</v>
      </c>
      <c r="I136" s="49">
        <v>-1.1911</v>
      </c>
      <c r="J136" s="49">
        <v>-1.2156</v>
      </c>
      <c r="K136" s="49">
        <v>-1.2072000000000001</v>
      </c>
      <c r="L136" s="49">
        <v>-1.1751</v>
      </c>
      <c r="M136" s="49">
        <v>-1.1733</v>
      </c>
      <c r="N136" s="49">
        <v>-6.7618999999999998</v>
      </c>
      <c r="O136" s="49">
        <v>-6.7567000000000004</v>
      </c>
      <c r="P136" s="49">
        <v>-6.2645</v>
      </c>
      <c r="Q136" s="49">
        <v>-6.2564000000000002</v>
      </c>
      <c r="R136" s="49">
        <v>-7.0881999999999996</v>
      </c>
      <c r="S136" s="49">
        <v>-7.0850999999999997</v>
      </c>
      <c r="T136" s="49">
        <v>-0.24579999999999999</v>
      </c>
      <c r="U136" s="49">
        <v>-0.23769999999999999</v>
      </c>
      <c r="V136" s="49">
        <v>-0.33329999999999999</v>
      </c>
      <c r="W136" s="49">
        <v>-0.32119999999999999</v>
      </c>
      <c r="X136" s="49">
        <v>-0.1394</v>
      </c>
      <c r="Y136" s="49">
        <v>-0.13619999999999999</v>
      </c>
      <c r="Z136" s="49">
        <v>-2.4767999999999999</v>
      </c>
      <c r="AA136" s="49">
        <v>-2.4754</v>
      </c>
      <c r="AB136" s="49">
        <v>-2.5354999999999999</v>
      </c>
      <c r="AC136" s="49">
        <v>-2.5326</v>
      </c>
      <c r="AD136" s="49">
        <v>-2.4196</v>
      </c>
      <c r="AE136" s="49">
        <v>-2.4196</v>
      </c>
      <c r="AH136" s="16">
        <f t="shared" si="14"/>
        <v>19910131</v>
      </c>
      <c r="AI136" s="16">
        <f t="shared" si="15"/>
        <v>-2.1743999999999999</v>
      </c>
      <c r="AJ136" s="16">
        <f t="shared" si="16"/>
        <v>0.79479999999999951</v>
      </c>
      <c r="AK136" s="16">
        <f t="shared" si="17"/>
        <v>-10.961</v>
      </c>
      <c r="AL136" s="16">
        <v>8.28125</v>
      </c>
      <c r="AM136" s="17">
        <f t="shared" si="18"/>
        <v>-2.8645041666666664</v>
      </c>
      <c r="AN136" s="17">
        <f t="shared" si="19"/>
        <v>0.79479999999999951</v>
      </c>
      <c r="AO136" s="17">
        <f t="shared" si="20"/>
        <v>-10.961</v>
      </c>
    </row>
    <row r="137" spans="1:41">
      <c r="A137" s="49">
        <v>19910228</v>
      </c>
      <c r="B137" s="49">
        <v>16.139900000000001</v>
      </c>
      <c r="C137" s="49">
        <v>16.155799999999999</v>
      </c>
      <c r="D137" s="49">
        <v>16.908300000000001</v>
      </c>
      <c r="E137" s="49">
        <v>16.9313</v>
      </c>
      <c r="F137" s="49">
        <v>15.3596</v>
      </c>
      <c r="G137" s="49">
        <v>15.368399999999999</v>
      </c>
      <c r="H137" s="49">
        <v>15.007999999999999</v>
      </c>
      <c r="I137" s="49">
        <v>15.0235</v>
      </c>
      <c r="J137" s="49">
        <v>16.130600000000001</v>
      </c>
      <c r="K137" s="49">
        <v>16.154399999999999</v>
      </c>
      <c r="L137" s="49">
        <v>13.7659</v>
      </c>
      <c r="M137" s="49">
        <v>13.7722</v>
      </c>
      <c r="N137" s="49">
        <v>21.7254</v>
      </c>
      <c r="O137" s="49">
        <v>21.743400000000001</v>
      </c>
      <c r="P137" s="49">
        <v>21.970600000000001</v>
      </c>
      <c r="Q137" s="49">
        <v>21.988</v>
      </c>
      <c r="R137" s="49">
        <v>21.563300000000002</v>
      </c>
      <c r="S137" s="49">
        <v>21.581600000000002</v>
      </c>
      <c r="T137" s="49">
        <v>12.950900000000001</v>
      </c>
      <c r="U137" s="49">
        <v>12.956099999999999</v>
      </c>
      <c r="V137" s="49">
        <v>14.779299999999999</v>
      </c>
      <c r="W137" s="49">
        <v>14.7865</v>
      </c>
      <c r="X137" s="49">
        <v>10.7325</v>
      </c>
      <c r="Y137" s="49">
        <v>10.7355</v>
      </c>
      <c r="Z137" s="49">
        <v>17.842500000000001</v>
      </c>
      <c r="AA137" s="49">
        <v>17.872</v>
      </c>
      <c r="AB137" s="49">
        <v>18.197900000000001</v>
      </c>
      <c r="AC137" s="49">
        <v>18.2471</v>
      </c>
      <c r="AD137" s="49">
        <v>17.495799999999999</v>
      </c>
      <c r="AE137" s="49">
        <v>17.5063</v>
      </c>
      <c r="AH137" s="16">
        <f t="shared" si="14"/>
        <v>19910228</v>
      </c>
      <c r="AI137" s="16">
        <f t="shared" si="15"/>
        <v>16.155799999999999</v>
      </c>
      <c r="AJ137" s="16">
        <f t="shared" si="16"/>
        <v>2.7885999999999971</v>
      </c>
      <c r="AK137" s="16">
        <f t="shared" si="17"/>
        <v>13.643000000000001</v>
      </c>
      <c r="AL137" s="16">
        <v>8.15625</v>
      </c>
      <c r="AM137" s="17">
        <f t="shared" si="18"/>
        <v>15.476112499999999</v>
      </c>
      <c r="AN137" s="17">
        <f t="shared" si="19"/>
        <v>2.7885999999999971</v>
      </c>
      <c r="AO137" s="17">
        <f t="shared" si="20"/>
        <v>13.643000000000001</v>
      </c>
    </row>
    <row r="138" spans="1:41">
      <c r="A138" s="49">
        <v>19910331</v>
      </c>
      <c r="B138" s="49">
        <v>0.50770000000000004</v>
      </c>
      <c r="C138" s="49">
        <v>0.88849999999999996</v>
      </c>
      <c r="D138" s="49">
        <v>-0.88519999999999999</v>
      </c>
      <c r="E138" s="49">
        <v>-0.49769999999999998</v>
      </c>
      <c r="F138" s="49">
        <v>1.9412</v>
      </c>
      <c r="G138" s="49">
        <v>2.3148</v>
      </c>
      <c r="H138" s="49">
        <v>-0.41399999999999998</v>
      </c>
      <c r="I138" s="49">
        <v>-2.6100000000000002E-2</v>
      </c>
      <c r="J138" s="49">
        <v>-1.7814000000000001</v>
      </c>
      <c r="K138" s="49">
        <v>-1.3926000000000001</v>
      </c>
      <c r="L138" s="49">
        <v>1.1304000000000001</v>
      </c>
      <c r="M138" s="49">
        <v>1.5172000000000001</v>
      </c>
      <c r="N138" s="49">
        <v>4.7988999999999997</v>
      </c>
      <c r="O138" s="49">
        <v>5.1454000000000004</v>
      </c>
      <c r="P138" s="49">
        <v>4.6608000000000001</v>
      </c>
      <c r="Q138" s="49">
        <v>5.04</v>
      </c>
      <c r="R138" s="49">
        <v>4.8906999999999998</v>
      </c>
      <c r="S138" s="49">
        <v>5.2153</v>
      </c>
      <c r="T138" s="49">
        <v>-1.5316000000000001</v>
      </c>
      <c r="U138" s="49">
        <v>-1.1249</v>
      </c>
      <c r="V138" s="49">
        <v>-2.5154999999999998</v>
      </c>
      <c r="W138" s="49">
        <v>-2.1276999999999999</v>
      </c>
      <c r="X138" s="49">
        <v>-0.29409999999999997</v>
      </c>
      <c r="Y138" s="49">
        <v>0.13619999999999999</v>
      </c>
      <c r="Z138" s="49">
        <v>1.0609999999999999</v>
      </c>
      <c r="AA138" s="49">
        <v>1.4237</v>
      </c>
      <c r="AB138" s="49">
        <v>-0.69140000000000001</v>
      </c>
      <c r="AC138" s="49">
        <v>-0.30109999999999998</v>
      </c>
      <c r="AD138" s="49">
        <v>2.7801999999999998</v>
      </c>
      <c r="AE138" s="49">
        <v>3.1154999999999999</v>
      </c>
      <c r="AH138" s="16">
        <f t="shared" si="14"/>
        <v>19910331</v>
      </c>
      <c r="AI138" s="16">
        <f t="shared" si="15"/>
        <v>0.88849999999999996</v>
      </c>
      <c r="AJ138" s="16">
        <f t="shared" si="16"/>
        <v>-3.0851000000000002</v>
      </c>
      <c r="AK138" s="16">
        <f t="shared" si="17"/>
        <v>10.130700000000001</v>
      </c>
      <c r="AL138" s="16">
        <v>8.25</v>
      </c>
      <c r="AM138" s="17">
        <f t="shared" si="18"/>
        <v>0.20099999999999996</v>
      </c>
      <c r="AN138" s="17">
        <f t="shared" si="19"/>
        <v>-3.0851000000000002</v>
      </c>
      <c r="AO138" s="17">
        <f t="shared" si="20"/>
        <v>10.130700000000001</v>
      </c>
    </row>
    <row r="139" spans="1:41">
      <c r="A139" s="49">
        <v>19910430</v>
      </c>
      <c r="B139" s="49">
        <v>-0.83720000000000006</v>
      </c>
      <c r="C139" s="49">
        <v>-0.83430000000000004</v>
      </c>
      <c r="D139" s="49">
        <v>-1.1054999999999999</v>
      </c>
      <c r="E139" s="49">
        <v>-1.1042000000000001</v>
      </c>
      <c r="F139" s="49">
        <v>-0.56899999999999995</v>
      </c>
      <c r="G139" s="49">
        <v>-0.5645</v>
      </c>
      <c r="H139" s="49">
        <v>-1.1241000000000001</v>
      </c>
      <c r="I139" s="49">
        <v>-1.1214999999999999</v>
      </c>
      <c r="J139" s="49">
        <v>-1.3007</v>
      </c>
      <c r="K139" s="49">
        <v>-1.2998000000000001</v>
      </c>
      <c r="L139" s="49">
        <v>-0.93069999999999997</v>
      </c>
      <c r="M139" s="49">
        <v>-0.92610000000000003</v>
      </c>
      <c r="N139" s="49">
        <v>0.4294</v>
      </c>
      <c r="O139" s="49">
        <v>0.4335</v>
      </c>
      <c r="P139" s="49">
        <v>2.5100000000000001E-2</v>
      </c>
      <c r="Q139" s="49">
        <v>2.87E-2</v>
      </c>
      <c r="R139" s="49">
        <v>0.69730000000000003</v>
      </c>
      <c r="S139" s="49">
        <v>0.7016</v>
      </c>
      <c r="T139" s="49">
        <v>-1.2504999999999999</v>
      </c>
      <c r="U139" s="49">
        <v>-1.2484999999999999</v>
      </c>
      <c r="V139" s="49">
        <v>-1.3469</v>
      </c>
      <c r="W139" s="49">
        <v>-1.3465</v>
      </c>
      <c r="X139" s="49">
        <v>-1.1319999999999999</v>
      </c>
      <c r="Y139" s="49">
        <v>-1.1278999999999999</v>
      </c>
      <c r="Z139" s="49">
        <v>-0.96130000000000004</v>
      </c>
      <c r="AA139" s="49">
        <v>-0.95799999999999996</v>
      </c>
      <c r="AB139" s="49">
        <v>-1.2332000000000001</v>
      </c>
      <c r="AC139" s="49">
        <v>-1.2317</v>
      </c>
      <c r="AD139" s="49">
        <v>-0.70430000000000004</v>
      </c>
      <c r="AE139" s="49">
        <v>-0.69930000000000003</v>
      </c>
      <c r="AH139" s="16">
        <f t="shared" si="14"/>
        <v>19910430</v>
      </c>
      <c r="AI139" s="16">
        <f t="shared" si="15"/>
        <v>-0.83430000000000004</v>
      </c>
      <c r="AJ139" s="16">
        <f t="shared" si="16"/>
        <v>-1.0466000000000002</v>
      </c>
      <c r="AK139" s="16">
        <f t="shared" si="17"/>
        <v>2.9561999999999999</v>
      </c>
      <c r="AL139" s="16">
        <v>8.625</v>
      </c>
      <c r="AM139" s="17">
        <f t="shared" si="18"/>
        <v>-1.55305</v>
      </c>
      <c r="AN139" s="17">
        <f t="shared" si="19"/>
        <v>-1.0466000000000002</v>
      </c>
      <c r="AO139" s="17">
        <f t="shared" si="20"/>
        <v>2.9561999999999999</v>
      </c>
    </row>
    <row r="140" spans="1:41">
      <c r="A140" s="49">
        <v>19910531</v>
      </c>
      <c r="B140" s="49">
        <v>-0.31440000000000001</v>
      </c>
      <c r="C140" s="49">
        <v>-0.30790000000000001</v>
      </c>
      <c r="D140" s="49">
        <v>-0.58799999999999997</v>
      </c>
      <c r="E140" s="49">
        <v>-0.58099999999999996</v>
      </c>
      <c r="F140" s="49">
        <v>-4.24E-2</v>
      </c>
      <c r="G140" s="49">
        <v>-3.6400000000000002E-2</v>
      </c>
      <c r="H140" s="49">
        <v>-0.25009999999999999</v>
      </c>
      <c r="I140" s="49">
        <v>-0.24429999999999999</v>
      </c>
      <c r="J140" s="49">
        <v>-0.56200000000000006</v>
      </c>
      <c r="K140" s="49">
        <v>-0.55530000000000002</v>
      </c>
      <c r="L140" s="49">
        <v>9.0399999999999994E-2</v>
      </c>
      <c r="M140" s="49">
        <v>9.5100000000000004E-2</v>
      </c>
      <c r="N140" s="49">
        <v>-0.59309999999999996</v>
      </c>
      <c r="O140" s="49">
        <v>-0.58350000000000002</v>
      </c>
      <c r="P140" s="49">
        <v>-0.73619999999999997</v>
      </c>
      <c r="Q140" s="49">
        <v>-0.72709999999999997</v>
      </c>
      <c r="R140" s="49">
        <v>-0.499</v>
      </c>
      <c r="S140" s="49">
        <v>-0.48899999999999999</v>
      </c>
      <c r="T140" s="49">
        <v>-0.48730000000000001</v>
      </c>
      <c r="U140" s="49">
        <v>-0.48089999999999999</v>
      </c>
      <c r="V140" s="49">
        <v>-1.1611</v>
      </c>
      <c r="W140" s="49">
        <v>-1.1520999999999999</v>
      </c>
      <c r="X140" s="49">
        <v>0.33960000000000001</v>
      </c>
      <c r="Y140" s="49">
        <v>0.3427</v>
      </c>
      <c r="Z140" s="49">
        <v>5.4199999999999998E-2</v>
      </c>
      <c r="AA140" s="49">
        <v>5.9200000000000003E-2</v>
      </c>
      <c r="AB140" s="49">
        <v>0.31190000000000001</v>
      </c>
      <c r="AC140" s="49">
        <v>0.31530000000000002</v>
      </c>
      <c r="AD140" s="49">
        <v>-0.18820000000000001</v>
      </c>
      <c r="AE140" s="49">
        <v>-0.18160000000000001</v>
      </c>
      <c r="AH140" s="16">
        <f t="shared" si="14"/>
        <v>19910531</v>
      </c>
      <c r="AI140" s="16">
        <f t="shared" si="15"/>
        <v>-0.30790000000000001</v>
      </c>
      <c r="AJ140" s="16">
        <f t="shared" si="16"/>
        <v>-0.88849999999999996</v>
      </c>
      <c r="AK140" s="16">
        <f t="shared" si="17"/>
        <v>-0.75590000000000002</v>
      </c>
      <c r="AL140" s="16">
        <v>8.21875</v>
      </c>
      <c r="AM140" s="17">
        <f t="shared" si="18"/>
        <v>-0.99279583333333332</v>
      </c>
      <c r="AN140" s="17">
        <f t="shared" si="19"/>
        <v>-0.88849999999999996</v>
      </c>
      <c r="AO140" s="17">
        <f t="shared" si="20"/>
        <v>-0.75590000000000002</v>
      </c>
    </row>
    <row r="141" spans="1:41">
      <c r="A141" s="49">
        <v>19910630</v>
      </c>
      <c r="B141" s="49">
        <v>-7.0688000000000004</v>
      </c>
      <c r="C141" s="49">
        <v>-7.0467000000000004</v>
      </c>
      <c r="D141" s="49">
        <v>-7.5975000000000001</v>
      </c>
      <c r="E141" s="49">
        <v>-7.5686</v>
      </c>
      <c r="F141" s="49">
        <v>-6.5462999999999996</v>
      </c>
      <c r="G141" s="49">
        <v>-6.5308000000000002</v>
      </c>
      <c r="H141" s="49">
        <v>-7.5586000000000002</v>
      </c>
      <c r="I141" s="49">
        <v>-7.5335999999999999</v>
      </c>
      <c r="J141" s="49">
        <v>-7.8796999999999997</v>
      </c>
      <c r="K141" s="49">
        <v>-7.8475999999999999</v>
      </c>
      <c r="L141" s="49">
        <v>-7.2103000000000002</v>
      </c>
      <c r="M141" s="49">
        <v>-7.1931000000000003</v>
      </c>
      <c r="N141" s="49">
        <v>-4.9377000000000004</v>
      </c>
      <c r="O141" s="49">
        <v>-4.9279999999999999</v>
      </c>
      <c r="P141" s="49">
        <v>-5.9852999999999996</v>
      </c>
      <c r="Q141" s="49">
        <v>-5.9752000000000001</v>
      </c>
      <c r="R141" s="49">
        <v>-4.2499000000000002</v>
      </c>
      <c r="S141" s="49">
        <v>-4.2404999999999999</v>
      </c>
      <c r="T141" s="49">
        <v>-7.8009000000000004</v>
      </c>
      <c r="U141" s="49">
        <v>-7.7674000000000003</v>
      </c>
      <c r="V141" s="49">
        <v>-7.3944999999999999</v>
      </c>
      <c r="W141" s="49">
        <v>-7.3501000000000003</v>
      </c>
      <c r="X141" s="49">
        <v>-8.2921999999999993</v>
      </c>
      <c r="Y141" s="49">
        <v>-8.2716999999999992</v>
      </c>
      <c r="Z141" s="49">
        <v>-7.2491000000000003</v>
      </c>
      <c r="AA141" s="49">
        <v>-7.2351000000000001</v>
      </c>
      <c r="AB141" s="49">
        <v>-8.577</v>
      </c>
      <c r="AC141" s="49">
        <v>-8.5624000000000002</v>
      </c>
      <c r="AD141" s="49">
        <v>-5.9945000000000004</v>
      </c>
      <c r="AE141" s="49">
        <v>-5.9809999999999999</v>
      </c>
      <c r="AH141" s="16">
        <f t="shared" si="14"/>
        <v>19910630</v>
      </c>
      <c r="AI141" s="16">
        <f t="shared" si="15"/>
        <v>-7.0467000000000004</v>
      </c>
      <c r="AJ141" s="16">
        <f t="shared" si="16"/>
        <v>-2.3891999999999998</v>
      </c>
      <c r="AK141" s="16">
        <f t="shared" si="17"/>
        <v>4.8250000000000011</v>
      </c>
      <c r="AL141" s="16">
        <v>7.9375</v>
      </c>
      <c r="AM141" s="17">
        <f t="shared" si="18"/>
        <v>-7.7081583333333334</v>
      </c>
      <c r="AN141" s="17">
        <f t="shared" si="19"/>
        <v>-2.3891999999999998</v>
      </c>
      <c r="AO141" s="17">
        <f t="shared" si="20"/>
        <v>4.8250000000000011</v>
      </c>
    </row>
    <row r="142" spans="1:41">
      <c r="A142" s="49">
        <v>19910731</v>
      </c>
      <c r="B142" s="49">
        <v>2.0190000000000001</v>
      </c>
      <c r="C142" s="49">
        <v>2.0213000000000001</v>
      </c>
      <c r="D142" s="49">
        <v>2.7707999999999999</v>
      </c>
      <c r="E142" s="49">
        <v>2.7751999999999999</v>
      </c>
      <c r="F142" s="49">
        <v>1.2845</v>
      </c>
      <c r="G142" s="49">
        <v>1.2847999999999999</v>
      </c>
      <c r="H142" s="49">
        <v>2.8986000000000001</v>
      </c>
      <c r="I142" s="49">
        <v>2.9011</v>
      </c>
      <c r="J142" s="49">
        <v>3.4241000000000001</v>
      </c>
      <c r="K142" s="49">
        <v>3.4285999999999999</v>
      </c>
      <c r="L142" s="49">
        <v>2.3332000000000002</v>
      </c>
      <c r="M142" s="49">
        <v>2.3334000000000001</v>
      </c>
      <c r="N142" s="49">
        <v>-1.7005999999999999</v>
      </c>
      <c r="O142" s="49">
        <v>-1.6989000000000001</v>
      </c>
      <c r="P142" s="49">
        <v>-0.88170000000000004</v>
      </c>
      <c r="Q142" s="49">
        <v>-0.87839999999999996</v>
      </c>
      <c r="R142" s="49">
        <v>-2.2286999999999999</v>
      </c>
      <c r="S142" s="49">
        <v>-2.2280000000000002</v>
      </c>
      <c r="T142" s="49">
        <v>4.3404999999999996</v>
      </c>
      <c r="U142" s="49">
        <v>4.3437999999999999</v>
      </c>
      <c r="V142" s="49">
        <v>4.1433</v>
      </c>
      <c r="W142" s="49">
        <v>4.1489000000000003</v>
      </c>
      <c r="X142" s="49">
        <v>4.5811999999999999</v>
      </c>
      <c r="Y142" s="49">
        <v>4.5815999999999999</v>
      </c>
      <c r="Z142" s="49">
        <v>1.0708</v>
      </c>
      <c r="AA142" s="49">
        <v>1.0722</v>
      </c>
      <c r="AB142" s="49">
        <v>2.3771</v>
      </c>
      <c r="AC142" s="49">
        <v>2.38</v>
      </c>
      <c r="AD142" s="49">
        <v>-0.12859999999999999</v>
      </c>
      <c r="AE142" s="49">
        <v>-0.12859999999999999</v>
      </c>
      <c r="AH142" s="16">
        <f t="shared" si="14"/>
        <v>19910731</v>
      </c>
      <c r="AI142" s="16">
        <f t="shared" si="15"/>
        <v>2.0213000000000001</v>
      </c>
      <c r="AJ142" s="16">
        <f t="shared" si="16"/>
        <v>2.4447999999999999</v>
      </c>
      <c r="AK142" s="16">
        <f t="shared" si="17"/>
        <v>-8.8684000000000012</v>
      </c>
      <c r="AL142" s="16">
        <v>8.03125</v>
      </c>
      <c r="AM142" s="17">
        <f t="shared" si="18"/>
        <v>1.3520291666666666</v>
      </c>
      <c r="AN142" s="17">
        <f t="shared" si="19"/>
        <v>2.4447999999999999</v>
      </c>
      <c r="AO142" s="17">
        <f t="shared" si="20"/>
        <v>-8.8684000000000012</v>
      </c>
    </row>
    <row r="143" spans="1:41">
      <c r="A143" s="49">
        <v>19910831</v>
      </c>
      <c r="B143" s="49">
        <v>-7.5026000000000002</v>
      </c>
      <c r="C143" s="49">
        <v>-7.4931999999999999</v>
      </c>
      <c r="D143" s="49">
        <v>-7.0213999999999999</v>
      </c>
      <c r="E143" s="49">
        <v>-7.0075000000000003</v>
      </c>
      <c r="F143" s="49">
        <v>-7.9795999999999996</v>
      </c>
      <c r="G143" s="49">
        <v>-7.9747000000000003</v>
      </c>
      <c r="H143" s="49">
        <v>-6.6459000000000001</v>
      </c>
      <c r="I143" s="49">
        <v>-6.6371000000000002</v>
      </c>
      <c r="J143" s="49">
        <v>-6.4138000000000002</v>
      </c>
      <c r="K143" s="49">
        <v>-6.3998999999999997</v>
      </c>
      <c r="L143" s="49">
        <v>-6.8982999999999999</v>
      </c>
      <c r="M143" s="49">
        <v>-6.8951000000000002</v>
      </c>
      <c r="N143" s="49">
        <v>-11.2933</v>
      </c>
      <c r="O143" s="49">
        <v>-11.281499999999999</v>
      </c>
      <c r="P143" s="49">
        <v>-10.5647</v>
      </c>
      <c r="Q143" s="49">
        <v>-10.5509</v>
      </c>
      <c r="R143" s="49">
        <v>-11.769500000000001</v>
      </c>
      <c r="S143" s="49">
        <v>-11.758900000000001</v>
      </c>
      <c r="T143" s="49">
        <v>-5.6917999999999997</v>
      </c>
      <c r="U143" s="49">
        <v>-5.6866000000000003</v>
      </c>
      <c r="V143" s="49">
        <v>-6.1719999999999997</v>
      </c>
      <c r="W143" s="49">
        <v>-6.1650999999999998</v>
      </c>
      <c r="X143" s="49">
        <v>-5.1081000000000003</v>
      </c>
      <c r="Y143" s="49">
        <v>-5.1050000000000004</v>
      </c>
      <c r="Z143" s="49">
        <v>-7.8944999999999999</v>
      </c>
      <c r="AA143" s="49">
        <v>-7.8810000000000002</v>
      </c>
      <c r="AB143" s="49">
        <v>-6.7720000000000002</v>
      </c>
      <c r="AC143" s="49">
        <v>-6.7477</v>
      </c>
      <c r="AD143" s="49">
        <v>-8.9509000000000007</v>
      </c>
      <c r="AE143" s="49">
        <v>-8.9474999999999998</v>
      </c>
      <c r="AH143" s="16">
        <f t="shared" si="14"/>
        <v>19910831</v>
      </c>
      <c r="AI143" s="16">
        <f t="shared" si="15"/>
        <v>-7.4931999999999999</v>
      </c>
      <c r="AJ143" s="16">
        <f t="shared" si="16"/>
        <v>1.7032000000000007</v>
      </c>
      <c r="AK143" s="16">
        <f t="shared" si="17"/>
        <v>-9.0148000000000028</v>
      </c>
      <c r="AL143" s="16">
        <v>7.4375</v>
      </c>
      <c r="AM143" s="17">
        <f t="shared" si="18"/>
        <v>-8.1129916666666659</v>
      </c>
      <c r="AN143" s="17">
        <f t="shared" si="19"/>
        <v>1.7032000000000007</v>
      </c>
      <c r="AO143" s="17">
        <f t="shared" si="20"/>
        <v>-9.0148000000000028</v>
      </c>
    </row>
    <row r="144" spans="1:41">
      <c r="A144" s="49">
        <v>19910930</v>
      </c>
      <c r="B144" s="49">
        <v>6.4132999999999996</v>
      </c>
      <c r="C144" s="49">
        <v>6.7072000000000003</v>
      </c>
      <c r="D144" s="49">
        <v>6.5454999999999997</v>
      </c>
      <c r="E144" s="49">
        <v>6.8742000000000001</v>
      </c>
      <c r="F144" s="49">
        <v>6.2808000000000002</v>
      </c>
      <c r="G144" s="49">
        <v>6.5396000000000001</v>
      </c>
      <c r="H144" s="49">
        <v>6.0585000000000004</v>
      </c>
      <c r="I144" s="49">
        <v>6.3670999999999998</v>
      </c>
      <c r="J144" s="49">
        <v>6.2548000000000004</v>
      </c>
      <c r="K144" s="49">
        <v>6.5946999999999996</v>
      </c>
      <c r="L144" s="49">
        <v>5.8437000000000001</v>
      </c>
      <c r="M144" s="49">
        <v>6.1180000000000003</v>
      </c>
      <c r="N144" s="49">
        <v>8.0653000000000006</v>
      </c>
      <c r="O144" s="49">
        <v>8.2896999999999998</v>
      </c>
      <c r="P144" s="49">
        <v>8.3190000000000008</v>
      </c>
      <c r="Q144" s="49">
        <v>8.5785</v>
      </c>
      <c r="R144" s="49">
        <v>7.8971999999999998</v>
      </c>
      <c r="S144" s="49">
        <v>8.0983000000000001</v>
      </c>
      <c r="T144" s="49">
        <v>4.2474999999999996</v>
      </c>
      <c r="U144" s="49">
        <v>4.6078999999999999</v>
      </c>
      <c r="V144" s="49">
        <v>4.7664</v>
      </c>
      <c r="W144" s="49">
        <v>5.1474000000000002</v>
      </c>
      <c r="X144" s="49">
        <v>3.6238000000000001</v>
      </c>
      <c r="Y144" s="49">
        <v>3.9592000000000001</v>
      </c>
      <c r="Z144" s="49">
        <v>8.4846000000000004</v>
      </c>
      <c r="AA144" s="49">
        <v>8.7233999999999998</v>
      </c>
      <c r="AB144" s="49">
        <v>8.4731000000000005</v>
      </c>
      <c r="AC144" s="49">
        <v>8.7510999999999992</v>
      </c>
      <c r="AD144" s="49">
        <v>8.4955999999999996</v>
      </c>
      <c r="AE144" s="49">
        <v>8.6965000000000003</v>
      </c>
      <c r="AH144" s="16">
        <f t="shared" si="14"/>
        <v>19910930</v>
      </c>
      <c r="AI144" s="16">
        <f t="shared" si="15"/>
        <v>6.7072000000000003</v>
      </c>
      <c r="AJ144" s="16">
        <f t="shared" si="16"/>
        <v>0.9568999999999992</v>
      </c>
      <c r="AK144" s="16">
        <f t="shared" si="17"/>
        <v>3.9641000000000002</v>
      </c>
      <c r="AL144" s="16">
        <v>7.46875</v>
      </c>
      <c r="AM144" s="17">
        <f t="shared" si="18"/>
        <v>6.0848041666666672</v>
      </c>
      <c r="AN144" s="17">
        <f t="shared" si="19"/>
        <v>0.9568999999999992</v>
      </c>
      <c r="AO144" s="17">
        <f t="shared" si="20"/>
        <v>3.9641000000000002</v>
      </c>
    </row>
    <row r="145" spans="1:41">
      <c r="A145" s="49">
        <v>19911031</v>
      </c>
      <c r="B145" s="49">
        <v>1.7412000000000001</v>
      </c>
      <c r="C145" s="49">
        <v>1.7443</v>
      </c>
      <c r="D145" s="49">
        <v>1.5443</v>
      </c>
      <c r="E145" s="49">
        <v>1.5461</v>
      </c>
      <c r="F145" s="49">
        <v>1.9388000000000001</v>
      </c>
      <c r="G145" s="49">
        <v>1.9432</v>
      </c>
      <c r="H145" s="49">
        <v>1.5246999999999999</v>
      </c>
      <c r="I145" s="49">
        <v>1.5270999999999999</v>
      </c>
      <c r="J145" s="49">
        <v>1.1477999999999999</v>
      </c>
      <c r="K145" s="49">
        <v>1.1487000000000001</v>
      </c>
      <c r="L145" s="49">
        <v>1.9382999999999999</v>
      </c>
      <c r="M145" s="49">
        <v>1.9421999999999999</v>
      </c>
      <c r="N145" s="49">
        <v>2.7298</v>
      </c>
      <c r="O145" s="49">
        <v>2.7360000000000002</v>
      </c>
      <c r="P145" s="49">
        <v>3.9176000000000002</v>
      </c>
      <c r="Q145" s="49">
        <v>3.9239999999999999</v>
      </c>
      <c r="R145" s="49">
        <v>1.9401999999999999</v>
      </c>
      <c r="S145" s="49">
        <v>1.9463999999999999</v>
      </c>
      <c r="T145" s="49">
        <v>1.74</v>
      </c>
      <c r="U145" s="49">
        <v>1.7424999999999999</v>
      </c>
      <c r="V145" s="49">
        <v>0.82450000000000001</v>
      </c>
      <c r="W145" s="49">
        <v>0.82499999999999996</v>
      </c>
      <c r="X145" s="49">
        <v>2.8523999999999998</v>
      </c>
      <c r="Y145" s="49">
        <v>2.8574000000000002</v>
      </c>
      <c r="Z145" s="49">
        <v>1.2478</v>
      </c>
      <c r="AA145" s="49">
        <v>1.25</v>
      </c>
      <c r="AB145" s="49">
        <v>1.6129</v>
      </c>
      <c r="AC145" s="49">
        <v>1.6145</v>
      </c>
      <c r="AD145" s="49">
        <v>0.89629999999999999</v>
      </c>
      <c r="AE145" s="49">
        <v>0.89900000000000002</v>
      </c>
      <c r="AH145" s="16">
        <f t="shared" si="14"/>
        <v>19911031</v>
      </c>
      <c r="AI145" s="16">
        <f t="shared" si="15"/>
        <v>1.7443</v>
      </c>
      <c r="AJ145" s="16">
        <f t="shared" si="16"/>
        <v>1.1841000000000002</v>
      </c>
      <c r="AK145" s="16">
        <f t="shared" si="17"/>
        <v>2.7795000000000001</v>
      </c>
      <c r="AL145" s="16">
        <v>6.78125</v>
      </c>
      <c r="AM145" s="17">
        <f t="shared" si="18"/>
        <v>1.1791958333333334</v>
      </c>
      <c r="AN145" s="17">
        <f t="shared" si="19"/>
        <v>1.1841000000000002</v>
      </c>
      <c r="AO145" s="17">
        <f t="shared" si="20"/>
        <v>2.7795000000000001</v>
      </c>
    </row>
    <row r="146" spans="1:41">
      <c r="A146" s="49">
        <v>19911130</v>
      </c>
      <c r="B146" s="49">
        <v>-8.8019999999999996</v>
      </c>
      <c r="C146" s="49">
        <v>-8.7942999999999998</v>
      </c>
      <c r="D146" s="49">
        <v>-8.8671000000000006</v>
      </c>
      <c r="E146" s="49">
        <v>-8.8590999999999998</v>
      </c>
      <c r="F146" s="49">
        <v>-8.7369000000000003</v>
      </c>
      <c r="G146" s="49">
        <v>-8.7294999999999998</v>
      </c>
      <c r="H146" s="49">
        <v>-8.3041999999999998</v>
      </c>
      <c r="I146" s="49">
        <v>-8.2978000000000005</v>
      </c>
      <c r="J146" s="49">
        <v>-8.5905000000000005</v>
      </c>
      <c r="K146" s="49">
        <v>-8.5835000000000008</v>
      </c>
      <c r="L146" s="49">
        <v>-7.9926000000000004</v>
      </c>
      <c r="M146" s="49">
        <v>-7.9866999999999999</v>
      </c>
      <c r="N146" s="49">
        <v>-11.0465</v>
      </c>
      <c r="O146" s="49">
        <v>-11.0334</v>
      </c>
      <c r="P146" s="49">
        <v>-10.476599999999999</v>
      </c>
      <c r="Q146" s="49">
        <v>-10.462899999999999</v>
      </c>
      <c r="R146" s="49">
        <v>-11.432600000000001</v>
      </c>
      <c r="S146" s="49">
        <v>-11.4199</v>
      </c>
      <c r="T146" s="49">
        <v>-7.9292999999999996</v>
      </c>
      <c r="U146" s="49">
        <v>-7.9218999999999999</v>
      </c>
      <c r="V146" s="49">
        <v>-9.0119000000000007</v>
      </c>
      <c r="W146" s="49">
        <v>-9.0024999999999995</v>
      </c>
      <c r="X146" s="49">
        <v>-6.6397000000000004</v>
      </c>
      <c r="Y146" s="49">
        <v>-6.6345000000000001</v>
      </c>
      <c r="Z146" s="49">
        <v>-8.7888000000000002</v>
      </c>
      <c r="AA146" s="49">
        <v>-8.7835999999999999</v>
      </c>
      <c r="AB146" s="49">
        <v>-7.9892000000000003</v>
      </c>
      <c r="AC146" s="49">
        <v>-7.9855</v>
      </c>
      <c r="AD146" s="49">
        <v>-9.5641999999999996</v>
      </c>
      <c r="AE146" s="49">
        <v>-9.5573999999999995</v>
      </c>
      <c r="AH146" s="16">
        <f t="shared" si="14"/>
        <v>19911130</v>
      </c>
      <c r="AI146" s="16">
        <f t="shared" si="15"/>
        <v>-8.7942999999999998</v>
      </c>
      <c r="AJ146" s="16">
        <f t="shared" si="16"/>
        <v>0.36019999999999985</v>
      </c>
      <c r="AK146" s="16">
        <f t="shared" si="17"/>
        <v>-5.3125999999999998</v>
      </c>
      <c r="AL146" s="16">
        <v>6.375</v>
      </c>
      <c r="AM146" s="17">
        <f t="shared" si="18"/>
        <v>-9.3255499999999998</v>
      </c>
      <c r="AN146" s="17">
        <f t="shared" si="19"/>
        <v>0.36019999999999985</v>
      </c>
      <c r="AO146" s="17">
        <f t="shared" si="20"/>
        <v>-5.3125999999999998</v>
      </c>
    </row>
    <row r="147" spans="1:41">
      <c r="A147" s="49">
        <v>19911231</v>
      </c>
      <c r="B147" s="49">
        <v>-0.50609999999999999</v>
      </c>
      <c r="C147" s="49">
        <v>-0.47220000000000001</v>
      </c>
      <c r="D147" s="49">
        <v>-0.1176</v>
      </c>
      <c r="E147" s="49">
        <v>-7.6899999999999996E-2</v>
      </c>
      <c r="F147" s="49">
        <v>-0.89400000000000002</v>
      </c>
      <c r="G147" s="49">
        <v>-0.8669</v>
      </c>
      <c r="H147" s="49">
        <v>-0.33610000000000001</v>
      </c>
      <c r="I147" s="49">
        <v>-0.30149999999999999</v>
      </c>
      <c r="J147" s="49">
        <v>-0.1086</v>
      </c>
      <c r="K147" s="49">
        <v>-6.6600000000000006E-2</v>
      </c>
      <c r="L147" s="49">
        <v>-0.58230000000000004</v>
      </c>
      <c r="M147" s="49">
        <v>-0.55549999999999999</v>
      </c>
      <c r="N147" s="49">
        <v>-1.2959000000000001</v>
      </c>
      <c r="O147" s="49">
        <v>-1.2656000000000001</v>
      </c>
      <c r="P147" s="49">
        <v>-0.17119999999999999</v>
      </c>
      <c r="Q147" s="49">
        <v>-0.1384</v>
      </c>
      <c r="R147" s="49">
        <v>-2.0665</v>
      </c>
      <c r="S147" s="49">
        <v>-2.0379999999999998</v>
      </c>
      <c r="T147" s="49">
        <v>-0.52100000000000002</v>
      </c>
      <c r="U147" s="49">
        <v>-0.48170000000000002</v>
      </c>
      <c r="V147" s="49">
        <v>-0.22720000000000001</v>
      </c>
      <c r="W147" s="49">
        <v>-0.17510000000000001</v>
      </c>
      <c r="X147" s="49">
        <v>-0.86219999999999997</v>
      </c>
      <c r="Y147" s="49">
        <v>-0.83779999999999999</v>
      </c>
      <c r="Z147" s="49">
        <v>-9.4899999999999998E-2</v>
      </c>
      <c r="AA147" s="49">
        <v>-6.6299999999999998E-2</v>
      </c>
      <c r="AB147" s="49">
        <v>5.8900000000000001E-2</v>
      </c>
      <c r="AC147" s="49">
        <v>8.6699999999999999E-2</v>
      </c>
      <c r="AD147" s="49">
        <v>-0.24660000000000001</v>
      </c>
      <c r="AE147" s="49">
        <v>-0.2172</v>
      </c>
      <c r="AH147" s="16">
        <f t="shared" si="14"/>
        <v>19911231</v>
      </c>
      <c r="AI147" s="16">
        <f t="shared" si="15"/>
        <v>-0.47220000000000001</v>
      </c>
      <c r="AJ147" s="16">
        <f t="shared" si="16"/>
        <v>2.3884999999999996</v>
      </c>
      <c r="AK147" s="16">
        <f t="shared" si="17"/>
        <v>-1.5542999999999996</v>
      </c>
      <c r="AL147" s="16">
        <v>6.375</v>
      </c>
      <c r="AM147" s="17">
        <f t="shared" si="18"/>
        <v>-1.00345</v>
      </c>
      <c r="AN147" s="17">
        <f t="shared" si="19"/>
        <v>2.3884999999999996</v>
      </c>
      <c r="AO147" s="17">
        <f t="shared" si="20"/>
        <v>-1.5542999999999996</v>
      </c>
    </row>
    <row r="148" spans="1:41">
      <c r="A148" s="49">
        <v>19920131</v>
      </c>
      <c r="B148" s="49">
        <v>-3.8628</v>
      </c>
      <c r="C148" s="49">
        <v>-3.8561999999999999</v>
      </c>
      <c r="D148" s="49">
        <v>-3.4754999999999998</v>
      </c>
      <c r="E148" s="49">
        <v>-3.4649999999999999</v>
      </c>
      <c r="F148" s="49">
        <v>-4.2426000000000004</v>
      </c>
      <c r="G148" s="49">
        <v>-4.24</v>
      </c>
      <c r="H148" s="49">
        <v>-3.9876</v>
      </c>
      <c r="I148" s="49">
        <v>-3.9811000000000001</v>
      </c>
      <c r="J148" s="49">
        <v>-3.3649</v>
      </c>
      <c r="K148" s="49">
        <v>-3.3536000000000001</v>
      </c>
      <c r="L148" s="49">
        <v>-4.6169000000000002</v>
      </c>
      <c r="M148" s="49">
        <v>-4.6153000000000004</v>
      </c>
      <c r="N148" s="49">
        <v>-3.2707000000000002</v>
      </c>
      <c r="O148" s="49">
        <v>-3.2639999999999998</v>
      </c>
      <c r="P148" s="49">
        <v>-4.0492999999999997</v>
      </c>
      <c r="Q148" s="49">
        <v>-4.0430000000000001</v>
      </c>
      <c r="R148" s="49">
        <v>-2.6086999999999998</v>
      </c>
      <c r="S148" s="49">
        <v>-2.6015999999999999</v>
      </c>
      <c r="T148" s="49">
        <v>-4.3323</v>
      </c>
      <c r="U148" s="49">
        <v>-4.3220999999999998</v>
      </c>
      <c r="V148" s="49">
        <v>-2.4460999999999999</v>
      </c>
      <c r="W148" s="49">
        <v>-2.4291</v>
      </c>
      <c r="X148" s="49">
        <v>-6.3598999999999997</v>
      </c>
      <c r="Y148" s="49">
        <v>-6.3570000000000002</v>
      </c>
      <c r="Z148" s="49">
        <v>-3.5385</v>
      </c>
      <c r="AA148" s="49">
        <v>-3.5369000000000002</v>
      </c>
      <c r="AB148" s="49">
        <v>-4.6498999999999997</v>
      </c>
      <c r="AC148" s="49">
        <v>-4.6464999999999996</v>
      </c>
      <c r="AD148" s="49">
        <v>-2.5017999999999998</v>
      </c>
      <c r="AE148" s="49">
        <v>-2.5017999999999998</v>
      </c>
      <c r="AH148" s="16">
        <f t="shared" si="14"/>
        <v>19920131</v>
      </c>
      <c r="AI148" s="16">
        <f t="shared" si="15"/>
        <v>-3.8561999999999999</v>
      </c>
      <c r="AJ148" s="16">
        <f t="shared" si="16"/>
        <v>-0.17969999999999997</v>
      </c>
      <c r="AK148" s="16">
        <f t="shared" si="17"/>
        <v>1.3243</v>
      </c>
      <c r="AL148" s="16">
        <v>5.625</v>
      </c>
      <c r="AM148" s="17">
        <f t="shared" si="18"/>
        <v>-4.3249499999999994</v>
      </c>
      <c r="AN148" s="17">
        <f t="shared" si="19"/>
        <v>-0.17969999999999997</v>
      </c>
      <c r="AO148" s="17">
        <f t="shared" si="20"/>
        <v>1.3243</v>
      </c>
    </row>
    <row r="149" spans="1:41">
      <c r="A149" s="49">
        <v>19920229</v>
      </c>
      <c r="B149" s="49">
        <v>-3.8517999999999999</v>
      </c>
      <c r="C149" s="49">
        <v>-3.8344</v>
      </c>
      <c r="D149" s="49">
        <v>-4.2534999999999998</v>
      </c>
      <c r="E149" s="49">
        <v>-4.2301000000000002</v>
      </c>
      <c r="F149" s="49">
        <v>-3.4546000000000001</v>
      </c>
      <c r="G149" s="49">
        <v>-3.4430999999999998</v>
      </c>
      <c r="H149" s="49">
        <v>-4.3293999999999997</v>
      </c>
      <c r="I149" s="49">
        <v>-4.3125999999999998</v>
      </c>
      <c r="J149" s="49">
        <v>-4.7779999999999996</v>
      </c>
      <c r="K149" s="49">
        <v>-4.7545000000000002</v>
      </c>
      <c r="L149" s="49">
        <v>-3.8698999999999999</v>
      </c>
      <c r="M149" s="49">
        <v>-3.8601000000000001</v>
      </c>
      <c r="N149" s="49">
        <v>-1.603</v>
      </c>
      <c r="O149" s="49">
        <v>-1.5823</v>
      </c>
      <c r="P149" s="49">
        <v>-1.5122</v>
      </c>
      <c r="Q149" s="49">
        <v>-1.4888999999999999</v>
      </c>
      <c r="R149" s="49">
        <v>-1.6791</v>
      </c>
      <c r="S149" s="49">
        <v>-1.6605000000000001</v>
      </c>
      <c r="T149" s="49">
        <v>-5.1181999999999999</v>
      </c>
      <c r="U149" s="49">
        <v>-5.1116000000000001</v>
      </c>
      <c r="V149" s="49">
        <v>-5.2744</v>
      </c>
      <c r="W149" s="49">
        <v>-5.2667000000000002</v>
      </c>
      <c r="X149" s="49">
        <v>-4.9432999999999998</v>
      </c>
      <c r="Y149" s="49">
        <v>-4.9379</v>
      </c>
      <c r="Z149" s="49">
        <v>-3.3102</v>
      </c>
      <c r="AA149" s="49">
        <v>-3.2803</v>
      </c>
      <c r="AB149" s="49">
        <v>-4.0678999999999998</v>
      </c>
      <c r="AC149" s="49">
        <v>-4.0217000000000001</v>
      </c>
      <c r="AD149" s="49">
        <v>-2.6189</v>
      </c>
      <c r="AE149" s="49">
        <v>-2.6040000000000001</v>
      </c>
      <c r="AH149" s="16">
        <f t="shared" si="14"/>
        <v>19920229</v>
      </c>
      <c r="AI149" s="16">
        <f t="shared" si="15"/>
        <v>-3.8344</v>
      </c>
      <c r="AJ149" s="16">
        <f t="shared" si="16"/>
        <v>-0.72279999999999989</v>
      </c>
      <c r="AK149" s="16">
        <f t="shared" si="17"/>
        <v>5.4651999999999994</v>
      </c>
      <c r="AL149" s="16">
        <v>5.5</v>
      </c>
      <c r="AM149" s="17">
        <f t="shared" si="18"/>
        <v>-4.2927333333333335</v>
      </c>
      <c r="AN149" s="17">
        <f t="shared" si="19"/>
        <v>-0.72279999999999989</v>
      </c>
      <c r="AO149" s="17">
        <f t="shared" si="20"/>
        <v>5.4651999999999994</v>
      </c>
    </row>
    <row r="150" spans="1:41">
      <c r="A150" s="49">
        <v>19920331</v>
      </c>
      <c r="B150" s="49">
        <v>-8.5914999999999999</v>
      </c>
      <c r="C150" s="49">
        <v>-8.1426999999999996</v>
      </c>
      <c r="D150" s="49">
        <v>-7.9241999999999999</v>
      </c>
      <c r="E150" s="49">
        <v>-7.4569999999999999</v>
      </c>
      <c r="F150" s="49">
        <v>-9.2460000000000004</v>
      </c>
      <c r="G150" s="49">
        <v>-8.8152000000000008</v>
      </c>
      <c r="H150" s="49">
        <v>-8.4776000000000007</v>
      </c>
      <c r="I150" s="49">
        <v>-8.0159000000000002</v>
      </c>
      <c r="J150" s="49">
        <v>-7.7831999999999999</v>
      </c>
      <c r="K150" s="49">
        <v>-7.3075999999999999</v>
      </c>
      <c r="L150" s="49">
        <v>-9.1821000000000002</v>
      </c>
      <c r="M150" s="49">
        <v>-8.7346000000000004</v>
      </c>
      <c r="N150" s="49">
        <v>-9.1129999999999995</v>
      </c>
      <c r="O150" s="49">
        <v>-8.7234999999999996</v>
      </c>
      <c r="P150" s="49">
        <v>-8.6363000000000003</v>
      </c>
      <c r="Q150" s="49">
        <v>-8.2121999999999993</v>
      </c>
      <c r="R150" s="49">
        <v>-9.5129000000000001</v>
      </c>
      <c r="S150" s="49">
        <v>-9.1523000000000003</v>
      </c>
      <c r="T150" s="49">
        <v>-8.3523999999999994</v>
      </c>
      <c r="U150" s="49">
        <v>-7.8575999999999997</v>
      </c>
      <c r="V150" s="49">
        <v>-7.4736000000000002</v>
      </c>
      <c r="W150" s="49">
        <v>-6.9897</v>
      </c>
      <c r="X150" s="49">
        <v>-9.3331999999999997</v>
      </c>
      <c r="Y150" s="49">
        <v>-8.8262999999999998</v>
      </c>
      <c r="Z150" s="49">
        <v>-8.6363000000000003</v>
      </c>
      <c r="AA150" s="49">
        <v>-8.2164000000000001</v>
      </c>
      <c r="AB150" s="49">
        <v>-8.2203999999999997</v>
      </c>
      <c r="AC150" s="49">
        <v>-7.7564000000000002</v>
      </c>
      <c r="AD150" s="49">
        <v>-9.0101999999999993</v>
      </c>
      <c r="AE150" s="49">
        <v>-8.6300000000000008</v>
      </c>
      <c r="AH150" s="16">
        <f t="shared" si="14"/>
        <v>19920331</v>
      </c>
      <c r="AI150" s="16">
        <f t="shared" si="15"/>
        <v>-8.1426999999999996</v>
      </c>
      <c r="AJ150" s="16">
        <f t="shared" si="16"/>
        <v>2.3671000000000015</v>
      </c>
      <c r="AK150" s="16">
        <f t="shared" si="17"/>
        <v>-1.3222999999999985</v>
      </c>
      <c r="AL150" s="16">
        <v>5.625</v>
      </c>
      <c r="AM150" s="17">
        <f t="shared" si="18"/>
        <v>-8.6114499999999996</v>
      </c>
      <c r="AN150" s="17">
        <f t="shared" si="19"/>
        <v>2.3671000000000015</v>
      </c>
      <c r="AO150" s="17">
        <f t="shared" si="20"/>
        <v>-1.3222999999999985</v>
      </c>
    </row>
    <row r="151" spans="1:41">
      <c r="A151" s="49">
        <v>19920430</v>
      </c>
      <c r="B151" s="49">
        <v>-5.6082000000000001</v>
      </c>
      <c r="C151" s="49">
        <v>-5.6039000000000003</v>
      </c>
      <c r="D151" s="49">
        <v>-4.9150999999999998</v>
      </c>
      <c r="E151" s="49">
        <v>-4.9107000000000003</v>
      </c>
      <c r="F151" s="49">
        <v>-6.2979000000000003</v>
      </c>
      <c r="G151" s="49">
        <v>-6.2938000000000001</v>
      </c>
      <c r="H151" s="49">
        <v>-4.952</v>
      </c>
      <c r="I151" s="49">
        <v>-4.9474999999999998</v>
      </c>
      <c r="J151" s="49">
        <v>-4.0566000000000004</v>
      </c>
      <c r="K151" s="49">
        <v>-4.0523999999999996</v>
      </c>
      <c r="L151" s="49">
        <v>-5.8745000000000003</v>
      </c>
      <c r="M151" s="49">
        <v>-5.8696999999999999</v>
      </c>
      <c r="N151" s="49">
        <v>-8.6303999999999998</v>
      </c>
      <c r="O151" s="49">
        <v>-8.6271000000000004</v>
      </c>
      <c r="P151" s="49">
        <v>-9.2895000000000003</v>
      </c>
      <c r="Q151" s="49">
        <v>-9.2841000000000005</v>
      </c>
      <c r="R151" s="49">
        <v>-8.0723000000000003</v>
      </c>
      <c r="S151" s="49">
        <v>-8.0707000000000004</v>
      </c>
      <c r="T151" s="49">
        <v>-2.7886000000000002</v>
      </c>
      <c r="U151" s="49">
        <v>-2.7848000000000002</v>
      </c>
      <c r="V151" s="49">
        <v>-0.49940000000000001</v>
      </c>
      <c r="W151" s="49">
        <v>-0.495</v>
      </c>
      <c r="X151" s="49">
        <v>-5.3956999999999997</v>
      </c>
      <c r="Y151" s="49">
        <v>-5.3925999999999998</v>
      </c>
      <c r="Z151" s="49">
        <v>-7.7015000000000002</v>
      </c>
      <c r="AA151" s="49">
        <v>-7.6962000000000002</v>
      </c>
      <c r="AB151" s="49">
        <v>-9.1172000000000004</v>
      </c>
      <c r="AC151" s="49">
        <v>-9.1133000000000006</v>
      </c>
      <c r="AD151" s="49">
        <v>-6.4170999999999996</v>
      </c>
      <c r="AE151" s="49">
        <v>-6.4104999999999999</v>
      </c>
      <c r="AH151" s="16">
        <f t="shared" si="14"/>
        <v>19920430</v>
      </c>
      <c r="AI151" s="16">
        <f t="shared" si="15"/>
        <v>-5.6039000000000003</v>
      </c>
      <c r="AJ151" s="16">
        <f t="shared" si="16"/>
        <v>0.60390000000000033</v>
      </c>
      <c r="AK151" s="16">
        <f t="shared" si="17"/>
        <v>-7.4327000000000005</v>
      </c>
      <c r="AL151" s="16">
        <v>4.9375</v>
      </c>
      <c r="AM151" s="17">
        <f t="shared" si="18"/>
        <v>-6.0153583333333334</v>
      </c>
      <c r="AN151" s="17">
        <f t="shared" si="19"/>
        <v>0.60390000000000033</v>
      </c>
      <c r="AO151" s="17">
        <f t="shared" si="20"/>
        <v>-7.4327000000000005</v>
      </c>
    </row>
    <row r="152" spans="1:41">
      <c r="A152" s="49">
        <v>19920531</v>
      </c>
      <c r="B152" s="49">
        <v>4.3666999999999998</v>
      </c>
      <c r="C152" s="49">
        <v>4.3754</v>
      </c>
      <c r="D152" s="49">
        <v>3.6013000000000002</v>
      </c>
      <c r="E152" s="49">
        <v>3.6118000000000001</v>
      </c>
      <c r="F152" s="49">
        <v>5.1395999999999997</v>
      </c>
      <c r="G152" s="49">
        <v>5.1466000000000003</v>
      </c>
      <c r="H152" s="49">
        <v>3.8328000000000002</v>
      </c>
      <c r="I152" s="49">
        <v>3.8408000000000002</v>
      </c>
      <c r="J152" s="49">
        <v>2.9887999999999999</v>
      </c>
      <c r="K152" s="49">
        <v>2.9990000000000001</v>
      </c>
      <c r="L152" s="49">
        <v>4.7191000000000001</v>
      </c>
      <c r="M152" s="49">
        <v>4.7248000000000001</v>
      </c>
      <c r="N152" s="49">
        <v>6.9240000000000004</v>
      </c>
      <c r="O152" s="49">
        <v>6.9360999999999997</v>
      </c>
      <c r="P152" s="49">
        <v>6.8994999999999997</v>
      </c>
      <c r="Q152" s="49">
        <v>6.9115000000000002</v>
      </c>
      <c r="R152" s="49">
        <v>6.9444999999999997</v>
      </c>
      <c r="S152" s="49">
        <v>6.9566999999999997</v>
      </c>
      <c r="T152" s="49">
        <v>2.0863</v>
      </c>
      <c r="U152" s="49">
        <v>2.0931000000000002</v>
      </c>
      <c r="V152" s="49">
        <v>0.85919999999999996</v>
      </c>
      <c r="W152" s="49">
        <v>0.87170000000000003</v>
      </c>
      <c r="X152" s="49">
        <v>3.5560999999999998</v>
      </c>
      <c r="Y152" s="49">
        <v>3.5560999999999998</v>
      </c>
      <c r="Z152" s="49">
        <v>6.1703999999999999</v>
      </c>
      <c r="AA152" s="49">
        <v>6.18</v>
      </c>
      <c r="AB152" s="49">
        <v>6.3055000000000003</v>
      </c>
      <c r="AC152" s="49">
        <v>6.3121</v>
      </c>
      <c r="AD152" s="49">
        <v>6.0513000000000003</v>
      </c>
      <c r="AE152" s="49">
        <v>6.0635000000000003</v>
      </c>
      <c r="AH152" s="16">
        <f t="shared" si="14"/>
        <v>19920531</v>
      </c>
      <c r="AI152" s="16">
        <f t="shared" si="15"/>
        <v>4.3754</v>
      </c>
      <c r="AJ152" s="16">
        <f t="shared" si="16"/>
        <v>-1.7709999999999995</v>
      </c>
      <c r="AK152" s="16">
        <f t="shared" si="17"/>
        <v>6.1443999999999992</v>
      </c>
      <c r="AL152" s="16">
        <v>4.78125</v>
      </c>
      <c r="AM152" s="17">
        <f t="shared" si="18"/>
        <v>3.9769625</v>
      </c>
      <c r="AN152" s="17">
        <f t="shared" si="19"/>
        <v>-1.7709999999999995</v>
      </c>
      <c r="AO152" s="17">
        <f t="shared" si="20"/>
        <v>6.1443999999999992</v>
      </c>
    </row>
    <row r="153" spans="1:41">
      <c r="A153" s="49">
        <v>19920630</v>
      </c>
      <c r="B153" s="49">
        <v>-9.6555999999999997</v>
      </c>
      <c r="C153" s="49">
        <v>-9.6231000000000009</v>
      </c>
      <c r="D153" s="49">
        <v>-9.8539999999999992</v>
      </c>
      <c r="E153" s="49">
        <v>-9.8062000000000005</v>
      </c>
      <c r="F153" s="49">
        <v>-9.4581999999999997</v>
      </c>
      <c r="G153" s="49">
        <v>-9.4406999999999996</v>
      </c>
      <c r="H153" s="49">
        <v>-9.657</v>
      </c>
      <c r="I153" s="49">
        <v>-9.6206999999999994</v>
      </c>
      <c r="J153" s="49">
        <v>-9.8404000000000007</v>
      </c>
      <c r="K153" s="49">
        <v>-9.7866</v>
      </c>
      <c r="L153" s="49">
        <v>-9.4675999999999991</v>
      </c>
      <c r="M153" s="49">
        <v>-9.4492999999999991</v>
      </c>
      <c r="N153" s="49">
        <v>-9.6489999999999991</v>
      </c>
      <c r="O153" s="49">
        <v>-9.6339000000000006</v>
      </c>
      <c r="P153" s="49">
        <v>-9.9245000000000001</v>
      </c>
      <c r="Q153" s="49">
        <v>-9.9077999999999999</v>
      </c>
      <c r="R153" s="49">
        <v>-9.4185999999999996</v>
      </c>
      <c r="S153" s="49">
        <v>-9.4047999999999998</v>
      </c>
      <c r="T153" s="49">
        <v>-9.3524999999999991</v>
      </c>
      <c r="U153" s="49">
        <v>-9.3039000000000005</v>
      </c>
      <c r="V153" s="49">
        <v>-8.9608000000000008</v>
      </c>
      <c r="W153" s="49">
        <v>-8.8849999999999998</v>
      </c>
      <c r="X153" s="49">
        <v>-9.8094999999999999</v>
      </c>
      <c r="Y153" s="49">
        <v>-9.7924000000000007</v>
      </c>
      <c r="Z153" s="49">
        <v>-10.048999999999999</v>
      </c>
      <c r="AA153" s="49">
        <v>-10.0282</v>
      </c>
      <c r="AB153" s="49">
        <v>-11.1403</v>
      </c>
      <c r="AC153" s="49">
        <v>-11.118399999999999</v>
      </c>
      <c r="AD153" s="49">
        <v>-9.0853000000000002</v>
      </c>
      <c r="AE153" s="49">
        <v>-9.0655999999999999</v>
      </c>
      <c r="AH153" s="16">
        <f t="shared" si="14"/>
        <v>19920630</v>
      </c>
      <c r="AI153" s="16">
        <f t="shared" si="15"/>
        <v>-9.6231000000000009</v>
      </c>
      <c r="AJ153" s="16">
        <f t="shared" si="16"/>
        <v>-0.84030000000000094</v>
      </c>
      <c r="AK153" s="16">
        <f t="shared" si="17"/>
        <v>-7.669999999999888E-2</v>
      </c>
      <c r="AL153" s="16">
        <v>4.78125</v>
      </c>
      <c r="AM153" s="17">
        <f t="shared" si="18"/>
        <v>-10.021537500000001</v>
      </c>
      <c r="AN153" s="17">
        <f t="shared" si="19"/>
        <v>-0.84030000000000094</v>
      </c>
      <c r="AO153" s="17">
        <f t="shared" si="20"/>
        <v>-7.669999999999888E-2</v>
      </c>
    </row>
    <row r="154" spans="1:41">
      <c r="A154" s="49">
        <v>19920731</v>
      </c>
      <c r="B154" s="49">
        <v>-2.7254999999999998</v>
      </c>
      <c r="C154" s="49">
        <v>-2.7214999999999998</v>
      </c>
      <c r="D154" s="49">
        <v>-2.1082999999999998</v>
      </c>
      <c r="E154" s="49">
        <v>-2.1013999999999999</v>
      </c>
      <c r="F154" s="49">
        <v>-3.3367</v>
      </c>
      <c r="G154" s="49">
        <v>-3.3357000000000001</v>
      </c>
      <c r="H154" s="49">
        <v>-1.7581</v>
      </c>
      <c r="I154" s="49">
        <v>-1.7539</v>
      </c>
      <c r="J154" s="49">
        <v>-1.3620000000000001</v>
      </c>
      <c r="K154" s="49">
        <v>-1.3544</v>
      </c>
      <c r="L154" s="49">
        <v>-2.1654</v>
      </c>
      <c r="M154" s="49">
        <v>-2.1646999999999998</v>
      </c>
      <c r="N154" s="49">
        <v>-7.2226999999999997</v>
      </c>
      <c r="O154" s="49">
        <v>-7.22</v>
      </c>
      <c r="P154" s="49">
        <v>-5.9829999999999997</v>
      </c>
      <c r="Q154" s="49">
        <v>-5.9794999999999998</v>
      </c>
      <c r="R154" s="49">
        <v>-8.2532999999999994</v>
      </c>
      <c r="S154" s="49">
        <v>-8.2514000000000003</v>
      </c>
      <c r="T154" s="49">
        <v>-0.64980000000000004</v>
      </c>
      <c r="U154" s="49">
        <v>-0.64510000000000001</v>
      </c>
      <c r="V154" s="49">
        <v>-1.8047</v>
      </c>
      <c r="W154" s="49">
        <v>-1.7972999999999999</v>
      </c>
      <c r="X154" s="49">
        <v>0.70979999999999999</v>
      </c>
      <c r="Y154" s="49">
        <v>0.71140000000000003</v>
      </c>
      <c r="Z154" s="49">
        <v>-3.1957</v>
      </c>
      <c r="AA154" s="49">
        <v>-3.1920999999999999</v>
      </c>
      <c r="AB154" s="49">
        <v>-0.69169999999999998</v>
      </c>
      <c r="AC154" s="49">
        <v>-0.68379999999999996</v>
      </c>
      <c r="AD154" s="49">
        <v>-5.3564999999999996</v>
      </c>
      <c r="AE154" s="49">
        <v>-5.3564999999999996</v>
      </c>
      <c r="AH154" s="16">
        <f t="shared" si="14"/>
        <v>19920731</v>
      </c>
      <c r="AI154" s="16">
        <f t="shared" si="15"/>
        <v>-2.7214999999999998</v>
      </c>
      <c r="AJ154" s="16">
        <f t="shared" si="16"/>
        <v>3.0822000000000003</v>
      </c>
      <c r="AK154" s="16">
        <f t="shared" si="17"/>
        <v>-10.7118</v>
      </c>
      <c r="AL154" s="16">
        <v>4.71875</v>
      </c>
      <c r="AM154" s="17">
        <f t="shared" si="18"/>
        <v>-3.1147291666666663</v>
      </c>
      <c r="AN154" s="17">
        <f t="shared" si="19"/>
        <v>3.0822000000000003</v>
      </c>
      <c r="AO154" s="17">
        <f t="shared" si="20"/>
        <v>-10.7118</v>
      </c>
    </row>
    <row r="155" spans="1:41">
      <c r="A155" s="49">
        <v>19920831</v>
      </c>
      <c r="B155" s="49">
        <v>11.572900000000001</v>
      </c>
      <c r="C155" s="49">
        <v>11.5884</v>
      </c>
      <c r="D155" s="49">
        <v>10.7552</v>
      </c>
      <c r="E155" s="49">
        <v>10.7774</v>
      </c>
      <c r="F155" s="49">
        <v>12.392899999999999</v>
      </c>
      <c r="G155" s="49">
        <v>12.4015</v>
      </c>
      <c r="H155" s="49">
        <v>12.1662</v>
      </c>
      <c r="I155" s="49">
        <v>12.180999999999999</v>
      </c>
      <c r="J155" s="49">
        <v>11.270899999999999</v>
      </c>
      <c r="K155" s="49">
        <v>11.2934</v>
      </c>
      <c r="L155" s="49">
        <v>13.094200000000001</v>
      </c>
      <c r="M155" s="49">
        <v>13.100899999999999</v>
      </c>
      <c r="N155" s="49">
        <v>8.6519999999999992</v>
      </c>
      <c r="O155" s="49">
        <v>8.6709999999999994</v>
      </c>
      <c r="P155" s="49">
        <v>7.9459999999999997</v>
      </c>
      <c r="Q155" s="49">
        <v>7.9671000000000003</v>
      </c>
      <c r="R155" s="49">
        <v>9.2535000000000007</v>
      </c>
      <c r="S155" s="49">
        <v>9.2706999999999997</v>
      </c>
      <c r="T155" s="49">
        <v>12.2232</v>
      </c>
      <c r="U155" s="49">
        <v>12.231999999999999</v>
      </c>
      <c r="V155" s="49">
        <v>10.209</v>
      </c>
      <c r="W155" s="49">
        <v>10.2193</v>
      </c>
      <c r="X155" s="49">
        <v>14.5352</v>
      </c>
      <c r="Y155" s="49">
        <v>14.542199999999999</v>
      </c>
      <c r="Z155" s="49">
        <v>12.090199999999999</v>
      </c>
      <c r="AA155" s="49">
        <v>12.113300000000001</v>
      </c>
      <c r="AB155" s="49">
        <v>12.8605</v>
      </c>
      <c r="AC155" s="49">
        <v>12.902100000000001</v>
      </c>
      <c r="AD155" s="49">
        <v>11.392799999999999</v>
      </c>
      <c r="AE155" s="49">
        <v>11.3993</v>
      </c>
      <c r="AH155" s="16">
        <f t="shared" si="14"/>
        <v>19920831</v>
      </c>
      <c r="AI155" s="16">
        <f t="shared" si="15"/>
        <v>11.5884</v>
      </c>
      <c r="AJ155" s="16">
        <f t="shared" si="16"/>
        <v>-3.1110999999999986</v>
      </c>
      <c r="AK155" s="16">
        <f t="shared" si="17"/>
        <v>-7.1565000000000012</v>
      </c>
      <c r="AL155" s="16">
        <v>4.09375</v>
      </c>
      <c r="AM155" s="17">
        <f t="shared" si="18"/>
        <v>11.247254166666666</v>
      </c>
      <c r="AN155" s="17">
        <f t="shared" si="19"/>
        <v>-3.1110999999999986</v>
      </c>
      <c r="AO155" s="17">
        <f t="shared" si="20"/>
        <v>-7.1565000000000012</v>
      </c>
    </row>
    <row r="156" spans="1:41">
      <c r="A156" s="49">
        <v>19920930</v>
      </c>
      <c r="B156" s="49">
        <v>-5.3803999999999998</v>
      </c>
      <c r="C156" s="49">
        <v>-5.0469999999999997</v>
      </c>
      <c r="D156" s="49">
        <v>-5.0236000000000001</v>
      </c>
      <c r="E156" s="49">
        <v>-4.6616999999999997</v>
      </c>
      <c r="F156" s="49">
        <v>-5.7328000000000001</v>
      </c>
      <c r="G156" s="49">
        <v>-5.4275000000000002</v>
      </c>
      <c r="H156" s="49">
        <v>-5.6738999999999997</v>
      </c>
      <c r="I156" s="49">
        <v>-5.3273999999999999</v>
      </c>
      <c r="J156" s="49">
        <v>-5.3049999999999997</v>
      </c>
      <c r="K156" s="49">
        <v>-4.9333999999999998</v>
      </c>
      <c r="L156" s="49">
        <v>-6.0499000000000001</v>
      </c>
      <c r="M156" s="49">
        <v>-5.7290000000000001</v>
      </c>
      <c r="N156" s="49">
        <v>-3.8881000000000001</v>
      </c>
      <c r="O156" s="49">
        <v>-3.6229</v>
      </c>
      <c r="P156" s="49">
        <v>-3.4437000000000002</v>
      </c>
      <c r="Q156" s="49">
        <v>-3.1374</v>
      </c>
      <c r="R156" s="49">
        <v>-4.2619999999999996</v>
      </c>
      <c r="S156" s="49">
        <v>-4.0313999999999997</v>
      </c>
      <c r="T156" s="49">
        <v>-6.0636999999999999</v>
      </c>
      <c r="U156" s="49">
        <v>-5.6555</v>
      </c>
      <c r="V156" s="49">
        <v>-5.9116999999999997</v>
      </c>
      <c r="W156" s="49">
        <v>-5.4855</v>
      </c>
      <c r="X156" s="49">
        <v>-6.2314999999999996</v>
      </c>
      <c r="Y156" s="49">
        <v>-5.8429000000000002</v>
      </c>
      <c r="Z156" s="49">
        <v>-5.1544999999999996</v>
      </c>
      <c r="AA156" s="49">
        <v>-4.8906999999999998</v>
      </c>
      <c r="AB156" s="49">
        <v>-4.4181999999999997</v>
      </c>
      <c r="AC156" s="49">
        <v>-4.1260000000000003</v>
      </c>
      <c r="AD156" s="49">
        <v>-5.8296999999999999</v>
      </c>
      <c r="AE156" s="49">
        <v>-5.5919999999999996</v>
      </c>
      <c r="AH156" s="16">
        <f t="shared" si="14"/>
        <v>19920930</v>
      </c>
      <c r="AI156" s="16">
        <f t="shared" si="15"/>
        <v>-5.0469999999999997</v>
      </c>
      <c r="AJ156" s="16">
        <f t="shared" si="16"/>
        <v>1.6896</v>
      </c>
      <c r="AK156" s="16">
        <f t="shared" si="17"/>
        <v>3.4936000000000007</v>
      </c>
      <c r="AL156" s="16">
        <v>4.125</v>
      </c>
      <c r="AM156" s="17">
        <f t="shared" si="18"/>
        <v>-5.3907499999999997</v>
      </c>
      <c r="AN156" s="17">
        <f t="shared" si="19"/>
        <v>1.6896</v>
      </c>
      <c r="AO156" s="17">
        <f t="shared" si="20"/>
        <v>3.4936000000000007</v>
      </c>
    </row>
    <row r="157" spans="1:41">
      <c r="A157" s="49">
        <v>19921031</v>
      </c>
      <c r="B157" s="49">
        <v>-2.8001</v>
      </c>
      <c r="C157" s="49">
        <v>-2.7964000000000002</v>
      </c>
      <c r="D157" s="49">
        <v>-2.5733000000000001</v>
      </c>
      <c r="E157" s="49">
        <v>-2.5697999999999999</v>
      </c>
      <c r="F157" s="49">
        <v>-3.0259</v>
      </c>
      <c r="G157" s="49">
        <v>-3.0221</v>
      </c>
      <c r="H157" s="49">
        <v>-2.7307000000000001</v>
      </c>
      <c r="I157" s="49">
        <v>-2.7277999999999998</v>
      </c>
      <c r="J157" s="49">
        <v>-2.5261</v>
      </c>
      <c r="K157" s="49">
        <v>-2.5234000000000001</v>
      </c>
      <c r="L157" s="49">
        <v>-2.9411999999999998</v>
      </c>
      <c r="M157" s="49">
        <v>-2.9380999999999999</v>
      </c>
      <c r="N157" s="49">
        <v>-3.1459999999999999</v>
      </c>
      <c r="O157" s="49">
        <v>-3.1383999999999999</v>
      </c>
      <c r="P157" s="49">
        <v>-2.8334000000000001</v>
      </c>
      <c r="Q157" s="49">
        <v>-2.8256000000000001</v>
      </c>
      <c r="R157" s="49">
        <v>-3.4116</v>
      </c>
      <c r="S157" s="49">
        <v>-3.4041999999999999</v>
      </c>
      <c r="T157" s="49">
        <v>-2.3877000000000002</v>
      </c>
      <c r="U157" s="49">
        <v>-2.3839000000000001</v>
      </c>
      <c r="V157" s="49">
        <v>-2.0470999999999999</v>
      </c>
      <c r="W157" s="49">
        <v>-2.0426000000000002</v>
      </c>
      <c r="X157" s="49">
        <v>-2.7654999999999998</v>
      </c>
      <c r="Y157" s="49">
        <v>-2.7623000000000002</v>
      </c>
      <c r="Z157" s="49">
        <v>-3.1833</v>
      </c>
      <c r="AA157" s="49">
        <v>-3.1816</v>
      </c>
      <c r="AB157" s="49">
        <v>-3.2155</v>
      </c>
      <c r="AC157" s="49">
        <v>-3.2153</v>
      </c>
      <c r="AD157" s="49">
        <v>-3.1534</v>
      </c>
      <c r="AE157" s="49">
        <v>-3.1503000000000001</v>
      </c>
      <c r="AH157" s="16">
        <f t="shared" si="14"/>
        <v>19921031</v>
      </c>
      <c r="AI157" s="16">
        <f t="shared" si="15"/>
        <v>-2.7964000000000002</v>
      </c>
      <c r="AJ157" s="16">
        <f t="shared" si="16"/>
        <v>0.99329999999999963</v>
      </c>
      <c r="AK157" s="16">
        <f t="shared" si="17"/>
        <v>-0.76829999999999998</v>
      </c>
      <c r="AL157" s="16">
        <v>4.15625</v>
      </c>
      <c r="AM157" s="17">
        <f t="shared" si="18"/>
        <v>-3.1427541666666667</v>
      </c>
      <c r="AN157" s="17">
        <f t="shared" si="19"/>
        <v>0.99329999999999963</v>
      </c>
      <c r="AO157" s="17">
        <f t="shared" si="20"/>
        <v>-0.76829999999999998</v>
      </c>
    </row>
    <row r="158" spans="1:41">
      <c r="A158" s="49">
        <v>19921130</v>
      </c>
      <c r="B158" s="49">
        <v>2.9156</v>
      </c>
      <c r="C158" s="49">
        <v>2.9243999999999999</v>
      </c>
      <c r="D158" s="49">
        <v>2.6709000000000001</v>
      </c>
      <c r="E158" s="49">
        <v>2.6806999999999999</v>
      </c>
      <c r="F158" s="49">
        <v>3.1602999999999999</v>
      </c>
      <c r="G158" s="49">
        <v>3.1682000000000001</v>
      </c>
      <c r="H158" s="49">
        <v>3.2065000000000001</v>
      </c>
      <c r="I158" s="49">
        <v>3.2138</v>
      </c>
      <c r="J158" s="49">
        <v>2.9651999999999998</v>
      </c>
      <c r="K158" s="49">
        <v>2.9735</v>
      </c>
      <c r="L158" s="49">
        <v>3.4554999999999998</v>
      </c>
      <c r="M158" s="49">
        <v>3.4618000000000002</v>
      </c>
      <c r="N158" s="49">
        <v>1.4579</v>
      </c>
      <c r="O158" s="49">
        <v>1.4744999999999999</v>
      </c>
      <c r="P158" s="49">
        <v>1.0455000000000001</v>
      </c>
      <c r="Q158" s="49">
        <v>1.0634999999999999</v>
      </c>
      <c r="R158" s="49">
        <v>1.8104</v>
      </c>
      <c r="S158" s="49">
        <v>1.8258000000000001</v>
      </c>
      <c r="T158" s="49">
        <v>3.5104000000000002</v>
      </c>
      <c r="U158" s="49">
        <v>3.5150000000000001</v>
      </c>
      <c r="V158" s="49">
        <v>3.0691999999999999</v>
      </c>
      <c r="W158" s="49">
        <v>3.0779999999999998</v>
      </c>
      <c r="X158" s="49">
        <v>4.0030000000000001</v>
      </c>
      <c r="Y158" s="49">
        <v>4.0030000000000001</v>
      </c>
      <c r="Z158" s="49">
        <v>2.8024</v>
      </c>
      <c r="AA158" s="49">
        <v>2.8132000000000001</v>
      </c>
      <c r="AB158" s="49">
        <v>2.8138000000000001</v>
      </c>
      <c r="AC158" s="49">
        <v>2.8214000000000001</v>
      </c>
      <c r="AD158" s="49">
        <v>2.7917999999999998</v>
      </c>
      <c r="AE158" s="49">
        <v>2.8056000000000001</v>
      </c>
      <c r="AH158" s="16">
        <f t="shared" si="14"/>
        <v>19921130</v>
      </c>
      <c r="AI158" s="16">
        <f t="shared" si="15"/>
        <v>2.9243999999999999</v>
      </c>
      <c r="AJ158" s="16">
        <f t="shared" si="16"/>
        <v>-1.2506000000000004</v>
      </c>
      <c r="AK158" s="16">
        <f t="shared" si="17"/>
        <v>-3.5459999999999998</v>
      </c>
      <c r="AL158" s="16">
        <v>3.96875</v>
      </c>
      <c r="AM158" s="17">
        <f t="shared" si="18"/>
        <v>2.5936708333333334</v>
      </c>
      <c r="AN158" s="17">
        <f t="shared" si="19"/>
        <v>-1.2506000000000004</v>
      </c>
      <c r="AO158" s="17">
        <f t="shared" si="20"/>
        <v>-3.5459999999999998</v>
      </c>
    </row>
    <row r="159" spans="1:41">
      <c r="A159" s="49">
        <v>19921231</v>
      </c>
      <c r="B159" s="49">
        <v>-0.9738</v>
      </c>
      <c r="C159" s="49">
        <v>-0.93120000000000003</v>
      </c>
      <c r="D159" s="49">
        <v>-1.1386000000000001</v>
      </c>
      <c r="E159" s="49">
        <v>-1.0852999999999999</v>
      </c>
      <c r="F159" s="49">
        <v>-0.80989999999999995</v>
      </c>
      <c r="G159" s="49">
        <v>-0.77780000000000005</v>
      </c>
      <c r="H159" s="49">
        <v>-1.2001999999999999</v>
      </c>
      <c r="I159" s="49">
        <v>-1.1563000000000001</v>
      </c>
      <c r="J159" s="49">
        <v>-1.4377</v>
      </c>
      <c r="K159" s="49">
        <v>-1.3816999999999999</v>
      </c>
      <c r="L159" s="49">
        <v>-0.95640000000000003</v>
      </c>
      <c r="M159" s="49">
        <v>-0.92479999999999996</v>
      </c>
      <c r="N159" s="49">
        <v>0.18060000000000001</v>
      </c>
      <c r="O159" s="49">
        <v>0.2167</v>
      </c>
      <c r="P159" s="49">
        <v>0.54520000000000002</v>
      </c>
      <c r="Q159" s="49">
        <v>0.58309999999999995</v>
      </c>
      <c r="R159" s="49">
        <v>-0.12870000000000001</v>
      </c>
      <c r="S159" s="49">
        <v>-9.4100000000000003E-2</v>
      </c>
      <c r="T159" s="49">
        <v>-0.72399999999999998</v>
      </c>
      <c r="U159" s="49">
        <v>-0.67649999999999999</v>
      </c>
      <c r="V159" s="49">
        <v>-0.8952</v>
      </c>
      <c r="W159" s="49">
        <v>-0.82</v>
      </c>
      <c r="X159" s="49">
        <v>-0.53459999999999996</v>
      </c>
      <c r="Y159" s="49">
        <v>-0.51749999999999996</v>
      </c>
      <c r="Z159" s="49">
        <v>-1.8371</v>
      </c>
      <c r="AA159" s="49">
        <v>-1.7981</v>
      </c>
      <c r="AB159" s="49">
        <v>-2.2292000000000001</v>
      </c>
      <c r="AC159" s="49">
        <v>-2.2014</v>
      </c>
      <c r="AD159" s="49">
        <v>-1.4728000000000001</v>
      </c>
      <c r="AE159" s="49">
        <v>-1.4235</v>
      </c>
      <c r="AH159" s="16">
        <f t="shared" si="14"/>
        <v>19921231</v>
      </c>
      <c r="AI159" s="16">
        <f t="shared" si="15"/>
        <v>-0.93120000000000003</v>
      </c>
      <c r="AJ159" s="16">
        <f t="shared" si="16"/>
        <v>0.22029999999999994</v>
      </c>
      <c r="AK159" s="16">
        <f t="shared" si="17"/>
        <v>2.7954999999999997</v>
      </c>
      <c r="AL159" s="16">
        <v>4</v>
      </c>
      <c r="AM159" s="17">
        <f t="shared" si="18"/>
        <v>-1.2645333333333333</v>
      </c>
      <c r="AN159" s="17">
        <f t="shared" si="19"/>
        <v>0.22029999999999994</v>
      </c>
      <c r="AO159" s="17">
        <f t="shared" si="20"/>
        <v>2.7954999999999997</v>
      </c>
    </row>
    <row r="160" spans="1:41">
      <c r="A160" s="49">
        <v>19930131</v>
      </c>
      <c r="B160" s="49">
        <v>-0.70779999999999998</v>
      </c>
      <c r="C160" s="49">
        <v>-0.69910000000000005</v>
      </c>
      <c r="D160" s="49">
        <v>-0.8972</v>
      </c>
      <c r="E160" s="49">
        <v>-0.88170000000000004</v>
      </c>
      <c r="F160" s="49">
        <v>-0.52270000000000005</v>
      </c>
      <c r="G160" s="49">
        <v>-0.52039999999999997</v>
      </c>
      <c r="H160" s="49">
        <v>-0.49519999999999997</v>
      </c>
      <c r="I160" s="49">
        <v>-0.48599999999999999</v>
      </c>
      <c r="J160" s="49">
        <v>-0.67579999999999996</v>
      </c>
      <c r="K160" s="49">
        <v>-0.6583</v>
      </c>
      <c r="L160" s="49">
        <v>-0.32390000000000002</v>
      </c>
      <c r="M160" s="49">
        <v>-0.32250000000000001</v>
      </c>
      <c r="N160" s="49">
        <v>-1.7957000000000001</v>
      </c>
      <c r="O160" s="49">
        <v>-1.7891999999999999</v>
      </c>
      <c r="P160" s="49">
        <v>-1.9322999999999999</v>
      </c>
      <c r="Q160" s="49">
        <v>-1.9263999999999999</v>
      </c>
      <c r="R160" s="49">
        <v>-1.64</v>
      </c>
      <c r="S160" s="49">
        <v>-1.6327</v>
      </c>
      <c r="T160" s="49">
        <v>-0.20630000000000001</v>
      </c>
      <c r="U160" s="49">
        <v>-0.2016</v>
      </c>
      <c r="V160" s="49">
        <v>-0.62239999999999995</v>
      </c>
      <c r="W160" s="49">
        <v>-0.61360000000000003</v>
      </c>
      <c r="X160" s="49">
        <v>0.18240000000000001</v>
      </c>
      <c r="Y160" s="49">
        <v>0.1832</v>
      </c>
      <c r="Z160" s="49">
        <v>-0.89200000000000002</v>
      </c>
      <c r="AA160" s="49">
        <v>-0.87649999999999995</v>
      </c>
      <c r="AB160" s="49">
        <v>-0.74780000000000002</v>
      </c>
      <c r="AC160" s="49">
        <v>-0.71860000000000002</v>
      </c>
      <c r="AD160" s="49">
        <v>-1.0318000000000001</v>
      </c>
      <c r="AE160" s="49">
        <v>-1.0296000000000001</v>
      </c>
      <c r="AH160" s="16">
        <f t="shared" si="14"/>
        <v>19930131</v>
      </c>
      <c r="AI160" s="16">
        <f t="shared" si="15"/>
        <v>-0.69910000000000005</v>
      </c>
      <c r="AJ160" s="16">
        <f t="shared" si="16"/>
        <v>-0.62949999999999984</v>
      </c>
      <c r="AK160" s="16">
        <f t="shared" si="17"/>
        <v>-2.5783</v>
      </c>
      <c r="AL160" s="16">
        <v>3.875</v>
      </c>
      <c r="AM160" s="17">
        <f t="shared" si="18"/>
        <v>-1.0220166666666668</v>
      </c>
      <c r="AN160" s="17">
        <f t="shared" si="19"/>
        <v>-0.62949999999999984</v>
      </c>
      <c r="AO160" s="17">
        <f t="shared" si="20"/>
        <v>-2.5783</v>
      </c>
    </row>
    <row r="161" spans="1:41">
      <c r="A161" s="49">
        <v>19930228</v>
      </c>
      <c r="B161" s="49">
        <v>-1.1603000000000001</v>
      </c>
      <c r="C161" s="49">
        <v>-1.1382000000000001</v>
      </c>
      <c r="D161" s="49">
        <v>-1.6900999999999999</v>
      </c>
      <c r="E161" s="49">
        <v>-1.6634</v>
      </c>
      <c r="F161" s="49">
        <v>-0.64410000000000001</v>
      </c>
      <c r="G161" s="49">
        <v>-0.62660000000000005</v>
      </c>
      <c r="H161" s="49">
        <v>-1.3549</v>
      </c>
      <c r="I161" s="49">
        <v>-1.3343</v>
      </c>
      <c r="J161" s="49">
        <v>-2.0528</v>
      </c>
      <c r="K161" s="49">
        <v>-2.0259</v>
      </c>
      <c r="L161" s="49">
        <v>-0.69489999999999996</v>
      </c>
      <c r="M161" s="49">
        <v>-0.68030000000000002</v>
      </c>
      <c r="N161" s="49">
        <v>-0.1527</v>
      </c>
      <c r="O161" s="49">
        <v>-0.123</v>
      </c>
      <c r="P161" s="49">
        <v>2.5700000000000001E-2</v>
      </c>
      <c r="Q161" s="49">
        <v>5.1400000000000001E-2</v>
      </c>
      <c r="R161" s="49">
        <v>-0.35510000000000003</v>
      </c>
      <c r="S161" s="49">
        <v>-0.32090000000000002</v>
      </c>
      <c r="T161" s="49">
        <v>-1.1517999999999999</v>
      </c>
      <c r="U161" s="49">
        <v>-1.1429</v>
      </c>
      <c r="V161" s="49">
        <v>-2.5840999999999998</v>
      </c>
      <c r="W161" s="49">
        <v>-2.5752000000000002</v>
      </c>
      <c r="X161" s="49">
        <v>0.17560000000000001</v>
      </c>
      <c r="Y161" s="49">
        <v>0.18440000000000001</v>
      </c>
      <c r="Z161" s="49">
        <v>-1.6355999999999999</v>
      </c>
      <c r="AA161" s="49">
        <v>-1.5989</v>
      </c>
      <c r="AB161" s="49">
        <v>-1.3362000000000001</v>
      </c>
      <c r="AC161" s="49">
        <v>-1.2850999999999999</v>
      </c>
      <c r="AD161" s="49">
        <v>-1.9267000000000001</v>
      </c>
      <c r="AE161" s="49">
        <v>-1.9039999999999999</v>
      </c>
      <c r="AH161" s="16">
        <f t="shared" si="14"/>
        <v>19930228</v>
      </c>
      <c r="AI161" s="16">
        <f t="shared" si="15"/>
        <v>-1.1382000000000001</v>
      </c>
      <c r="AJ161" s="16">
        <f t="shared" si="16"/>
        <v>-0.97330000000000005</v>
      </c>
      <c r="AK161" s="16">
        <f t="shared" si="17"/>
        <v>2.4367000000000001</v>
      </c>
      <c r="AL161" s="16">
        <v>3.6875</v>
      </c>
      <c r="AM161" s="17">
        <f t="shared" si="18"/>
        <v>-1.4454916666666668</v>
      </c>
      <c r="AN161" s="17">
        <f t="shared" si="19"/>
        <v>-0.97330000000000005</v>
      </c>
      <c r="AO161" s="17">
        <f t="shared" si="20"/>
        <v>2.4367000000000001</v>
      </c>
    </row>
    <row r="162" spans="1:41">
      <c r="A162" s="49">
        <v>19930331</v>
      </c>
      <c r="B162" s="49">
        <v>12.6897</v>
      </c>
      <c r="C162" s="49">
        <v>13.234500000000001</v>
      </c>
      <c r="D162" s="49">
        <v>13.7256</v>
      </c>
      <c r="E162" s="49">
        <v>14.318099999999999</v>
      </c>
      <c r="F162" s="49">
        <v>11.6911</v>
      </c>
      <c r="G162" s="49">
        <v>12.190099999999999</v>
      </c>
      <c r="H162" s="49">
        <v>12.706</v>
      </c>
      <c r="I162" s="49">
        <v>13.257899999999999</v>
      </c>
      <c r="J162" s="49">
        <v>13.7484</v>
      </c>
      <c r="K162" s="49">
        <v>14.347300000000001</v>
      </c>
      <c r="L162" s="49">
        <v>11.732900000000001</v>
      </c>
      <c r="M162" s="49">
        <v>12.2409</v>
      </c>
      <c r="N162" s="49">
        <v>12.605700000000001</v>
      </c>
      <c r="O162" s="49">
        <v>13.1136</v>
      </c>
      <c r="P162" s="49">
        <v>13.6197</v>
      </c>
      <c r="Q162" s="49">
        <v>14.1816</v>
      </c>
      <c r="R162" s="49">
        <v>11.453900000000001</v>
      </c>
      <c r="S162" s="49">
        <v>11.900700000000001</v>
      </c>
      <c r="T162" s="49">
        <v>13.7499</v>
      </c>
      <c r="U162" s="49">
        <v>14.3217</v>
      </c>
      <c r="V162" s="49">
        <v>15.1221</v>
      </c>
      <c r="W162" s="49">
        <v>15.763</v>
      </c>
      <c r="X162" s="49">
        <v>12.513500000000001</v>
      </c>
      <c r="Y162" s="49">
        <v>13.0235</v>
      </c>
      <c r="Z162" s="49">
        <v>11.2577</v>
      </c>
      <c r="AA162" s="49">
        <v>11.7822</v>
      </c>
      <c r="AB162" s="49">
        <v>11.9236</v>
      </c>
      <c r="AC162" s="49">
        <v>12.467599999999999</v>
      </c>
      <c r="AD162" s="49">
        <v>10.604900000000001</v>
      </c>
      <c r="AE162" s="49">
        <v>11.11</v>
      </c>
      <c r="AH162" s="16">
        <f t="shared" si="14"/>
        <v>19930331</v>
      </c>
      <c r="AI162" s="16">
        <f t="shared" si="15"/>
        <v>13.234500000000001</v>
      </c>
      <c r="AJ162" s="16">
        <f t="shared" si="16"/>
        <v>4.3872999999999998</v>
      </c>
      <c r="AK162" s="16">
        <f t="shared" si="17"/>
        <v>-0.50590000000000046</v>
      </c>
      <c r="AL162" s="16">
        <v>3.40625</v>
      </c>
      <c r="AM162" s="17">
        <f t="shared" si="18"/>
        <v>12.950645833333335</v>
      </c>
      <c r="AN162" s="17">
        <f t="shared" si="19"/>
        <v>4.3872999999999998</v>
      </c>
      <c r="AO162" s="17">
        <f t="shared" si="20"/>
        <v>-0.50590000000000046</v>
      </c>
    </row>
    <row r="163" spans="1:41">
      <c r="A163" s="49">
        <v>19930430</v>
      </c>
      <c r="B163" s="49">
        <v>13.5398</v>
      </c>
      <c r="C163" s="49">
        <v>13.5428</v>
      </c>
      <c r="D163" s="49">
        <v>14.6449</v>
      </c>
      <c r="E163" s="49">
        <v>14.647399999999999</v>
      </c>
      <c r="F163" s="49">
        <v>12.4551</v>
      </c>
      <c r="G163" s="49">
        <v>12.458600000000001</v>
      </c>
      <c r="H163" s="49">
        <v>13.593400000000001</v>
      </c>
      <c r="I163" s="49">
        <v>13.596299999999999</v>
      </c>
      <c r="J163" s="49">
        <v>14.694000000000001</v>
      </c>
      <c r="K163" s="49">
        <v>14.6959</v>
      </c>
      <c r="L163" s="49">
        <v>12.5473</v>
      </c>
      <c r="M163" s="49">
        <v>12.5512</v>
      </c>
      <c r="N163" s="49">
        <v>13.264200000000001</v>
      </c>
      <c r="O163" s="49">
        <v>13.267799999999999</v>
      </c>
      <c r="P163" s="49">
        <v>14.415900000000001</v>
      </c>
      <c r="Q163" s="49">
        <v>14.4214</v>
      </c>
      <c r="R163" s="49">
        <v>11.930999999999999</v>
      </c>
      <c r="S163" s="49">
        <v>11.932499999999999</v>
      </c>
      <c r="T163" s="49">
        <v>14.054500000000001</v>
      </c>
      <c r="U163" s="49">
        <v>14.058199999999999</v>
      </c>
      <c r="V163" s="49">
        <v>15.273899999999999</v>
      </c>
      <c r="W163" s="49">
        <v>15.2767</v>
      </c>
      <c r="X163" s="49">
        <v>12.930400000000001</v>
      </c>
      <c r="Y163" s="49">
        <v>12.934900000000001</v>
      </c>
      <c r="Z163" s="49">
        <v>12.9398</v>
      </c>
      <c r="AA163" s="49">
        <v>12.9415</v>
      </c>
      <c r="AB163" s="49">
        <v>13.9025</v>
      </c>
      <c r="AC163" s="49">
        <v>13.902900000000001</v>
      </c>
      <c r="AD163" s="49">
        <v>11.984299999999999</v>
      </c>
      <c r="AE163" s="49">
        <v>11.9872</v>
      </c>
      <c r="AH163" s="16">
        <f t="shared" si="14"/>
        <v>19930430</v>
      </c>
      <c r="AI163" s="16">
        <f t="shared" si="15"/>
        <v>13.5428</v>
      </c>
      <c r="AJ163" s="16">
        <f t="shared" si="16"/>
        <v>4.6336000000000013</v>
      </c>
      <c r="AK163" s="16">
        <f t="shared" si="17"/>
        <v>-0.89320000000000022</v>
      </c>
      <c r="AL163" s="16">
        <v>3.34375</v>
      </c>
      <c r="AM163" s="17">
        <f t="shared" si="18"/>
        <v>13.264154166666666</v>
      </c>
      <c r="AN163" s="17">
        <f t="shared" si="19"/>
        <v>4.6336000000000013</v>
      </c>
      <c r="AO163" s="17">
        <f t="shared" si="20"/>
        <v>-0.89320000000000022</v>
      </c>
    </row>
    <row r="164" spans="1:41">
      <c r="A164" s="49">
        <v>19930531</v>
      </c>
      <c r="B164" s="49">
        <v>0.15490000000000001</v>
      </c>
      <c r="C164" s="49">
        <v>0.16039999999999999</v>
      </c>
      <c r="D164" s="49">
        <v>0.10589999999999999</v>
      </c>
      <c r="E164" s="49">
        <v>0.1129</v>
      </c>
      <c r="F164" s="49">
        <v>0.20380000000000001</v>
      </c>
      <c r="G164" s="49">
        <v>0.20780000000000001</v>
      </c>
      <c r="H164" s="49">
        <v>-1.3089</v>
      </c>
      <c r="I164" s="49">
        <v>-1.3035000000000001</v>
      </c>
      <c r="J164" s="49">
        <v>-1.6479999999999999</v>
      </c>
      <c r="K164" s="49">
        <v>-1.6409</v>
      </c>
      <c r="L164" s="49">
        <v>-0.98050000000000004</v>
      </c>
      <c r="M164" s="49">
        <v>-0.9768</v>
      </c>
      <c r="N164" s="49">
        <v>7.6810999999999998</v>
      </c>
      <c r="O164" s="49">
        <v>7.6872999999999996</v>
      </c>
      <c r="P164" s="49">
        <v>8.2949000000000002</v>
      </c>
      <c r="Q164" s="49">
        <v>8.3013999999999992</v>
      </c>
      <c r="R164" s="49">
        <v>6.9553000000000003</v>
      </c>
      <c r="S164" s="49">
        <v>6.9610000000000003</v>
      </c>
      <c r="T164" s="49">
        <v>-2.9498000000000002</v>
      </c>
      <c r="U164" s="49">
        <v>-2.9466000000000001</v>
      </c>
      <c r="V164" s="49">
        <v>-4.0236000000000001</v>
      </c>
      <c r="W164" s="49">
        <v>-4.0168999999999997</v>
      </c>
      <c r="X164" s="49">
        <v>-1.9395</v>
      </c>
      <c r="Y164" s="49">
        <v>-1.9395</v>
      </c>
      <c r="Z164" s="49">
        <v>1.0392999999999999</v>
      </c>
      <c r="AA164" s="49">
        <v>1.0477000000000001</v>
      </c>
      <c r="AB164" s="49">
        <v>1.6331</v>
      </c>
      <c r="AC164" s="49">
        <v>1.6407</v>
      </c>
      <c r="AD164" s="49">
        <v>0.43990000000000001</v>
      </c>
      <c r="AE164" s="49">
        <v>0.4491</v>
      </c>
      <c r="AH164" s="16">
        <f t="shared" si="14"/>
        <v>19930531</v>
      </c>
      <c r="AI164" s="16">
        <f t="shared" si="15"/>
        <v>0.16039999999999999</v>
      </c>
      <c r="AJ164" s="16">
        <f t="shared" si="16"/>
        <v>0.6762999999999989</v>
      </c>
      <c r="AK164" s="16">
        <f t="shared" si="17"/>
        <v>17.880099999999999</v>
      </c>
      <c r="AL164" s="16">
        <v>3.25</v>
      </c>
      <c r="AM164" s="17">
        <f t="shared" si="18"/>
        <v>-0.11043333333333333</v>
      </c>
      <c r="AN164" s="17">
        <f t="shared" si="19"/>
        <v>0.6762999999999989</v>
      </c>
      <c r="AO164" s="17">
        <f t="shared" si="20"/>
        <v>17.880099999999999</v>
      </c>
    </row>
    <row r="165" spans="1:41">
      <c r="A165" s="49">
        <v>19930630</v>
      </c>
      <c r="B165" s="49">
        <v>-4.4518000000000004</v>
      </c>
      <c r="C165" s="49">
        <v>-4.4252000000000002</v>
      </c>
      <c r="D165" s="49">
        <v>-4.6562000000000001</v>
      </c>
      <c r="E165" s="49">
        <v>-4.6280000000000001</v>
      </c>
      <c r="F165" s="49">
        <v>-4.2476000000000003</v>
      </c>
      <c r="G165" s="49">
        <v>-4.2225000000000001</v>
      </c>
      <c r="H165" s="49">
        <v>-4.1154999999999999</v>
      </c>
      <c r="I165" s="49">
        <v>-4.0853999999999999</v>
      </c>
      <c r="J165" s="49">
        <v>-4.3954000000000004</v>
      </c>
      <c r="K165" s="49">
        <v>-4.3624999999999998</v>
      </c>
      <c r="L165" s="49">
        <v>-3.8462000000000001</v>
      </c>
      <c r="M165" s="49">
        <v>-3.8189000000000002</v>
      </c>
      <c r="N165" s="49">
        <v>-6.0359999999999996</v>
      </c>
      <c r="O165" s="49">
        <v>-6.0254000000000003</v>
      </c>
      <c r="P165" s="49">
        <v>-5.7618</v>
      </c>
      <c r="Q165" s="49">
        <v>-5.7535999999999996</v>
      </c>
      <c r="R165" s="49">
        <v>-6.3638000000000003</v>
      </c>
      <c r="S165" s="49">
        <v>-6.3505000000000003</v>
      </c>
      <c r="T165" s="49">
        <v>-4.0094000000000003</v>
      </c>
      <c r="U165" s="49">
        <v>-3.9699</v>
      </c>
      <c r="V165" s="49">
        <v>-4.9088000000000003</v>
      </c>
      <c r="W165" s="49">
        <v>-4.859</v>
      </c>
      <c r="X165" s="49">
        <v>-3.1812999999999998</v>
      </c>
      <c r="Y165" s="49">
        <v>-3.1513</v>
      </c>
      <c r="Z165" s="49">
        <v>-4.2611999999999997</v>
      </c>
      <c r="AA165" s="49">
        <v>-4.2442000000000002</v>
      </c>
      <c r="AB165" s="49">
        <v>-3.7262</v>
      </c>
      <c r="AC165" s="49">
        <v>-3.7155</v>
      </c>
      <c r="AD165" s="49">
        <v>-4.8072999999999997</v>
      </c>
      <c r="AE165" s="49">
        <v>-4.7839</v>
      </c>
      <c r="AH165" s="16">
        <f t="shared" si="14"/>
        <v>19930630</v>
      </c>
      <c r="AI165" s="16">
        <f t="shared" si="15"/>
        <v>-4.4252000000000002</v>
      </c>
      <c r="AJ165" s="16">
        <f t="shared" si="16"/>
        <v>5.3300000000001013E-2</v>
      </c>
      <c r="AK165" s="16">
        <f t="shared" si="17"/>
        <v>-3.922699999999999</v>
      </c>
      <c r="AL165" s="16">
        <v>3.28125</v>
      </c>
      <c r="AM165" s="17">
        <f t="shared" si="18"/>
        <v>-4.6986375000000002</v>
      </c>
      <c r="AN165" s="17">
        <f t="shared" si="19"/>
        <v>5.3300000000001013E-2</v>
      </c>
      <c r="AO165" s="17">
        <f t="shared" si="20"/>
        <v>-3.922699999999999</v>
      </c>
    </row>
    <row r="166" spans="1:41">
      <c r="A166" s="49">
        <v>19930731</v>
      </c>
      <c r="B166" s="49">
        <v>4.4478</v>
      </c>
      <c r="C166" s="49">
        <v>4.4505999999999997</v>
      </c>
      <c r="D166" s="49">
        <v>4.2854000000000001</v>
      </c>
      <c r="E166" s="49">
        <v>4.2904</v>
      </c>
      <c r="F166" s="49">
        <v>4.6092000000000004</v>
      </c>
      <c r="G166" s="49">
        <v>4.6097999999999999</v>
      </c>
      <c r="H166" s="49">
        <v>4.8673999999999999</v>
      </c>
      <c r="I166" s="49">
        <v>4.8703000000000003</v>
      </c>
      <c r="J166" s="49">
        <v>4.7991000000000001</v>
      </c>
      <c r="K166" s="49">
        <v>4.8045</v>
      </c>
      <c r="L166" s="49">
        <v>4.9328000000000003</v>
      </c>
      <c r="M166" s="49">
        <v>4.9332000000000003</v>
      </c>
      <c r="N166" s="49">
        <v>2.4327000000000001</v>
      </c>
      <c r="O166" s="49">
        <v>2.4352</v>
      </c>
      <c r="P166" s="49">
        <v>2.0771999999999999</v>
      </c>
      <c r="Q166" s="49">
        <v>2.0806</v>
      </c>
      <c r="R166" s="49">
        <v>2.86</v>
      </c>
      <c r="S166" s="49">
        <v>2.8614999999999999</v>
      </c>
      <c r="T166" s="49">
        <v>5.3749000000000002</v>
      </c>
      <c r="U166" s="49">
        <v>5.3787000000000003</v>
      </c>
      <c r="V166" s="49">
        <v>5.2442000000000002</v>
      </c>
      <c r="W166" s="49">
        <v>5.2515000000000001</v>
      </c>
      <c r="X166" s="49">
        <v>5.4931000000000001</v>
      </c>
      <c r="Y166" s="49">
        <v>5.4938000000000002</v>
      </c>
      <c r="Z166" s="49">
        <v>4.1689999999999996</v>
      </c>
      <c r="AA166" s="49">
        <v>4.1704999999999997</v>
      </c>
      <c r="AB166" s="49">
        <v>4.2262000000000004</v>
      </c>
      <c r="AC166" s="49">
        <v>4.2291999999999996</v>
      </c>
      <c r="AD166" s="49">
        <v>4.1098999999999997</v>
      </c>
      <c r="AE166" s="49">
        <v>4.1098999999999997</v>
      </c>
      <c r="AH166" s="16">
        <f t="shared" si="14"/>
        <v>19930731</v>
      </c>
      <c r="AI166" s="16">
        <f t="shared" si="15"/>
        <v>4.4505999999999997</v>
      </c>
      <c r="AJ166" s="16">
        <f t="shared" si="16"/>
        <v>-0.90960000000000019</v>
      </c>
      <c r="AK166" s="16">
        <f t="shared" si="17"/>
        <v>-4.7956000000000003</v>
      </c>
      <c r="AL166" s="16">
        <v>3.25</v>
      </c>
      <c r="AM166" s="17">
        <f t="shared" si="18"/>
        <v>4.1797666666666666</v>
      </c>
      <c r="AN166" s="17">
        <f t="shared" si="19"/>
        <v>-0.90960000000000019</v>
      </c>
      <c r="AO166" s="17">
        <f t="shared" si="20"/>
        <v>-4.7956000000000003</v>
      </c>
    </row>
    <row r="167" spans="1:41">
      <c r="A167" s="49">
        <v>19930831</v>
      </c>
      <c r="B167" s="49">
        <v>2.0861000000000001</v>
      </c>
      <c r="C167" s="49">
        <v>2.0973999999999999</v>
      </c>
      <c r="D167" s="49">
        <v>2.2791999999999999</v>
      </c>
      <c r="E167" s="49">
        <v>2.2949999999999999</v>
      </c>
      <c r="F167" s="49">
        <v>1.8947000000000001</v>
      </c>
      <c r="G167" s="49">
        <v>1.9016</v>
      </c>
      <c r="H167" s="49">
        <v>2.1810999999999998</v>
      </c>
      <c r="I167" s="49">
        <v>2.1913999999999998</v>
      </c>
      <c r="J167" s="49">
        <v>2.4371</v>
      </c>
      <c r="K167" s="49">
        <v>2.4529000000000001</v>
      </c>
      <c r="L167" s="49">
        <v>1.9369000000000001</v>
      </c>
      <c r="M167" s="49">
        <v>1.9419</v>
      </c>
      <c r="N167" s="49">
        <v>1.6195999999999999</v>
      </c>
      <c r="O167" s="49">
        <v>1.6355999999999999</v>
      </c>
      <c r="P167" s="49">
        <v>1.5829</v>
      </c>
      <c r="Q167" s="49">
        <v>1.5985</v>
      </c>
      <c r="R167" s="49">
        <v>1.6632</v>
      </c>
      <c r="S167" s="49">
        <v>1.6797</v>
      </c>
      <c r="T167" s="49">
        <v>2.2928000000000002</v>
      </c>
      <c r="U167" s="49">
        <v>2.2993000000000001</v>
      </c>
      <c r="V167" s="49">
        <v>2.7414000000000001</v>
      </c>
      <c r="W167" s="49">
        <v>2.7479</v>
      </c>
      <c r="X167" s="49">
        <v>1.8880999999999999</v>
      </c>
      <c r="Y167" s="49">
        <v>1.8946000000000001</v>
      </c>
      <c r="Z167" s="49">
        <v>2.0259</v>
      </c>
      <c r="AA167" s="49">
        <v>2.0415999999999999</v>
      </c>
      <c r="AB167" s="49">
        <v>2.0417000000000001</v>
      </c>
      <c r="AC167" s="49">
        <v>2.0697000000000001</v>
      </c>
      <c r="AD167" s="49">
        <v>2.0097</v>
      </c>
      <c r="AE167" s="49">
        <v>2.0125999999999999</v>
      </c>
      <c r="AH167" s="16">
        <f t="shared" si="14"/>
        <v>19930831</v>
      </c>
      <c r="AI167" s="16">
        <f t="shared" si="15"/>
        <v>2.0973999999999999</v>
      </c>
      <c r="AJ167" s="16">
        <f t="shared" si="16"/>
        <v>0.42980000000000018</v>
      </c>
      <c r="AK167" s="16">
        <f t="shared" si="17"/>
        <v>-1.1166</v>
      </c>
      <c r="AL167" s="16">
        <v>3.25</v>
      </c>
      <c r="AM167" s="17">
        <f t="shared" si="18"/>
        <v>1.8265666666666667</v>
      </c>
      <c r="AN167" s="17">
        <f t="shared" si="19"/>
        <v>0.42980000000000018</v>
      </c>
      <c r="AO167" s="17">
        <f t="shared" si="20"/>
        <v>-1.1166</v>
      </c>
    </row>
    <row r="168" spans="1:41">
      <c r="A168" s="49">
        <v>19930930</v>
      </c>
      <c r="B168" s="49">
        <v>-3.508</v>
      </c>
      <c r="C168" s="49">
        <v>-3.2534999999999998</v>
      </c>
      <c r="D168" s="49">
        <v>-4.0415000000000001</v>
      </c>
      <c r="E168" s="49">
        <v>-3.782</v>
      </c>
      <c r="F168" s="49">
        <v>-2.9780000000000002</v>
      </c>
      <c r="G168" s="49">
        <v>-2.7282999999999999</v>
      </c>
      <c r="H168" s="49">
        <v>-3.7635000000000001</v>
      </c>
      <c r="I168" s="49">
        <v>-3.4967000000000001</v>
      </c>
      <c r="J168" s="49">
        <v>-4.1868999999999996</v>
      </c>
      <c r="K168" s="49">
        <v>-3.9176000000000002</v>
      </c>
      <c r="L168" s="49">
        <v>-3.3574999999999999</v>
      </c>
      <c r="M168" s="49">
        <v>-3.0931000000000002</v>
      </c>
      <c r="N168" s="49">
        <v>-2.2475000000000001</v>
      </c>
      <c r="O168" s="49">
        <v>-2.0541</v>
      </c>
      <c r="P168" s="49">
        <v>-3.3948999999999998</v>
      </c>
      <c r="Q168" s="49">
        <v>-3.1798000000000002</v>
      </c>
      <c r="R168" s="49">
        <v>-0.88990000000000002</v>
      </c>
      <c r="S168" s="49">
        <v>-0.72219999999999995</v>
      </c>
      <c r="T168" s="49">
        <v>-4.3844000000000003</v>
      </c>
      <c r="U168" s="49">
        <v>-4.0861999999999998</v>
      </c>
      <c r="V168" s="49">
        <v>-4.3038999999999996</v>
      </c>
      <c r="W168" s="49">
        <v>-4.0134999999999996</v>
      </c>
      <c r="X168" s="49">
        <v>-4.4576000000000002</v>
      </c>
      <c r="Y168" s="49">
        <v>-4.1524000000000001</v>
      </c>
      <c r="Z168" s="49">
        <v>-2.8975</v>
      </c>
      <c r="AA168" s="49">
        <v>-2.6743000000000001</v>
      </c>
      <c r="AB168" s="49">
        <v>-4.0339</v>
      </c>
      <c r="AC168" s="49">
        <v>-3.7919999999999998</v>
      </c>
      <c r="AD168" s="49">
        <v>-1.7244999999999999</v>
      </c>
      <c r="AE168" s="49">
        <v>-1.5206</v>
      </c>
      <c r="AH168" s="16">
        <f t="shared" si="14"/>
        <v>19930930</v>
      </c>
      <c r="AI168" s="16">
        <f t="shared" si="15"/>
        <v>-3.2534999999999998</v>
      </c>
      <c r="AJ168" s="16">
        <f t="shared" si="16"/>
        <v>-3.2821000000000002</v>
      </c>
      <c r="AK168" s="16">
        <f t="shared" si="17"/>
        <v>3.1086999999999998</v>
      </c>
      <c r="AL168" s="16">
        <v>3.0625</v>
      </c>
      <c r="AM168" s="17">
        <f t="shared" si="18"/>
        <v>-3.5087083333333333</v>
      </c>
      <c r="AN168" s="17">
        <f t="shared" si="19"/>
        <v>-3.2821000000000002</v>
      </c>
      <c r="AO168" s="17">
        <f t="shared" si="20"/>
        <v>3.1086999999999998</v>
      </c>
    </row>
    <row r="169" spans="1:41">
      <c r="A169" s="49">
        <v>19931031</v>
      </c>
      <c r="B169" s="49">
        <v>-0.59119999999999995</v>
      </c>
      <c r="C169" s="49">
        <v>-0.58819999999999995</v>
      </c>
      <c r="D169" s="49">
        <v>-0.27910000000000001</v>
      </c>
      <c r="E169" s="49">
        <v>-0.27679999999999999</v>
      </c>
      <c r="F169" s="49">
        <v>-0.89790000000000003</v>
      </c>
      <c r="G169" s="49">
        <v>-0.89419999999999999</v>
      </c>
      <c r="H169" s="49">
        <v>0.53569999999999995</v>
      </c>
      <c r="I169" s="49">
        <v>0.5383</v>
      </c>
      <c r="J169" s="49">
        <v>0.98650000000000004</v>
      </c>
      <c r="K169" s="49">
        <v>0.98809999999999998</v>
      </c>
      <c r="L169" s="49">
        <v>0.10680000000000001</v>
      </c>
      <c r="M169" s="49">
        <v>0.1103</v>
      </c>
      <c r="N169" s="49">
        <v>-6.0648</v>
      </c>
      <c r="O169" s="49">
        <v>-6.0594999999999999</v>
      </c>
      <c r="P169" s="49">
        <v>-5.8841999999999999</v>
      </c>
      <c r="Q169" s="49">
        <v>-5.8788</v>
      </c>
      <c r="R169" s="49">
        <v>-6.2723000000000004</v>
      </c>
      <c r="S169" s="49">
        <v>-6.2671999999999999</v>
      </c>
      <c r="T169" s="49">
        <v>2.4251</v>
      </c>
      <c r="U169" s="49">
        <v>2.4283999999999999</v>
      </c>
      <c r="V169" s="49">
        <v>3.2959000000000001</v>
      </c>
      <c r="W169" s="49">
        <v>3.2985000000000002</v>
      </c>
      <c r="X169" s="49">
        <v>1.6315</v>
      </c>
      <c r="Y169" s="49">
        <v>1.6355</v>
      </c>
      <c r="Z169" s="49">
        <v>-2.0537000000000001</v>
      </c>
      <c r="AA169" s="49">
        <v>-2.0522</v>
      </c>
      <c r="AB169" s="49">
        <v>-2.0177</v>
      </c>
      <c r="AC169" s="49">
        <v>-2.0173000000000001</v>
      </c>
      <c r="AD169" s="49">
        <v>-2.0901000000000001</v>
      </c>
      <c r="AE169" s="49">
        <v>-2.0876000000000001</v>
      </c>
      <c r="AH169" s="16">
        <f t="shared" si="14"/>
        <v>19931031</v>
      </c>
      <c r="AI169" s="16">
        <f t="shared" si="15"/>
        <v>-0.58819999999999995</v>
      </c>
      <c r="AJ169" s="16">
        <f t="shared" si="16"/>
        <v>1.2662</v>
      </c>
      <c r="AK169" s="16">
        <f t="shared" si="17"/>
        <v>-13.244400000000001</v>
      </c>
      <c r="AL169" s="16">
        <v>2.53125</v>
      </c>
      <c r="AM169" s="17">
        <f t="shared" si="18"/>
        <v>-0.79913749999999995</v>
      </c>
      <c r="AN169" s="17">
        <f t="shared" si="19"/>
        <v>1.2662</v>
      </c>
      <c r="AO169" s="17">
        <f t="shared" si="20"/>
        <v>-13.244400000000001</v>
      </c>
    </row>
    <row r="170" spans="1:41">
      <c r="A170" s="49">
        <v>19931130</v>
      </c>
      <c r="B170" s="49">
        <v>-14.605</v>
      </c>
      <c r="C170" s="49">
        <v>-14.599</v>
      </c>
      <c r="D170" s="49">
        <v>-14.957800000000001</v>
      </c>
      <c r="E170" s="49">
        <v>-14.950799999999999</v>
      </c>
      <c r="F170" s="49">
        <v>-14.2562</v>
      </c>
      <c r="G170" s="49">
        <v>-14.251200000000001</v>
      </c>
      <c r="H170" s="49">
        <v>-14.071899999999999</v>
      </c>
      <c r="I170" s="49">
        <v>-14.066000000000001</v>
      </c>
      <c r="J170" s="49">
        <v>-14.2675</v>
      </c>
      <c r="K170" s="49">
        <v>-14.260300000000001</v>
      </c>
      <c r="L170" s="49">
        <v>-13.8842</v>
      </c>
      <c r="M170" s="49">
        <v>-13.8794</v>
      </c>
      <c r="N170" s="49">
        <v>-17.3749</v>
      </c>
      <c r="O170" s="49">
        <v>-17.368600000000001</v>
      </c>
      <c r="P170" s="49">
        <v>-18.2376</v>
      </c>
      <c r="Q170" s="49">
        <v>-18.2315</v>
      </c>
      <c r="R170" s="49">
        <v>-16.380500000000001</v>
      </c>
      <c r="S170" s="49">
        <v>-16.373899999999999</v>
      </c>
      <c r="T170" s="49">
        <v>-13.3863</v>
      </c>
      <c r="U170" s="49">
        <v>-13.3832</v>
      </c>
      <c r="V170" s="49">
        <v>-13.192</v>
      </c>
      <c r="W170" s="49">
        <v>-13.1853</v>
      </c>
      <c r="X170" s="49">
        <v>-13.5661</v>
      </c>
      <c r="Y170" s="49">
        <v>-13.5661</v>
      </c>
      <c r="Z170" s="49">
        <v>-15.0543</v>
      </c>
      <c r="AA170" s="49">
        <v>-15.0444</v>
      </c>
      <c r="AB170" s="49">
        <v>-15.7424</v>
      </c>
      <c r="AC170" s="49">
        <v>-15.7346</v>
      </c>
      <c r="AD170" s="49">
        <v>-14.3597</v>
      </c>
      <c r="AE170" s="49">
        <v>-14.347799999999999</v>
      </c>
      <c r="AH170" s="16">
        <f t="shared" si="14"/>
        <v>19931130</v>
      </c>
      <c r="AI170" s="16">
        <f t="shared" si="15"/>
        <v>-14.599</v>
      </c>
      <c r="AJ170" s="16">
        <f t="shared" si="16"/>
        <v>-2.2385000000000019</v>
      </c>
      <c r="AK170" s="16">
        <f t="shared" si="17"/>
        <v>-6.4657000000000018</v>
      </c>
      <c r="AL170" s="16">
        <v>2.46875</v>
      </c>
      <c r="AM170" s="17">
        <f t="shared" si="18"/>
        <v>-14.804729166666666</v>
      </c>
      <c r="AN170" s="17">
        <f t="shared" si="19"/>
        <v>-2.2385000000000019</v>
      </c>
      <c r="AO170" s="17">
        <f t="shared" si="20"/>
        <v>-6.4657000000000018</v>
      </c>
    </row>
    <row r="171" spans="1:41">
      <c r="A171" s="49">
        <v>19931231</v>
      </c>
      <c r="B171" s="49">
        <v>4.7019000000000002</v>
      </c>
      <c r="C171" s="49">
        <v>4.7426000000000004</v>
      </c>
      <c r="D171" s="49">
        <v>5.4443000000000001</v>
      </c>
      <c r="E171" s="49">
        <v>5.4825999999999997</v>
      </c>
      <c r="F171" s="49">
        <v>3.9746999999999999</v>
      </c>
      <c r="G171" s="49">
        <v>4.0178000000000003</v>
      </c>
      <c r="H171" s="49">
        <v>4.6722999999999999</v>
      </c>
      <c r="I171" s="49">
        <v>4.7145999999999999</v>
      </c>
      <c r="J171" s="49">
        <v>5.5000999999999998</v>
      </c>
      <c r="K171" s="49">
        <v>5.5393999999999997</v>
      </c>
      <c r="L171" s="49">
        <v>3.8822000000000001</v>
      </c>
      <c r="M171" s="49">
        <v>3.9274</v>
      </c>
      <c r="N171" s="49">
        <v>4.8617999999999997</v>
      </c>
      <c r="O171" s="49">
        <v>4.8939000000000004</v>
      </c>
      <c r="P171" s="49">
        <v>5.1665000000000001</v>
      </c>
      <c r="Q171" s="49">
        <v>5.1993999999999998</v>
      </c>
      <c r="R171" s="49">
        <v>4.5186000000000002</v>
      </c>
      <c r="S171" s="49">
        <v>4.5498000000000003</v>
      </c>
      <c r="T171" s="49">
        <v>5.0621999999999998</v>
      </c>
      <c r="U171" s="49">
        <v>5.1094999999999997</v>
      </c>
      <c r="V171" s="49">
        <v>6.5168999999999997</v>
      </c>
      <c r="W171" s="49">
        <v>6.5702999999999996</v>
      </c>
      <c r="X171" s="49">
        <v>3.7103000000000002</v>
      </c>
      <c r="Y171" s="49">
        <v>3.7519</v>
      </c>
      <c r="Z171" s="49">
        <v>4.1026999999999996</v>
      </c>
      <c r="AA171" s="49">
        <v>4.1378000000000004</v>
      </c>
      <c r="AB171" s="49">
        <v>4.0633999999999997</v>
      </c>
      <c r="AC171" s="49">
        <v>4.0830000000000002</v>
      </c>
      <c r="AD171" s="49">
        <v>4.1417000000000002</v>
      </c>
      <c r="AE171" s="49">
        <v>4.1921999999999997</v>
      </c>
      <c r="AH171" s="16">
        <f t="shared" si="14"/>
        <v>19931231</v>
      </c>
      <c r="AI171" s="16">
        <f t="shared" si="15"/>
        <v>4.7426000000000004</v>
      </c>
      <c r="AJ171" s="16">
        <f t="shared" si="16"/>
        <v>2.2615999999999992</v>
      </c>
      <c r="AK171" s="16">
        <f t="shared" si="17"/>
        <v>0.28240000000000087</v>
      </c>
      <c r="AL171" s="16">
        <v>2.375</v>
      </c>
      <c r="AM171" s="17">
        <f t="shared" si="18"/>
        <v>4.5446833333333334</v>
      </c>
      <c r="AN171" s="17">
        <f t="shared" si="19"/>
        <v>2.2615999999999992</v>
      </c>
      <c r="AO171" s="17">
        <f t="shared" si="20"/>
        <v>0.28240000000000087</v>
      </c>
    </row>
    <row r="172" spans="1:41">
      <c r="A172" s="49">
        <v>19940131</v>
      </c>
      <c r="B172" s="49">
        <v>13.4621</v>
      </c>
      <c r="C172" s="49">
        <v>13.469900000000001</v>
      </c>
      <c r="D172" s="49">
        <v>14.2431</v>
      </c>
      <c r="E172" s="49">
        <v>14.2568</v>
      </c>
      <c r="F172" s="49">
        <v>12.7165</v>
      </c>
      <c r="G172" s="49">
        <v>12.7187</v>
      </c>
      <c r="H172" s="49">
        <v>13.093</v>
      </c>
      <c r="I172" s="49">
        <v>13.1007</v>
      </c>
      <c r="J172" s="49">
        <v>13.8575</v>
      </c>
      <c r="K172" s="49">
        <v>13.8719</v>
      </c>
      <c r="L172" s="49">
        <v>12.4026</v>
      </c>
      <c r="M172" s="49">
        <v>12.404199999999999</v>
      </c>
      <c r="N172" s="49">
        <v>15.491099999999999</v>
      </c>
      <c r="O172" s="49">
        <v>15.4993</v>
      </c>
      <c r="P172" s="49">
        <v>16.024999999999999</v>
      </c>
      <c r="Q172" s="49">
        <v>16.0349</v>
      </c>
      <c r="R172" s="49">
        <v>14.798999999999999</v>
      </c>
      <c r="S172" s="49">
        <v>14.8048</v>
      </c>
      <c r="T172" s="49">
        <v>13.5932</v>
      </c>
      <c r="U172" s="49">
        <v>13.5974</v>
      </c>
      <c r="V172" s="49">
        <v>13.8352</v>
      </c>
      <c r="W172" s="49">
        <v>13.842499999999999</v>
      </c>
      <c r="X172" s="49">
        <v>13.392200000000001</v>
      </c>
      <c r="Y172" s="49">
        <v>13.394</v>
      </c>
      <c r="Z172" s="49">
        <v>12.349500000000001</v>
      </c>
      <c r="AA172" s="49">
        <v>12.3622</v>
      </c>
      <c r="AB172" s="49">
        <v>13.887</v>
      </c>
      <c r="AC172" s="49">
        <v>13.9109</v>
      </c>
      <c r="AD172" s="49">
        <v>10.7776</v>
      </c>
      <c r="AE172" s="49">
        <v>10.7789</v>
      </c>
      <c r="AH172" s="16">
        <f t="shared" si="14"/>
        <v>19940131</v>
      </c>
      <c r="AI172" s="16">
        <f t="shared" si="15"/>
        <v>13.469900000000001</v>
      </c>
      <c r="AJ172" s="16">
        <f t="shared" si="16"/>
        <v>2.6978000000000009</v>
      </c>
      <c r="AK172" s="16">
        <f t="shared" si="17"/>
        <v>4.563600000000001</v>
      </c>
      <c r="AL172" s="16">
        <v>2.375</v>
      </c>
      <c r="AM172" s="17">
        <f t="shared" si="18"/>
        <v>13.271983333333335</v>
      </c>
      <c r="AN172" s="17">
        <f t="shared" si="19"/>
        <v>2.6978000000000009</v>
      </c>
      <c r="AO172" s="17">
        <f t="shared" si="20"/>
        <v>4.563600000000001</v>
      </c>
    </row>
    <row r="173" spans="1:41">
      <c r="A173" s="49">
        <v>19940228</v>
      </c>
      <c r="B173" s="49">
        <v>0.30380000000000001</v>
      </c>
      <c r="C173" s="49">
        <v>0.32150000000000001</v>
      </c>
      <c r="D173" s="49">
        <v>0.57740000000000002</v>
      </c>
      <c r="E173" s="49">
        <v>0.59130000000000005</v>
      </c>
      <c r="F173" s="49">
        <v>3.9E-2</v>
      </c>
      <c r="G173" s="49">
        <v>6.0400000000000002E-2</v>
      </c>
      <c r="H173" s="49">
        <v>0.13669999999999999</v>
      </c>
      <c r="I173" s="49">
        <v>0.15359999999999999</v>
      </c>
      <c r="J173" s="49">
        <v>0.44979999999999998</v>
      </c>
      <c r="K173" s="49">
        <v>0.46360000000000001</v>
      </c>
      <c r="L173" s="49">
        <v>-0.1497</v>
      </c>
      <c r="M173" s="49">
        <v>-0.13</v>
      </c>
      <c r="N173" s="49">
        <v>1.2017</v>
      </c>
      <c r="O173" s="49">
        <v>1.224</v>
      </c>
      <c r="P173" s="49">
        <v>1.1554</v>
      </c>
      <c r="Q173" s="49">
        <v>1.17</v>
      </c>
      <c r="R173" s="49">
        <v>1.2621</v>
      </c>
      <c r="S173" s="49">
        <v>1.2945</v>
      </c>
      <c r="T173" s="49">
        <v>0.193</v>
      </c>
      <c r="U173" s="49">
        <v>0.20699999999999999</v>
      </c>
      <c r="V173" s="49">
        <v>0.67759999999999998</v>
      </c>
      <c r="W173" s="49">
        <v>0.67930000000000001</v>
      </c>
      <c r="X173" s="49">
        <v>-0.21110000000000001</v>
      </c>
      <c r="Y173" s="49">
        <v>-0.18690000000000001</v>
      </c>
      <c r="Z173" s="49">
        <v>5.2299999999999999E-2</v>
      </c>
      <c r="AA173" s="49">
        <v>7.3400000000000007E-2</v>
      </c>
      <c r="AB173" s="49">
        <v>0.14610000000000001</v>
      </c>
      <c r="AC173" s="49">
        <v>0.17580000000000001</v>
      </c>
      <c r="AD173" s="49">
        <v>-4.6199999999999998E-2</v>
      </c>
      <c r="AE173" s="49">
        <v>-3.4099999999999998E-2</v>
      </c>
      <c r="AH173" s="16">
        <f t="shared" si="14"/>
        <v>19940228</v>
      </c>
      <c r="AI173" s="16">
        <f t="shared" si="15"/>
        <v>0.32150000000000001</v>
      </c>
      <c r="AJ173" s="16">
        <f t="shared" si="16"/>
        <v>0.46909999999999996</v>
      </c>
      <c r="AK173" s="16">
        <f t="shared" si="17"/>
        <v>2.1309</v>
      </c>
      <c r="AL173" s="16">
        <v>2.28125</v>
      </c>
      <c r="AM173" s="17">
        <f t="shared" si="18"/>
        <v>0.13139583333333335</v>
      </c>
      <c r="AN173" s="17">
        <f t="shared" si="19"/>
        <v>0.46909999999999996</v>
      </c>
      <c r="AO173" s="17">
        <f t="shared" si="20"/>
        <v>2.1309</v>
      </c>
    </row>
    <row r="174" spans="1:41">
      <c r="A174" s="49">
        <v>19940331</v>
      </c>
      <c r="B174" s="49">
        <v>-3.8096000000000001</v>
      </c>
      <c r="C174" s="49">
        <v>-3.4319999999999999</v>
      </c>
      <c r="D174" s="49">
        <v>-3.1621999999999999</v>
      </c>
      <c r="E174" s="49">
        <v>-2.7669000000000001</v>
      </c>
      <c r="F174" s="49">
        <v>-4.4389000000000003</v>
      </c>
      <c r="G174" s="49">
        <v>-4.0785999999999998</v>
      </c>
      <c r="H174" s="49">
        <v>-4.4973000000000001</v>
      </c>
      <c r="I174" s="49">
        <v>-4.1174999999999997</v>
      </c>
      <c r="J174" s="49">
        <v>-3.9464999999999999</v>
      </c>
      <c r="K174" s="49">
        <v>-3.5525000000000002</v>
      </c>
      <c r="L174" s="49">
        <v>-5.0030999999999999</v>
      </c>
      <c r="M174" s="49">
        <v>-4.6363000000000003</v>
      </c>
      <c r="N174" s="49">
        <v>-0.13250000000000001</v>
      </c>
      <c r="O174" s="49">
        <v>0.23300000000000001</v>
      </c>
      <c r="P174" s="49">
        <v>0.36770000000000003</v>
      </c>
      <c r="Q174" s="49">
        <v>0.76929999999999998</v>
      </c>
      <c r="R174" s="49">
        <v>-0.79259999999999997</v>
      </c>
      <c r="S174" s="49">
        <v>-0.47510000000000002</v>
      </c>
      <c r="T174" s="49">
        <v>-5.5477999999999996</v>
      </c>
      <c r="U174" s="49">
        <v>-5.1741000000000001</v>
      </c>
      <c r="V174" s="49">
        <v>-4.6550000000000002</v>
      </c>
      <c r="W174" s="49">
        <v>-4.2789000000000001</v>
      </c>
      <c r="X174" s="49">
        <v>-6.2964000000000002</v>
      </c>
      <c r="Y174" s="49">
        <v>-5.9248000000000003</v>
      </c>
      <c r="Z174" s="49">
        <v>-2.9140000000000001</v>
      </c>
      <c r="AA174" s="49">
        <v>-2.5249000000000001</v>
      </c>
      <c r="AB174" s="49">
        <v>-2.9965000000000002</v>
      </c>
      <c r="AC174" s="49">
        <v>-2.5787</v>
      </c>
      <c r="AD174" s="49">
        <v>-2.8271999999999999</v>
      </c>
      <c r="AE174" s="49">
        <v>-2.4685999999999999</v>
      </c>
      <c r="AH174" s="16">
        <f t="shared" si="14"/>
        <v>19940331</v>
      </c>
      <c r="AI174" s="16">
        <f t="shared" si="15"/>
        <v>-3.4319999999999999</v>
      </c>
      <c r="AJ174" s="16">
        <f t="shared" si="16"/>
        <v>2.3281999999999998</v>
      </c>
      <c r="AK174" s="16">
        <f t="shared" si="17"/>
        <v>8.4830000000000005</v>
      </c>
      <c r="AL174" s="16">
        <v>2.34</v>
      </c>
      <c r="AM174" s="17">
        <f t="shared" si="18"/>
        <v>-3.6269999999999998</v>
      </c>
      <c r="AN174" s="17">
        <f t="shared" si="19"/>
        <v>2.3281999999999998</v>
      </c>
      <c r="AO174" s="17">
        <f t="shared" si="20"/>
        <v>8.4830000000000005</v>
      </c>
    </row>
    <row r="175" spans="1:41">
      <c r="A175" s="49">
        <v>19940430</v>
      </c>
      <c r="B175" s="49">
        <v>2.1808999999999998</v>
      </c>
      <c r="C175" s="49">
        <v>2.1836000000000002</v>
      </c>
      <c r="D175" s="49">
        <v>3.3397000000000001</v>
      </c>
      <c r="E175" s="49">
        <v>3.3437999999999999</v>
      </c>
      <c r="F175" s="49">
        <v>1.04</v>
      </c>
      <c r="G175" s="49">
        <v>1.0415000000000001</v>
      </c>
      <c r="H175" s="49">
        <v>2.0524</v>
      </c>
      <c r="I175" s="49">
        <v>2.0550000000000002</v>
      </c>
      <c r="J175" s="49">
        <v>3.2625000000000002</v>
      </c>
      <c r="K175" s="49">
        <v>3.2667000000000002</v>
      </c>
      <c r="L175" s="49">
        <v>0.92920000000000003</v>
      </c>
      <c r="M175" s="49">
        <v>0.93030000000000002</v>
      </c>
      <c r="N175" s="49">
        <v>2.8371</v>
      </c>
      <c r="O175" s="49">
        <v>2.8407</v>
      </c>
      <c r="P175" s="49">
        <v>3.6722999999999999</v>
      </c>
      <c r="Q175" s="49">
        <v>3.6760000000000002</v>
      </c>
      <c r="R175" s="49">
        <v>1.7244999999999999</v>
      </c>
      <c r="S175" s="49">
        <v>1.728</v>
      </c>
      <c r="T175" s="49">
        <v>1.8672</v>
      </c>
      <c r="U175" s="49">
        <v>1.8705000000000001</v>
      </c>
      <c r="V175" s="49">
        <v>3.2808999999999999</v>
      </c>
      <c r="W175" s="49">
        <v>3.2881</v>
      </c>
      <c r="X175" s="49">
        <v>0.66110000000000002</v>
      </c>
      <c r="Y175" s="49">
        <v>0.66110000000000002</v>
      </c>
      <c r="Z175" s="49">
        <v>2.3239000000000001</v>
      </c>
      <c r="AA175" s="49">
        <v>2.3254999999999999</v>
      </c>
      <c r="AB175" s="49">
        <v>3.2382</v>
      </c>
      <c r="AC175" s="49">
        <v>3.2385000000000002</v>
      </c>
      <c r="AD175" s="49">
        <v>1.3640000000000001</v>
      </c>
      <c r="AE175" s="49">
        <v>1.3669</v>
      </c>
      <c r="AH175" s="16">
        <f t="shared" si="14"/>
        <v>19940430</v>
      </c>
      <c r="AI175" s="16">
        <f t="shared" si="15"/>
        <v>2.1836000000000002</v>
      </c>
      <c r="AJ175" s="16">
        <f t="shared" si="16"/>
        <v>4.2844000000000007</v>
      </c>
      <c r="AK175" s="16">
        <f t="shared" si="17"/>
        <v>1.2069999999999999</v>
      </c>
      <c r="AL175" s="16">
        <v>2.23</v>
      </c>
      <c r="AM175" s="17">
        <f t="shared" si="18"/>
        <v>1.9977666666666669</v>
      </c>
      <c r="AN175" s="17">
        <f t="shared" si="19"/>
        <v>4.2844000000000007</v>
      </c>
      <c r="AO175" s="17">
        <f t="shared" si="20"/>
        <v>1.2069999999999999</v>
      </c>
    </row>
    <row r="176" spans="1:41">
      <c r="A176" s="49">
        <v>19940531</v>
      </c>
      <c r="B176" s="49">
        <v>4.6874000000000002</v>
      </c>
      <c r="C176" s="49">
        <v>4.6928999999999998</v>
      </c>
      <c r="D176" s="49">
        <v>6.1849999999999996</v>
      </c>
      <c r="E176" s="49">
        <v>6.1919000000000004</v>
      </c>
      <c r="F176" s="49">
        <v>3.1798000000000002</v>
      </c>
      <c r="G176" s="49">
        <v>3.1839</v>
      </c>
      <c r="H176" s="49">
        <v>4.9629000000000003</v>
      </c>
      <c r="I176" s="49">
        <v>4.9682000000000004</v>
      </c>
      <c r="J176" s="49">
        <v>6.6623999999999999</v>
      </c>
      <c r="K176" s="49">
        <v>6.6695000000000002</v>
      </c>
      <c r="L176" s="49">
        <v>3.3492000000000002</v>
      </c>
      <c r="M176" s="49">
        <v>3.3527999999999998</v>
      </c>
      <c r="N176" s="49">
        <v>3.2909999999999999</v>
      </c>
      <c r="O176" s="49">
        <v>3.2978999999999998</v>
      </c>
      <c r="P176" s="49">
        <v>4.1379000000000001</v>
      </c>
      <c r="Q176" s="49">
        <v>4.1444999999999999</v>
      </c>
      <c r="R176" s="49">
        <v>2.1417999999999999</v>
      </c>
      <c r="S176" s="49">
        <v>2.1492</v>
      </c>
      <c r="T176" s="49">
        <v>5.2042999999999999</v>
      </c>
      <c r="U176" s="49">
        <v>5.2076000000000002</v>
      </c>
      <c r="V176" s="49">
        <v>7.3570000000000002</v>
      </c>
      <c r="W176" s="49">
        <v>7.3640999999999996</v>
      </c>
      <c r="X176" s="49">
        <v>3.32</v>
      </c>
      <c r="Y176" s="49">
        <v>3.32</v>
      </c>
      <c r="Z176" s="49">
        <v>4.6106999999999996</v>
      </c>
      <c r="AA176" s="49">
        <v>4.6189</v>
      </c>
      <c r="AB176" s="49">
        <v>5.7468000000000004</v>
      </c>
      <c r="AC176" s="49">
        <v>5.7538</v>
      </c>
      <c r="AD176" s="49">
        <v>3.3961999999999999</v>
      </c>
      <c r="AE176" s="49">
        <v>3.4056999999999999</v>
      </c>
      <c r="AH176" s="16">
        <f t="shared" si="14"/>
        <v>19940531</v>
      </c>
      <c r="AI176" s="16">
        <f t="shared" si="15"/>
        <v>4.6928999999999998</v>
      </c>
      <c r="AJ176" s="16">
        <f t="shared" si="16"/>
        <v>5.3120000000000003</v>
      </c>
      <c r="AK176" s="16">
        <f t="shared" si="17"/>
        <v>-3.7286000000000001</v>
      </c>
      <c r="AL176" s="16">
        <v>2.27</v>
      </c>
      <c r="AM176" s="17">
        <f t="shared" si="18"/>
        <v>4.5037333333333329</v>
      </c>
      <c r="AN176" s="17">
        <f t="shared" si="19"/>
        <v>5.3120000000000003</v>
      </c>
      <c r="AO176" s="17">
        <f t="shared" si="20"/>
        <v>-3.7286000000000001</v>
      </c>
    </row>
    <row r="177" spans="1:41">
      <c r="A177" s="49">
        <v>19940630</v>
      </c>
      <c r="B177" s="49">
        <v>-0.18140000000000001</v>
      </c>
      <c r="C177" s="49">
        <v>-0.15540000000000001</v>
      </c>
      <c r="D177" s="49">
        <v>-8.0500000000000002E-2</v>
      </c>
      <c r="E177" s="49">
        <v>-5.2999999999999999E-2</v>
      </c>
      <c r="F177" s="49">
        <v>-0.28599999999999998</v>
      </c>
      <c r="G177" s="49">
        <v>-0.26140000000000002</v>
      </c>
      <c r="H177" s="49">
        <v>-0.75019999999999998</v>
      </c>
      <c r="I177" s="49">
        <v>-0.72089999999999999</v>
      </c>
      <c r="J177" s="49">
        <v>-0.83489999999999998</v>
      </c>
      <c r="K177" s="49">
        <v>-0.80300000000000005</v>
      </c>
      <c r="L177" s="49">
        <v>-0.6673</v>
      </c>
      <c r="M177" s="49">
        <v>-0.64049999999999996</v>
      </c>
      <c r="N177" s="49">
        <v>2.7473000000000001</v>
      </c>
      <c r="O177" s="49">
        <v>2.7566999999999999</v>
      </c>
      <c r="P177" s="49">
        <v>3.2319</v>
      </c>
      <c r="Q177" s="49">
        <v>3.2401</v>
      </c>
      <c r="R177" s="49">
        <v>2.0771000000000002</v>
      </c>
      <c r="S177" s="49">
        <v>2.0880999999999998</v>
      </c>
      <c r="T177" s="49">
        <v>-1.1878</v>
      </c>
      <c r="U177" s="49">
        <v>-1.1508</v>
      </c>
      <c r="V177" s="49">
        <v>-1.3879999999999999</v>
      </c>
      <c r="W177" s="49">
        <v>-1.34</v>
      </c>
      <c r="X177" s="49">
        <v>-1.0058</v>
      </c>
      <c r="Y177" s="49">
        <v>-0.97889999999999999</v>
      </c>
      <c r="Z177" s="49">
        <v>-0.1081</v>
      </c>
      <c r="AA177" s="49">
        <v>-9.01E-2</v>
      </c>
      <c r="AB177" s="49">
        <v>-9.4700000000000006E-2</v>
      </c>
      <c r="AC177" s="49">
        <v>-8.43E-2</v>
      </c>
      <c r="AD177" s="49">
        <v>-0.1229</v>
      </c>
      <c r="AE177" s="49">
        <v>-9.64E-2</v>
      </c>
      <c r="AH177" s="16">
        <f t="shared" si="14"/>
        <v>19940630</v>
      </c>
      <c r="AI177" s="16">
        <f t="shared" si="15"/>
        <v>-0.15540000000000001</v>
      </c>
      <c r="AJ177" s="16">
        <f t="shared" si="16"/>
        <v>0.98950000000000005</v>
      </c>
      <c r="AK177" s="16">
        <f t="shared" si="17"/>
        <v>6.7717000000000001</v>
      </c>
      <c r="AL177" s="16">
        <v>2.1</v>
      </c>
      <c r="AM177" s="17">
        <f t="shared" si="18"/>
        <v>-0.33040000000000003</v>
      </c>
      <c r="AN177" s="17">
        <f t="shared" si="19"/>
        <v>0.98950000000000005</v>
      </c>
      <c r="AO177" s="17">
        <f t="shared" si="20"/>
        <v>6.7717000000000001</v>
      </c>
    </row>
    <row r="178" spans="1:41">
      <c r="A178" s="49">
        <v>19940731</v>
      </c>
      <c r="B178" s="49">
        <v>-2.1627999999999998</v>
      </c>
      <c r="C178" s="49">
        <v>-2.1602000000000001</v>
      </c>
      <c r="D178" s="49">
        <v>-2.1638000000000002</v>
      </c>
      <c r="E178" s="49">
        <v>-2.1598000000000002</v>
      </c>
      <c r="F178" s="49">
        <v>-2.1617000000000002</v>
      </c>
      <c r="G178" s="49">
        <v>-2.1606000000000001</v>
      </c>
      <c r="H178" s="49">
        <v>-2.1715</v>
      </c>
      <c r="I178" s="49">
        <v>-2.1688999999999998</v>
      </c>
      <c r="J178" s="49">
        <v>-2.1720000000000002</v>
      </c>
      <c r="K178" s="49">
        <v>-2.1676000000000002</v>
      </c>
      <c r="L178" s="49">
        <v>-2.1709999999999998</v>
      </c>
      <c r="M178" s="49">
        <v>-2.1701000000000001</v>
      </c>
      <c r="N178" s="49">
        <v>-2.1193</v>
      </c>
      <c r="O178" s="49">
        <v>-2.117</v>
      </c>
      <c r="P178" s="49">
        <v>-2.1291000000000002</v>
      </c>
      <c r="Q178" s="49">
        <v>-2.1267999999999998</v>
      </c>
      <c r="R178" s="49">
        <v>-2.1055000000000001</v>
      </c>
      <c r="S178" s="49">
        <v>-2.1032999999999999</v>
      </c>
      <c r="T178" s="49">
        <v>-2.7793000000000001</v>
      </c>
      <c r="U178" s="49">
        <v>-2.7757999999999998</v>
      </c>
      <c r="V178" s="49">
        <v>-3.0587</v>
      </c>
      <c r="W178" s="49">
        <v>-3.0531000000000001</v>
      </c>
      <c r="X178" s="49">
        <v>-2.5261999999999998</v>
      </c>
      <c r="Y178" s="49">
        <v>-2.5246</v>
      </c>
      <c r="Z178" s="49">
        <v>-1.2896000000000001</v>
      </c>
      <c r="AA178" s="49">
        <v>-1.2883</v>
      </c>
      <c r="AB178" s="49">
        <v>-1.0008999999999999</v>
      </c>
      <c r="AC178" s="49">
        <v>-0.99829999999999997</v>
      </c>
      <c r="AD178" s="49">
        <v>-1.6052</v>
      </c>
      <c r="AE178" s="49">
        <v>-1.6052</v>
      </c>
      <c r="AH178" s="16">
        <f t="shared" si="14"/>
        <v>19940731</v>
      </c>
      <c r="AI178" s="16">
        <f t="shared" si="15"/>
        <v>-2.1602000000000001</v>
      </c>
      <c r="AJ178" s="16">
        <f t="shared" si="16"/>
        <v>-2.0999999999999908E-2</v>
      </c>
      <c r="AK178" s="16">
        <f t="shared" si="17"/>
        <v>0.1075999999999997</v>
      </c>
      <c r="AL178" s="16">
        <v>2.1</v>
      </c>
      <c r="AM178" s="17">
        <f t="shared" si="18"/>
        <v>-2.3351999999999999</v>
      </c>
      <c r="AN178" s="17">
        <f t="shared" si="19"/>
        <v>-2.0999999999999908E-2</v>
      </c>
      <c r="AO178" s="17">
        <f t="shared" si="20"/>
        <v>0.1075999999999997</v>
      </c>
    </row>
    <row r="179" spans="1:41">
      <c r="A179" s="49">
        <v>19940831</v>
      </c>
      <c r="B179" s="49">
        <v>0.43869999999999998</v>
      </c>
      <c r="C179" s="49">
        <v>0.45</v>
      </c>
      <c r="D179" s="49">
        <v>0.97799999999999998</v>
      </c>
      <c r="E179" s="49">
        <v>0.98619999999999997</v>
      </c>
      <c r="F179" s="49">
        <v>-0.1208</v>
      </c>
      <c r="G179" s="49">
        <v>-0.1065</v>
      </c>
      <c r="H179" s="49">
        <v>0.7671</v>
      </c>
      <c r="I179" s="49">
        <v>0.77780000000000005</v>
      </c>
      <c r="J179" s="49">
        <v>1.4060999999999999</v>
      </c>
      <c r="K179" s="49">
        <v>1.4142999999999999</v>
      </c>
      <c r="L179" s="49">
        <v>0.14230000000000001</v>
      </c>
      <c r="M179" s="49">
        <v>0.15540000000000001</v>
      </c>
      <c r="N179" s="49">
        <v>-1.1930000000000001</v>
      </c>
      <c r="O179" s="49">
        <v>-1.179</v>
      </c>
      <c r="P179" s="49">
        <v>-0.8266</v>
      </c>
      <c r="Q179" s="49">
        <v>-0.81789999999999996</v>
      </c>
      <c r="R179" s="49">
        <v>-1.7049000000000001</v>
      </c>
      <c r="S179" s="49">
        <v>-1.6836</v>
      </c>
      <c r="T179" s="49">
        <v>1.2398</v>
      </c>
      <c r="U179" s="49">
        <v>1.2499</v>
      </c>
      <c r="V179" s="49">
        <v>2.2900999999999998</v>
      </c>
      <c r="W179" s="49">
        <v>2.2915999999999999</v>
      </c>
      <c r="X179" s="49">
        <v>0.29320000000000002</v>
      </c>
      <c r="Y179" s="49">
        <v>0.311</v>
      </c>
      <c r="Z179" s="49">
        <v>9.2100000000000001E-2</v>
      </c>
      <c r="AA179" s="49">
        <v>0.1037</v>
      </c>
      <c r="AB179" s="49">
        <v>0.26290000000000002</v>
      </c>
      <c r="AC179" s="49">
        <v>0.2797</v>
      </c>
      <c r="AD179" s="49">
        <v>-9.5500000000000002E-2</v>
      </c>
      <c r="AE179" s="49">
        <v>-8.9599999999999999E-2</v>
      </c>
      <c r="AH179" s="16">
        <f t="shared" si="14"/>
        <v>19940831</v>
      </c>
      <c r="AI179" s="16">
        <f t="shared" si="15"/>
        <v>0.45</v>
      </c>
      <c r="AJ179" s="16">
        <f t="shared" si="16"/>
        <v>2.1246</v>
      </c>
      <c r="AK179" s="16">
        <f t="shared" si="17"/>
        <v>-4.0712000000000002</v>
      </c>
      <c r="AL179" s="16">
        <v>2.12</v>
      </c>
      <c r="AM179" s="17">
        <f t="shared" si="18"/>
        <v>0.27333333333333332</v>
      </c>
      <c r="AN179" s="17">
        <f t="shared" si="19"/>
        <v>2.1246</v>
      </c>
      <c r="AO179" s="17">
        <f t="shared" si="20"/>
        <v>-4.0712000000000002</v>
      </c>
    </row>
    <row r="180" spans="1:41">
      <c r="A180" s="49">
        <v>19940930</v>
      </c>
      <c r="B180" s="49">
        <v>-3.7608999999999999</v>
      </c>
      <c r="C180" s="49">
        <v>-3.5042</v>
      </c>
      <c r="D180" s="49">
        <v>-3.5409000000000002</v>
      </c>
      <c r="E180" s="49">
        <v>-3.2818999999999998</v>
      </c>
      <c r="F180" s="49">
        <v>-3.9916</v>
      </c>
      <c r="G180" s="49">
        <v>-3.7374000000000001</v>
      </c>
      <c r="H180" s="49">
        <v>-3.4655</v>
      </c>
      <c r="I180" s="49">
        <v>-3.1976</v>
      </c>
      <c r="J180" s="49">
        <v>-3.1793</v>
      </c>
      <c r="K180" s="49">
        <v>-2.9108999999999998</v>
      </c>
      <c r="L180" s="49">
        <v>-3.7490000000000001</v>
      </c>
      <c r="M180" s="49">
        <v>-3.4815</v>
      </c>
      <c r="N180" s="49">
        <v>-5.2550999999999997</v>
      </c>
      <c r="O180" s="49">
        <v>-5.0556999999999999</v>
      </c>
      <c r="P180" s="49">
        <v>-5.0964999999999998</v>
      </c>
      <c r="Q180" s="49">
        <v>-4.8784000000000001</v>
      </c>
      <c r="R180" s="49">
        <v>-5.4779999999999998</v>
      </c>
      <c r="S180" s="49">
        <v>-5.3048999999999999</v>
      </c>
      <c r="T180" s="49">
        <v>-3.3673000000000002</v>
      </c>
      <c r="U180" s="49">
        <v>-3.0701999999999998</v>
      </c>
      <c r="V180" s="49">
        <v>-2.7709999999999999</v>
      </c>
      <c r="W180" s="49">
        <v>-2.4866999999999999</v>
      </c>
      <c r="X180" s="49">
        <v>-3.9154</v>
      </c>
      <c r="Y180" s="49">
        <v>-3.6065999999999998</v>
      </c>
      <c r="Z180" s="49">
        <v>-3.6071</v>
      </c>
      <c r="AA180" s="49">
        <v>-3.3816000000000002</v>
      </c>
      <c r="AB180" s="49">
        <v>-3.7179000000000002</v>
      </c>
      <c r="AC180" s="49">
        <v>-3.4704000000000002</v>
      </c>
      <c r="AD180" s="49">
        <v>-3.4847000000000001</v>
      </c>
      <c r="AE180" s="49">
        <v>-3.2833999999999999</v>
      </c>
      <c r="AH180" s="16">
        <f t="shared" si="14"/>
        <v>19940930</v>
      </c>
      <c r="AI180" s="16">
        <f t="shared" si="15"/>
        <v>-3.5042</v>
      </c>
      <c r="AJ180" s="16">
        <f t="shared" si="16"/>
        <v>0.9971000000000001</v>
      </c>
      <c r="AK180" s="16">
        <f t="shared" si="17"/>
        <v>-3.7908999999999988</v>
      </c>
      <c r="AL180" s="16">
        <v>2.5</v>
      </c>
      <c r="AM180" s="17">
        <f t="shared" si="18"/>
        <v>-3.7125333333333335</v>
      </c>
      <c r="AN180" s="17">
        <f t="shared" si="19"/>
        <v>0.9971000000000001</v>
      </c>
      <c r="AO180" s="17">
        <f t="shared" si="20"/>
        <v>-3.7908999999999988</v>
      </c>
    </row>
    <row r="181" spans="1:41">
      <c r="A181" s="49">
        <v>19941031</v>
      </c>
      <c r="B181" s="49">
        <v>0.37309999999999999</v>
      </c>
      <c r="C181" s="49">
        <v>0.37609999999999999</v>
      </c>
      <c r="D181" s="49">
        <v>1.1800999999999999</v>
      </c>
      <c r="E181" s="49">
        <v>1.1843999999999999</v>
      </c>
      <c r="F181" s="49">
        <v>-0.47660000000000002</v>
      </c>
      <c r="G181" s="49">
        <v>-0.4748</v>
      </c>
      <c r="H181" s="49">
        <v>0.5675</v>
      </c>
      <c r="I181" s="49">
        <v>0.5706</v>
      </c>
      <c r="J181" s="49">
        <v>1.4138999999999999</v>
      </c>
      <c r="K181" s="49">
        <v>1.4182999999999999</v>
      </c>
      <c r="L181" s="49">
        <v>-0.27550000000000002</v>
      </c>
      <c r="M181" s="49">
        <v>-0.2737</v>
      </c>
      <c r="N181" s="49">
        <v>-0.63190000000000002</v>
      </c>
      <c r="O181" s="49">
        <v>-0.62890000000000001</v>
      </c>
      <c r="P181" s="49">
        <v>0.14860000000000001</v>
      </c>
      <c r="Q181" s="49">
        <v>0.15240000000000001</v>
      </c>
      <c r="R181" s="49">
        <v>-1.7306999999999999</v>
      </c>
      <c r="S181" s="49">
        <v>-1.7287999999999999</v>
      </c>
      <c r="T181" s="49">
        <v>0.93859999999999999</v>
      </c>
      <c r="U181" s="49">
        <v>0.94220000000000004</v>
      </c>
      <c r="V181" s="49">
        <v>2.0207999999999999</v>
      </c>
      <c r="W181" s="49">
        <v>2.0284</v>
      </c>
      <c r="X181" s="49">
        <v>-6.7900000000000002E-2</v>
      </c>
      <c r="Y181" s="49">
        <v>-6.7900000000000002E-2</v>
      </c>
      <c r="Z181" s="49">
        <v>3.1600000000000003E-2</v>
      </c>
      <c r="AA181" s="49">
        <v>3.39E-2</v>
      </c>
      <c r="AB181" s="49">
        <v>0.60740000000000005</v>
      </c>
      <c r="AC181" s="49">
        <v>0.60770000000000002</v>
      </c>
      <c r="AD181" s="49">
        <v>-0.60150000000000003</v>
      </c>
      <c r="AE181" s="49">
        <v>-0.59699999999999998</v>
      </c>
      <c r="AH181" s="16">
        <f t="shared" si="14"/>
        <v>19941031</v>
      </c>
      <c r="AI181" s="16">
        <f t="shared" si="15"/>
        <v>0.37609999999999999</v>
      </c>
      <c r="AJ181" s="16">
        <f t="shared" si="16"/>
        <v>3.5731999999999999</v>
      </c>
      <c r="AK181" s="16">
        <f t="shared" si="17"/>
        <v>-2.7209999999999996</v>
      </c>
      <c r="AL181" s="16">
        <v>2.23</v>
      </c>
      <c r="AM181" s="17">
        <f t="shared" si="18"/>
        <v>0.19026666666666667</v>
      </c>
      <c r="AN181" s="17">
        <f t="shared" si="19"/>
        <v>3.5731999999999999</v>
      </c>
      <c r="AO181" s="17">
        <f t="shared" si="20"/>
        <v>-2.7209999999999996</v>
      </c>
    </row>
    <row r="182" spans="1:41">
      <c r="A182" s="49">
        <v>19941130</v>
      </c>
      <c r="B182" s="49">
        <v>-4.1618000000000004</v>
      </c>
      <c r="C182" s="49">
        <v>-4.1555</v>
      </c>
      <c r="D182" s="49">
        <v>-4.4843999999999999</v>
      </c>
      <c r="E182" s="49">
        <v>-4.4775</v>
      </c>
      <c r="F182" s="49">
        <v>-3.8161999999999998</v>
      </c>
      <c r="G182" s="49">
        <v>-3.8106</v>
      </c>
      <c r="H182" s="49">
        <v>-3.7681</v>
      </c>
      <c r="I182" s="49">
        <v>-3.7623000000000002</v>
      </c>
      <c r="J182" s="49">
        <v>-4.0850999999999997</v>
      </c>
      <c r="K182" s="49">
        <v>-4.0781000000000001</v>
      </c>
      <c r="L182" s="49">
        <v>-3.4470999999999998</v>
      </c>
      <c r="M182" s="49">
        <v>-3.4424000000000001</v>
      </c>
      <c r="N182" s="49">
        <v>-6.2145999999999999</v>
      </c>
      <c r="O182" s="49">
        <v>-6.2060000000000004</v>
      </c>
      <c r="P182" s="49">
        <v>-6.2577999999999996</v>
      </c>
      <c r="Q182" s="49">
        <v>-6.2514000000000003</v>
      </c>
      <c r="R182" s="49">
        <v>-6.1513</v>
      </c>
      <c r="S182" s="49">
        <v>-6.1395999999999997</v>
      </c>
      <c r="T182" s="49">
        <v>-3.7098</v>
      </c>
      <c r="U182" s="49">
        <v>-3.7065000000000001</v>
      </c>
      <c r="V182" s="49">
        <v>-4.1150000000000002</v>
      </c>
      <c r="W182" s="49">
        <v>-4.1079999999999997</v>
      </c>
      <c r="X182" s="49">
        <v>-3.3252000000000002</v>
      </c>
      <c r="Y182" s="49">
        <v>-3.3252000000000002</v>
      </c>
      <c r="Z182" s="49">
        <v>-3.8530000000000002</v>
      </c>
      <c r="AA182" s="49">
        <v>-3.8435999999999999</v>
      </c>
      <c r="AB182" s="49">
        <v>-4.0448000000000004</v>
      </c>
      <c r="AC182" s="49">
        <v>-4.0377999999999998</v>
      </c>
      <c r="AD182" s="49">
        <v>-3.6395</v>
      </c>
      <c r="AE182" s="49">
        <v>-3.6274000000000002</v>
      </c>
      <c r="AH182" s="16">
        <f t="shared" si="14"/>
        <v>19941130</v>
      </c>
      <c r="AI182" s="16">
        <f t="shared" si="15"/>
        <v>-4.1555</v>
      </c>
      <c r="AJ182" s="16">
        <f t="shared" si="16"/>
        <v>-0.7475000000000005</v>
      </c>
      <c r="AK182" s="16">
        <f t="shared" si="17"/>
        <v>-4.8704999999999998</v>
      </c>
      <c r="AL182" s="16">
        <v>2.31</v>
      </c>
      <c r="AM182" s="17">
        <f t="shared" si="18"/>
        <v>-4.3479999999999999</v>
      </c>
      <c r="AN182" s="17">
        <f t="shared" si="19"/>
        <v>-0.7475000000000005</v>
      </c>
      <c r="AO182" s="17">
        <f t="shared" si="20"/>
        <v>-4.8704999999999998</v>
      </c>
    </row>
    <row r="183" spans="1:41">
      <c r="A183" s="49">
        <v>19941231</v>
      </c>
      <c r="B183" s="49">
        <v>2.2526999999999999</v>
      </c>
      <c r="C183" s="49">
        <v>2.2791999999999999</v>
      </c>
      <c r="D183" s="49">
        <v>2.121</v>
      </c>
      <c r="E183" s="49">
        <v>2.1415999999999999</v>
      </c>
      <c r="F183" s="49">
        <v>2.3927999999999998</v>
      </c>
      <c r="G183" s="49">
        <v>2.4257</v>
      </c>
      <c r="H183" s="49">
        <v>1.9545999999999999</v>
      </c>
      <c r="I183" s="49">
        <v>1.9803999999999999</v>
      </c>
      <c r="J183" s="49">
        <v>1.6940999999999999</v>
      </c>
      <c r="K183" s="49">
        <v>1.7121</v>
      </c>
      <c r="L183" s="49">
        <v>2.2166000000000001</v>
      </c>
      <c r="M183" s="49">
        <v>2.2502</v>
      </c>
      <c r="N183" s="49">
        <v>3.8475999999999999</v>
      </c>
      <c r="O183" s="49">
        <v>3.8776999999999999</v>
      </c>
      <c r="P183" s="49">
        <v>4.0606999999999998</v>
      </c>
      <c r="Q183" s="49">
        <v>4.0928000000000004</v>
      </c>
      <c r="R183" s="49">
        <v>3.5402999999999998</v>
      </c>
      <c r="S183" s="49">
        <v>3.5678000000000001</v>
      </c>
      <c r="T183" s="49">
        <v>1.9591000000000001</v>
      </c>
      <c r="U183" s="49">
        <v>1.98</v>
      </c>
      <c r="V183" s="49">
        <v>1.2878000000000001</v>
      </c>
      <c r="W183" s="49">
        <v>1.3055000000000001</v>
      </c>
      <c r="X183" s="49">
        <v>2.5907</v>
      </c>
      <c r="Y183" s="49">
        <v>2.6147</v>
      </c>
      <c r="Z183" s="49">
        <v>1.948</v>
      </c>
      <c r="AA183" s="49">
        <v>1.9810000000000001</v>
      </c>
      <c r="AB183" s="49">
        <v>2.2406999999999999</v>
      </c>
      <c r="AC183" s="49">
        <v>2.2591999999999999</v>
      </c>
      <c r="AD183" s="49">
        <v>1.6234999999999999</v>
      </c>
      <c r="AE183" s="49">
        <v>1.6725000000000001</v>
      </c>
      <c r="AH183" s="16">
        <f t="shared" si="14"/>
        <v>19941231</v>
      </c>
      <c r="AI183" s="16">
        <f t="shared" si="15"/>
        <v>2.2791999999999999</v>
      </c>
      <c r="AJ183" s="16">
        <f t="shared" si="16"/>
        <v>-1.3099999999999667E-2</v>
      </c>
      <c r="AK183" s="16">
        <f t="shared" si="17"/>
        <v>3.6983000000000006</v>
      </c>
      <c r="AL183" s="16">
        <v>2.3199999999999998</v>
      </c>
      <c r="AM183" s="17">
        <f t="shared" si="18"/>
        <v>2.0858666666666665</v>
      </c>
      <c r="AN183" s="17">
        <f t="shared" si="19"/>
        <v>-1.3099999999999667E-2</v>
      </c>
      <c r="AO183" s="17">
        <f t="shared" si="20"/>
        <v>3.6983000000000006</v>
      </c>
    </row>
    <row r="184" spans="1:41">
      <c r="A184" s="49">
        <v>19950131</v>
      </c>
      <c r="B184" s="49">
        <v>-6.9417999999999997</v>
      </c>
      <c r="C184" s="49">
        <v>-6.9355000000000002</v>
      </c>
      <c r="D184" s="49">
        <v>-6.1223999999999998</v>
      </c>
      <c r="E184" s="49">
        <v>-6.1120999999999999</v>
      </c>
      <c r="F184" s="49">
        <v>-7.7237</v>
      </c>
      <c r="G184" s="49">
        <v>-7.7211999999999996</v>
      </c>
      <c r="H184" s="49">
        <v>-7.4539</v>
      </c>
      <c r="I184" s="49">
        <v>-7.4473000000000003</v>
      </c>
      <c r="J184" s="49">
        <v>-6.6894999999999998</v>
      </c>
      <c r="K184" s="49">
        <v>-6.6776</v>
      </c>
      <c r="L184" s="49">
        <v>-8.1715999999999998</v>
      </c>
      <c r="M184" s="49">
        <v>-8.17</v>
      </c>
      <c r="N184" s="49">
        <v>-4.3727</v>
      </c>
      <c r="O184" s="49">
        <v>-4.3673999999999999</v>
      </c>
      <c r="P184" s="49">
        <v>-3.4134000000000002</v>
      </c>
      <c r="Q184" s="49">
        <v>-3.4100999999999999</v>
      </c>
      <c r="R184" s="49">
        <v>-5.3651999999999997</v>
      </c>
      <c r="S184" s="49">
        <v>-5.3581000000000003</v>
      </c>
      <c r="T184" s="49">
        <v>-8.1661000000000001</v>
      </c>
      <c r="U184" s="49">
        <v>-8.1561000000000003</v>
      </c>
      <c r="V184" s="49">
        <v>-8.1707000000000001</v>
      </c>
      <c r="W184" s="49">
        <v>-8.1527999999999992</v>
      </c>
      <c r="X184" s="49">
        <v>-8.1617999999999995</v>
      </c>
      <c r="Y184" s="49">
        <v>-8.1591000000000005</v>
      </c>
      <c r="Z184" s="49">
        <v>-6.4029999999999996</v>
      </c>
      <c r="AA184" s="49">
        <v>-6.4015000000000004</v>
      </c>
      <c r="AB184" s="49">
        <v>-4.5448000000000004</v>
      </c>
      <c r="AC184" s="49">
        <v>-4.5418000000000003</v>
      </c>
      <c r="AD184" s="49">
        <v>-8.1862999999999992</v>
      </c>
      <c r="AE184" s="49">
        <v>-8.1862999999999992</v>
      </c>
      <c r="AH184" s="16">
        <f t="shared" si="14"/>
        <v>19950131</v>
      </c>
      <c r="AI184" s="16">
        <f t="shared" si="15"/>
        <v>-6.9355000000000002</v>
      </c>
      <c r="AJ184" s="16">
        <f t="shared" si="16"/>
        <v>3.4404000000000003</v>
      </c>
      <c r="AK184" s="16">
        <f t="shared" si="17"/>
        <v>6.0793999999999997</v>
      </c>
      <c r="AL184" s="16">
        <v>2.2999999999999998</v>
      </c>
      <c r="AM184" s="17">
        <f t="shared" si="18"/>
        <v>-7.1271666666666667</v>
      </c>
      <c r="AN184" s="17">
        <f t="shared" si="19"/>
        <v>3.4404000000000003</v>
      </c>
      <c r="AO184" s="17">
        <f t="shared" si="20"/>
        <v>6.0793999999999997</v>
      </c>
    </row>
    <row r="185" spans="1:41">
      <c r="A185" s="49">
        <v>19950228</v>
      </c>
      <c r="B185" s="49">
        <v>-7.6976000000000004</v>
      </c>
      <c r="C185" s="49">
        <v>-7.6787999999999998</v>
      </c>
      <c r="D185" s="49">
        <v>-7.9370000000000003</v>
      </c>
      <c r="E185" s="49">
        <v>-7.9195000000000002</v>
      </c>
      <c r="F185" s="49">
        <v>-7.4653</v>
      </c>
      <c r="G185" s="49">
        <v>-7.4451999999999998</v>
      </c>
      <c r="H185" s="49">
        <v>-7.3464</v>
      </c>
      <c r="I185" s="49">
        <v>-7.3288000000000002</v>
      </c>
      <c r="J185" s="49">
        <v>-7.7298</v>
      </c>
      <c r="K185" s="49">
        <v>-7.7115999999999998</v>
      </c>
      <c r="L185" s="49">
        <v>-6.9809000000000001</v>
      </c>
      <c r="M185" s="49">
        <v>-6.9637000000000002</v>
      </c>
      <c r="N185" s="49">
        <v>-9.4014000000000006</v>
      </c>
      <c r="O185" s="49">
        <v>-9.3773999999999997</v>
      </c>
      <c r="P185" s="49">
        <v>-8.8928999999999991</v>
      </c>
      <c r="Q185" s="49">
        <v>-8.8785000000000007</v>
      </c>
      <c r="R185" s="49">
        <v>-9.9390000000000001</v>
      </c>
      <c r="S185" s="49">
        <v>-9.9047999999999998</v>
      </c>
      <c r="T185" s="49">
        <v>-6.7146999999999997</v>
      </c>
      <c r="U185" s="49">
        <v>-6.6988000000000003</v>
      </c>
      <c r="V185" s="49">
        <v>-6.9961000000000002</v>
      </c>
      <c r="W185" s="49">
        <v>-6.9862000000000002</v>
      </c>
      <c r="X185" s="49">
        <v>-6.4546000000000001</v>
      </c>
      <c r="Y185" s="49">
        <v>-6.4330999999999996</v>
      </c>
      <c r="Z185" s="49">
        <v>-8.2605000000000004</v>
      </c>
      <c r="AA185" s="49">
        <v>-8.2402999999999995</v>
      </c>
      <c r="AB185" s="49">
        <v>-8.7515999999999998</v>
      </c>
      <c r="AC185" s="49">
        <v>-8.7222000000000008</v>
      </c>
      <c r="AD185" s="49">
        <v>-7.7710999999999997</v>
      </c>
      <c r="AE185" s="49">
        <v>-7.7601000000000004</v>
      </c>
      <c r="AH185" s="16">
        <f t="shared" si="14"/>
        <v>19950228</v>
      </c>
      <c r="AI185" s="16">
        <f t="shared" si="15"/>
        <v>-7.6787999999999998</v>
      </c>
      <c r="AJ185" s="16">
        <f t="shared" si="16"/>
        <v>0.27839999999999954</v>
      </c>
      <c r="AK185" s="16">
        <f t="shared" si="17"/>
        <v>-4.1080000000000005</v>
      </c>
      <c r="AL185" s="16">
        <v>2.25</v>
      </c>
      <c r="AM185" s="17">
        <f t="shared" si="18"/>
        <v>-7.8662999999999998</v>
      </c>
      <c r="AN185" s="17">
        <f t="shared" si="19"/>
        <v>0.27839999999999954</v>
      </c>
      <c r="AO185" s="17">
        <f t="shared" si="20"/>
        <v>-4.1080000000000005</v>
      </c>
    </row>
    <row r="186" spans="1:41">
      <c r="A186" s="49">
        <v>19950331</v>
      </c>
      <c r="B186" s="49">
        <v>-2.3955000000000002</v>
      </c>
      <c r="C186" s="49">
        <v>-1.8942000000000001</v>
      </c>
      <c r="D186" s="49">
        <v>-2.6876000000000002</v>
      </c>
      <c r="E186" s="49">
        <v>-2.1688000000000001</v>
      </c>
      <c r="F186" s="49">
        <v>-2.1135999999999999</v>
      </c>
      <c r="G186" s="49">
        <v>-1.6292</v>
      </c>
      <c r="H186" s="49">
        <v>-1.7876000000000001</v>
      </c>
      <c r="I186" s="49">
        <v>-1.2776000000000001</v>
      </c>
      <c r="J186" s="49">
        <v>-2.1716000000000002</v>
      </c>
      <c r="K186" s="49">
        <v>-1.6496</v>
      </c>
      <c r="L186" s="49">
        <v>-1.4245000000000001</v>
      </c>
      <c r="M186" s="49">
        <v>-0.92579999999999996</v>
      </c>
      <c r="N186" s="49">
        <v>-5.4097</v>
      </c>
      <c r="O186" s="49">
        <v>-4.9516</v>
      </c>
      <c r="P186" s="49">
        <v>-5.1021999999999998</v>
      </c>
      <c r="Q186" s="49">
        <v>-4.5984999999999996</v>
      </c>
      <c r="R186" s="49">
        <v>-5.7390999999999996</v>
      </c>
      <c r="S186" s="49">
        <v>-5.33</v>
      </c>
      <c r="T186" s="49">
        <v>-1.1337999999999999</v>
      </c>
      <c r="U186" s="49">
        <v>-0.61199999999999999</v>
      </c>
      <c r="V186" s="49">
        <v>-1.6089</v>
      </c>
      <c r="W186" s="49">
        <v>-1.079</v>
      </c>
      <c r="X186" s="49">
        <v>-0.69699999999999995</v>
      </c>
      <c r="Y186" s="49">
        <v>-0.1827</v>
      </c>
      <c r="Z186" s="49">
        <v>-2.7496</v>
      </c>
      <c r="AA186" s="49">
        <v>-2.2566000000000002</v>
      </c>
      <c r="AB186" s="49">
        <v>-2.9702000000000002</v>
      </c>
      <c r="AC186" s="49">
        <v>-2.4594</v>
      </c>
      <c r="AD186" s="49">
        <v>-2.532</v>
      </c>
      <c r="AE186" s="49">
        <v>-2.0569000000000002</v>
      </c>
      <c r="AH186" s="16">
        <f t="shared" si="14"/>
        <v>19950331</v>
      </c>
      <c r="AI186" s="16">
        <f t="shared" si="15"/>
        <v>-1.8942000000000001</v>
      </c>
      <c r="AJ186" s="16">
        <f t="shared" si="16"/>
        <v>7.7000000000004842E-3</v>
      </c>
      <c r="AK186" s="16">
        <f t="shared" si="17"/>
        <v>-7.3530999999999995</v>
      </c>
      <c r="AL186" s="16">
        <v>2.2999999999999998</v>
      </c>
      <c r="AM186" s="17">
        <f t="shared" si="18"/>
        <v>-2.085866666666667</v>
      </c>
      <c r="AN186" s="17">
        <f t="shared" si="19"/>
        <v>7.7000000000004842E-3</v>
      </c>
      <c r="AO186" s="17">
        <f t="shared" si="20"/>
        <v>-7.3530999999999995</v>
      </c>
    </row>
    <row r="187" spans="1:41">
      <c r="A187" s="49">
        <v>19950430</v>
      </c>
      <c r="B187" s="49">
        <v>0.87980000000000003</v>
      </c>
      <c r="C187" s="49">
        <v>0.88100000000000001</v>
      </c>
      <c r="D187" s="49">
        <v>0.8075</v>
      </c>
      <c r="E187" s="49">
        <v>0.80810000000000004</v>
      </c>
      <c r="F187" s="49">
        <v>0.94910000000000005</v>
      </c>
      <c r="G187" s="49">
        <v>0.95099999999999996</v>
      </c>
      <c r="H187" s="49">
        <v>1.0774999999999999</v>
      </c>
      <c r="I187" s="49">
        <v>1.0783</v>
      </c>
      <c r="J187" s="49">
        <v>0.95840000000000003</v>
      </c>
      <c r="K187" s="49">
        <v>0.95860000000000001</v>
      </c>
      <c r="L187" s="49">
        <v>1.1893</v>
      </c>
      <c r="M187" s="49">
        <v>1.1907000000000001</v>
      </c>
      <c r="N187" s="49">
        <v>-0.13789999999999999</v>
      </c>
      <c r="O187" s="49">
        <v>-0.13439999999999999</v>
      </c>
      <c r="P187" s="49">
        <v>8.0600000000000005E-2</v>
      </c>
      <c r="Q187" s="49">
        <v>8.3199999999999996E-2</v>
      </c>
      <c r="R187" s="49">
        <v>-0.37209999999999999</v>
      </c>
      <c r="S187" s="49">
        <v>-0.36759999999999998</v>
      </c>
      <c r="T187" s="49">
        <v>1.4232</v>
      </c>
      <c r="U187" s="49">
        <v>1.4232</v>
      </c>
      <c r="V187" s="49">
        <v>0.88919999999999999</v>
      </c>
      <c r="W187" s="49">
        <v>0.88919999999999999</v>
      </c>
      <c r="X187" s="49">
        <v>1.9098999999999999</v>
      </c>
      <c r="Y187" s="49">
        <v>1.9098999999999999</v>
      </c>
      <c r="Z187" s="49">
        <v>0.56040000000000001</v>
      </c>
      <c r="AA187" s="49">
        <v>0.56230000000000002</v>
      </c>
      <c r="AB187" s="49">
        <v>1.0582</v>
      </c>
      <c r="AC187" s="49">
        <v>1.0585</v>
      </c>
      <c r="AD187" s="49">
        <v>7.1999999999999995E-2</v>
      </c>
      <c r="AE187" s="49">
        <v>7.5499999999999998E-2</v>
      </c>
      <c r="AH187" s="16">
        <f t="shared" si="14"/>
        <v>19950430</v>
      </c>
      <c r="AI187" s="16">
        <f t="shared" si="15"/>
        <v>0.88100000000000001</v>
      </c>
      <c r="AJ187" s="16">
        <f t="shared" si="16"/>
        <v>0.21869999999999989</v>
      </c>
      <c r="AK187" s="16">
        <f t="shared" si="17"/>
        <v>-2.4337</v>
      </c>
      <c r="AL187" s="16">
        <v>1.75</v>
      </c>
      <c r="AM187" s="17">
        <f t="shared" si="18"/>
        <v>0.73516666666666663</v>
      </c>
      <c r="AN187" s="17">
        <f t="shared" si="19"/>
        <v>0.21869999999999989</v>
      </c>
      <c r="AO187" s="17">
        <f t="shared" si="20"/>
        <v>-2.4337</v>
      </c>
    </row>
    <row r="188" spans="1:41">
      <c r="A188" s="49">
        <v>19950531</v>
      </c>
      <c r="B188" s="49">
        <v>-6.1178999999999997</v>
      </c>
      <c r="C188" s="49">
        <v>-6.1116999999999999</v>
      </c>
      <c r="D188" s="49">
        <v>-6.1192000000000002</v>
      </c>
      <c r="E188" s="49">
        <v>-6.1106999999999996</v>
      </c>
      <c r="F188" s="49">
        <v>-6.1166</v>
      </c>
      <c r="G188" s="49">
        <v>-6.1125999999999996</v>
      </c>
      <c r="H188" s="49">
        <v>-5.6398000000000001</v>
      </c>
      <c r="I188" s="49">
        <v>-5.6337999999999999</v>
      </c>
      <c r="J188" s="49">
        <v>-5.6458000000000004</v>
      </c>
      <c r="K188" s="49">
        <v>-5.6368999999999998</v>
      </c>
      <c r="L188" s="49">
        <v>-5.6341999999999999</v>
      </c>
      <c r="M188" s="49">
        <v>-5.6308999999999996</v>
      </c>
      <c r="N188" s="49">
        <v>-8.6087000000000007</v>
      </c>
      <c r="O188" s="49">
        <v>-8.6012000000000004</v>
      </c>
      <c r="P188" s="49">
        <v>-8.4202999999999992</v>
      </c>
      <c r="Q188" s="49">
        <v>-8.4131999999999998</v>
      </c>
      <c r="R188" s="49">
        <v>-8.8115000000000006</v>
      </c>
      <c r="S188" s="49">
        <v>-8.8035999999999994</v>
      </c>
      <c r="T188" s="49">
        <v>-5.2614000000000001</v>
      </c>
      <c r="U188" s="49">
        <v>-5.2576000000000001</v>
      </c>
      <c r="V188" s="49">
        <v>-5.4292999999999996</v>
      </c>
      <c r="W188" s="49">
        <v>-5.4218999999999999</v>
      </c>
      <c r="X188" s="49">
        <v>-5.1097999999999999</v>
      </c>
      <c r="Y188" s="49">
        <v>-5.1092000000000004</v>
      </c>
      <c r="Z188" s="49">
        <v>-6.2107999999999999</v>
      </c>
      <c r="AA188" s="49">
        <v>-6.2015000000000002</v>
      </c>
      <c r="AB188" s="49">
        <v>-5.9570999999999996</v>
      </c>
      <c r="AC188" s="49">
        <v>-5.9461000000000004</v>
      </c>
      <c r="AD188" s="49">
        <v>-6.4622000000000002</v>
      </c>
      <c r="AE188" s="49">
        <v>-6.4546000000000001</v>
      </c>
      <c r="AH188" s="16">
        <f t="shared" si="14"/>
        <v>19950531</v>
      </c>
      <c r="AI188" s="16">
        <f t="shared" si="15"/>
        <v>-6.1116999999999999</v>
      </c>
      <c r="AJ188" s="16">
        <f t="shared" si="16"/>
        <v>0.38439999999999941</v>
      </c>
      <c r="AK188" s="16">
        <f t="shared" si="17"/>
        <v>-5.9489999999999998</v>
      </c>
      <c r="AL188" s="16">
        <v>1.39</v>
      </c>
      <c r="AM188" s="17">
        <f t="shared" si="18"/>
        <v>-6.2275333333333336</v>
      </c>
      <c r="AN188" s="17">
        <f t="shared" si="19"/>
        <v>0.38439999999999941</v>
      </c>
      <c r="AO188" s="17">
        <f t="shared" si="20"/>
        <v>-5.9489999999999998</v>
      </c>
    </row>
    <row r="189" spans="1:41">
      <c r="A189" s="49">
        <v>19950630</v>
      </c>
      <c r="B189" s="49">
        <v>-3.3580000000000001</v>
      </c>
      <c r="C189" s="49">
        <v>-3.3414000000000001</v>
      </c>
      <c r="D189" s="49">
        <v>-3.7574000000000001</v>
      </c>
      <c r="E189" s="49">
        <v>-3.7448000000000001</v>
      </c>
      <c r="F189" s="49">
        <v>-2.9754</v>
      </c>
      <c r="G189" s="49">
        <v>-2.9550000000000001</v>
      </c>
      <c r="H189" s="49">
        <v>-3.1236999999999999</v>
      </c>
      <c r="I189" s="49">
        <v>-3.1073</v>
      </c>
      <c r="J189" s="49">
        <v>-3.5135999999999998</v>
      </c>
      <c r="K189" s="49">
        <v>-3.5019</v>
      </c>
      <c r="L189" s="49">
        <v>-2.7585999999999999</v>
      </c>
      <c r="M189" s="49">
        <v>-2.7376999999999998</v>
      </c>
      <c r="N189" s="49">
        <v>-4.6181999999999999</v>
      </c>
      <c r="O189" s="49">
        <v>-4.6007999999999996</v>
      </c>
      <c r="P189" s="49">
        <v>-4.9779</v>
      </c>
      <c r="Q189" s="49">
        <v>-4.9608999999999996</v>
      </c>
      <c r="R189" s="49">
        <v>-4.2294</v>
      </c>
      <c r="S189" s="49">
        <v>-4.2115</v>
      </c>
      <c r="T189" s="49">
        <v>-2.5127999999999999</v>
      </c>
      <c r="U189" s="49">
        <v>-2.4990000000000001</v>
      </c>
      <c r="V189" s="49">
        <v>-2.5070999999999999</v>
      </c>
      <c r="W189" s="49">
        <v>-2.4946999999999999</v>
      </c>
      <c r="X189" s="49">
        <v>-2.5177999999999998</v>
      </c>
      <c r="Y189" s="49">
        <v>-2.5028999999999999</v>
      </c>
      <c r="Z189" s="49">
        <v>-4.0548999999999999</v>
      </c>
      <c r="AA189" s="49">
        <v>-4.0343</v>
      </c>
      <c r="AB189" s="49">
        <v>-4.9690000000000003</v>
      </c>
      <c r="AC189" s="49">
        <v>-4.9583000000000004</v>
      </c>
      <c r="AD189" s="49">
        <v>-3.1442000000000001</v>
      </c>
      <c r="AE189" s="49">
        <v>-3.1137999999999999</v>
      </c>
      <c r="AH189" s="16">
        <f t="shared" si="14"/>
        <v>19950630</v>
      </c>
      <c r="AI189" s="16">
        <f t="shared" si="15"/>
        <v>-3.3414000000000001</v>
      </c>
      <c r="AJ189" s="16">
        <f t="shared" si="16"/>
        <v>-1.5135999999999998</v>
      </c>
      <c r="AK189" s="16">
        <f t="shared" si="17"/>
        <v>-2.9328000000000003</v>
      </c>
      <c r="AL189" s="16">
        <v>1.29</v>
      </c>
      <c r="AM189" s="17">
        <f t="shared" si="18"/>
        <v>-3.4489000000000001</v>
      </c>
      <c r="AN189" s="17">
        <f t="shared" si="19"/>
        <v>-1.5135999999999998</v>
      </c>
      <c r="AO189" s="17">
        <f t="shared" si="20"/>
        <v>-2.9328000000000003</v>
      </c>
    </row>
    <row r="190" spans="1:41">
      <c r="A190" s="49">
        <v>19950731</v>
      </c>
      <c r="B190" s="49">
        <v>10.6256</v>
      </c>
      <c r="C190" s="49">
        <v>10.629099999999999</v>
      </c>
      <c r="D190" s="49">
        <v>11.0783</v>
      </c>
      <c r="E190" s="49">
        <v>11.084899999999999</v>
      </c>
      <c r="F190" s="49">
        <v>10.195499999999999</v>
      </c>
      <c r="G190" s="49">
        <v>10.196099999999999</v>
      </c>
      <c r="H190" s="49">
        <v>10.565300000000001</v>
      </c>
      <c r="I190" s="49">
        <v>10.5688</v>
      </c>
      <c r="J190" s="49">
        <v>11.2727</v>
      </c>
      <c r="K190" s="49">
        <v>11.28</v>
      </c>
      <c r="L190" s="49">
        <v>9.9077000000000002</v>
      </c>
      <c r="M190" s="49">
        <v>9.9077000000000002</v>
      </c>
      <c r="N190" s="49">
        <v>10.954700000000001</v>
      </c>
      <c r="O190" s="49">
        <v>10.958299999999999</v>
      </c>
      <c r="P190" s="49">
        <v>10.0898</v>
      </c>
      <c r="Q190" s="49">
        <v>10.092599999999999</v>
      </c>
      <c r="R190" s="49">
        <v>11.882199999999999</v>
      </c>
      <c r="S190" s="49">
        <v>11.8866</v>
      </c>
      <c r="T190" s="49">
        <v>10.6347</v>
      </c>
      <c r="U190" s="49">
        <v>10.6395</v>
      </c>
      <c r="V190" s="49">
        <v>12.199400000000001</v>
      </c>
      <c r="W190" s="49">
        <v>12.2097</v>
      </c>
      <c r="X190" s="49">
        <v>9.2266999999999992</v>
      </c>
      <c r="Y190" s="49">
        <v>9.2266999999999992</v>
      </c>
      <c r="Z190" s="49">
        <v>10.4579</v>
      </c>
      <c r="AA190" s="49">
        <v>10.459300000000001</v>
      </c>
      <c r="AB190" s="49">
        <v>9.8973999999999993</v>
      </c>
      <c r="AC190" s="49">
        <v>9.9002999999999997</v>
      </c>
      <c r="AD190" s="49">
        <v>11.006</v>
      </c>
      <c r="AE190" s="49">
        <v>11.006</v>
      </c>
      <c r="AH190" s="16">
        <f t="shared" si="14"/>
        <v>19950731</v>
      </c>
      <c r="AI190" s="16">
        <f t="shared" si="15"/>
        <v>10.629099999999999</v>
      </c>
      <c r="AJ190" s="16">
        <f t="shared" si="16"/>
        <v>-0.4217000000000013</v>
      </c>
      <c r="AK190" s="16">
        <f t="shared" si="17"/>
        <v>0.7914999999999992</v>
      </c>
      <c r="AL190" s="16">
        <v>1.28</v>
      </c>
      <c r="AM190" s="17">
        <f t="shared" si="18"/>
        <v>10.522433333333332</v>
      </c>
      <c r="AN190" s="17">
        <f t="shared" si="19"/>
        <v>-0.4217000000000013</v>
      </c>
      <c r="AO190" s="17">
        <f t="shared" si="20"/>
        <v>0.7914999999999992</v>
      </c>
    </row>
    <row r="191" spans="1:41">
      <c r="A191" s="49">
        <v>19950831</v>
      </c>
      <c r="B191" s="49">
        <v>8.0050000000000008</v>
      </c>
      <c r="C191" s="49">
        <v>8.0189000000000004</v>
      </c>
      <c r="D191" s="49">
        <v>8.1083999999999996</v>
      </c>
      <c r="E191" s="49">
        <v>8.1221999999999994</v>
      </c>
      <c r="F191" s="49">
        <v>7.9061000000000003</v>
      </c>
      <c r="G191" s="49">
        <v>7.92</v>
      </c>
      <c r="H191" s="49">
        <v>7.7958999999999996</v>
      </c>
      <c r="I191" s="49">
        <v>7.8087</v>
      </c>
      <c r="J191" s="49">
        <v>8.1029</v>
      </c>
      <c r="K191" s="49">
        <v>8.1168999999999993</v>
      </c>
      <c r="L191" s="49">
        <v>7.5072000000000001</v>
      </c>
      <c r="M191" s="49">
        <v>7.5187999999999997</v>
      </c>
      <c r="N191" s="49">
        <v>9.1433999999999997</v>
      </c>
      <c r="O191" s="49">
        <v>9.1635000000000009</v>
      </c>
      <c r="P191" s="49">
        <v>8.1367999999999991</v>
      </c>
      <c r="Q191" s="49">
        <v>8.1496999999999993</v>
      </c>
      <c r="R191" s="49">
        <v>10.2049</v>
      </c>
      <c r="S191" s="49">
        <v>10.2325</v>
      </c>
      <c r="T191" s="49">
        <v>7.42</v>
      </c>
      <c r="U191" s="49">
        <v>7.4321999999999999</v>
      </c>
      <c r="V191" s="49">
        <v>8.8359000000000005</v>
      </c>
      <c r="W191" s="49">
        <v>8.8454999999999995</v>
      </c>
      <c r="X191" s="49">
        <v>6.1113</v>
      </c>
      <c r="Y191" s="49">
        <v>6.1258999999999997</v>
      </c>
      <c r="Z191" s="49">
        <v>8.3787000000000003</v>
      </c>
      <c r="AA191" s="49">
        <v>8.3923000000000005</v>
      </c>
      <c r="AB191" s="49">
        <v>6.9919000000000002</v>
      </c>
      <c r="AC191" s="49">
        <v>7.0125999999999999</v>
      </c>
      <c r="AD191" s="49">
        <v>9.7186000000000003</v>
      </c>
      <c r="AE191" s="49">
        <v>9.7253000000000007</v>
      </c>
      <c r="AH191" s="16">
        <f t="shared" si="14"/>
        <v>19950831</v>
      </c>
      <c r="AI191" s="16">
        <f t="shared" si="15"/>
        <v>8.0189000000000004</v>
      </c>
      <c r="AJ191" s="16">
        <f t="shared" si="16"/>
        <v>-1.484700000000001</v>
      </c>
      <c r="AK191" s="16">
        <f t="shared" si="17"/>
        <v>2.7464999999999975</v>
      </c>
      <c r="AL191" s="16">
        <v>0.86</v>
      </c>
      <c r="AM191" s="17">
        <f t="shared" si="18"/>
        <v>7.947233333333334</v>
      </c>
      <c r="AN191" s="17">
        <f t="shared" si="19"/>
        <v>-1.484700000000001</v>
      </c>
      <c r="AO191" s="17">
        <f t="shared" si="20"/>
        <v>2.7464999999999975</v>
      </c>
    </row>
    <row r="192" spans="1:41">
      <c r="A192" s="49">
        <v>19950930</v>
      </c>
      <c r="B192" s="49">
        <v>0.66420000000000001</v>
      </c>
      <c r="C192" s="49">
        <v>0.98209999999999997</v>
      </c>
      <c r="D192" s="49">
        <v>-1.09E-2</v>
      </c>
      <c r="E192" s="49">
        <v>0.315</v>
      </c>
      <c r="F192" s="49">
        <v>1.3122</v>
      </c>
      <c r="G192" s="49">
        <v>1.6222000000000001</v>
      </c>
      <c r="H192" s="49">
        <v>1.0083</v>
      </c>
      <c r="I192" s="49">
        <v>1.3387</v>
      </c>
      <c r="J192" s="49">
        <v>0.44069999999999998</v>
      </c>
      <c r="K192" s="49">
        <v>0.77569999999999995</v>
      </c>
      <c r="L192" s="49">
        <v>1.5455000000000001</v>
      </c>
      <c r="M192" s="49">
        <v>1.8714</v>
      </c>
      <c r="N192" s="49">
        <v>-1.1846000000000001</v>
      </c>
      <c r="O192" s="49">
        <v>-0.9335</v>
      </c>
      <c r="P192" s="49">
        <v>-2.3296999999999999</v>
      </c>
      <c r="Q192" s="49">
        <v>-2.0499000000000001</v>
      </c>
      <c r="R192" s="49">
        <v>1.1999999999999999E-3</v>
      </c>
      <c r="S192" s="49">
        <v>0.22220000000000001</v>
      </c>
      <c r="T192" s="49">
        <v>1.5055000000000001</v>
      </c>
      <c r="U192" s="49">
        <v>1.8723000000000001</v>
      </c>
      <c r="V192" s="49">
        <v>1.5843</v>
      </c>
      <c r="W192" s="49">
        <v>1.9517</v>
      </c>
      <c r="X192" s="49">
        <v>1.4307000000000001</v>
      </c>
      <c r="Y192" s="49">
        <v>1.7969999999999999</v>
      </c>
      <c r="Z192" s="49">
        <v>0.2452</v>
      </c>
      <c r="AA192" s="49">
        <v>0.51959999999999995</v>
      </c>
      <c r="AB192" s="49">
        <v>-1.3193999999999999</v>
      </c>
      <c r="AC192" s="49">
        <v>-1.0339</v>
      </c>
      <c r="AD192" s="49">
        <v>1.7212000000000001</v>
      </c>
      <c r="AE192" s="49">
        <v>1.9853000000000001</v>
      </c>
      <c r="AH192" s="16">
        <f t="shared" si="14"/>
        <v>19950930</v>
      </c>
      <c r="AI192" s="16">
        <f t="shared" si="15"/>
        <v>0.98209999999999997</v>
      </c>
      <c r="AJ192" s="16">
        <f t="shared" si="16"/>
        <v>-3.3677999999999999</v>
      </c>
      <c r="AK192" s="16">
        <f t="shared" si="17"/>
        <v>-4.4748000000000001</v>
      </c>
      <c r="AL192" s="16">
        <v>0.92</v>
      </c>
      <c r="AM192" s="17">
        <f t="shared" si="18"/>
        <v>0.90543333333333331</v>
      </c>
      <c r="AN192" s="17">
        <f t="shared" si="19"/>
        <v>-3.3677999999999999</v>
      </c>
      <c r="AO192" s="17">
        <f t="shared" si="20"/>
        <v>-4.4748000000000001</v>
      </c>
    </row>
    <row r="193" spans="1:41">
      <c r="A193" s="49">
        <v>19951031</v>
      </c>
      <c r="B193" s="49">
        <v>-1.3352999999999999</v>
      </c>
      <c r="C193" s="49">
        <v>-1.3335999999999999</v>
      </c>
      <c r="D193" s="49">
        <v>-1.9438</v>
      </c>
      <c r="E193" s="49">
        <v>-1.9431</v>
      </c>
      <c r="F193" s="49">
        <v>-0.75890000000000002</v>
      </c>
      <c r="G193" s="49">
        <v>-0.75629999999999997</v>
      </c>
      <c r="H193" s="49">
        <v>-1.3994</v>
      </c>
      <c r="I193" s="49">
        <v>-1.3987000000000001</v>
      </c>
      <c r="J193" s="49">
        <v>-2.052</v>
      </c>
      <c r="K193" s="49">
        <v>-2.0518999999999998</v>
      </c>
      <c r="L193" s="49">
        <v>-0.78849999999999998</v>
      </c>
      <c r="M193" s="49">
        <v>-0.7873</v>
      </c>
      <c r="N193" s="49">
        <v>-0.98329999999999995</v>
      </c>
      <c r="O193" s="49">
        <v>-0.97640000000000005</v>
      </c>
      <c r="P193" s="49">
        <v>-1.3729</v>
      </c>
      <c r="Q193" s="49">
        <v>-1.3691</v>
      </c>
      <c r="R193" s="49">
        <v>-0.58940000000000003</v>
      </c>
      <c r="S193" s="49">
        <v>-0.57940000000000003</v>
      </c>
      <c r="T193" s="49">
        <v>-1.7412000000000001</v>
      </c>
      <c r="U193" s="49">
        <v>-1.7412000000000001</v>
      </c>
      <c r="V193" s="49">
        <v>-2.0453000000000001</v>
      </c>
      <c r="W193" s="49">
        <v>-2.0453000000000001</v>
      </c>
      <c r="X193" s="49">
        <v>-1.4523999999999999</v>
      </c>
      <c r="Y193" s="49">
        <v>-1.4523999999999999</v>
      </c>
      <c r="Z193" s="49">
        <v>-0.86819999999999997</v>
      </c>
      <c r="AA193" s="49">
        <v>-0.86650000000000005</v>
      </c>
      <c r="AB193" s="49">
        <v>-2.0625</v>
      </c>
      <c r="AC193" s="49">
        <v>-2.0621999999999998</v>
      </c>
      <c r="AD193" s="49">
        <v>0.22500000000000001</v>
      </c>
      <c r="AE193" s="49">
        <v>0.2281</v>
      </c>
      <c r="AH193" s="16">
        <f t="shared" si="14"/>
        <v>19951031</v>
      </c>
      <c r="AI193" s="16">
        <f t="shared" si="15"/>
        <v>-1.3335999999999999</v>
      </c>
      <c r="AJ193" s="16">
        <f t="shared" si="16"/>
        <v>-2.0542999999999996</v>
      </c>
      <c r="AK193" s="16">
        <f t="shared" si="17"/>
        <v>0.89069999999999983</v>
      </c>
      <c r="AL193" s="16">
        <v>0.49</v>
      </c>
      <c r="AM193" s="17">
        <f t="shared" si="18"/>
        <v>-1.3744333333333332</v>
      </c>
      <c r="AN193" s="17">
        <f t="shared" si="19"/>
        <v>-2.0542999999999996</v>
      </c>
      <c r="AO193" s="17">
        <f t="shared" si="20"/>
        <v>0.89069999999999983</v>
      </c>
    </row>
    <row r="194" spans="1:41">
      <c r="A194" s="49">
        <v>19951130</v>
      </c>
      <c r="B194" s="49">
        <v>4.0758000000000001</v>
      </c>
      <c r="C194" s="49">
        <v>4.0827</v>
      </c>
      <c r="D194" s="49">
        <v>5.0747</v>
      </c>
      <c r="E194" s="49">
        <v>5.0834999999999999</v>
      </c>
      <c r="F194" s="49">
        <v>3.1410999999999998</v>
      </c>
      <c r="G194" s="49">
        <v>3.1463000000000001</v>
      </c>
      <c r="H194" s="49">
        <v>4.0281000000000002</v>
      </c>
      <c r="I194" s="49">
        <v>4.0347</v>
      </c>
      <c r="J194" s="49">
        <v>5.0350000000000001</v>
      </c>
      <c r="K194" s="49">
        <v>5.0439999999999996</v>
      </c>
      <c r="L194" s="49">
        <v>3.0977999999999999</v>
      </c>
      <c r="M194" s="49">
        <v>3.1021000000000001</v>
      </c>
      <c r="N194" s="49">
        <v>4.3365999999999998</v>
      </c>
      <c r="O194" s="49">
        <v>4.3453999999999997</v>
      </c>
      <c r="P194" s="49">
        <v>5.2827999999999999</v>
      </c>
      <c r="Q194" s="49">
        <v>5.2906000000000004</v>
      </c>
      <c r="R194" s="49">
        <v>3.3877000000000002</v>
      </c>
      <c r="S194" s="49">
        <v>3.3976000000000002</v>
      </c>
      <c r="T194" s="49">
        <v>4.4626999999999999</v>
      </c>
      <c r="U194" s="49">
        <v>4.4661999999999997</v>
      </c>
      <c r="V194" s="49">
        <v>5.2081</v>
      </c>
      <c r="W194" s="49">
        <v>5.2148000000000003</v>
      </c>
      <c r="X194" s="49">
        <v>3.7593000000000001</v>
      </c>
      <c r="Y194" s="49">
        <v>3.7597999999999998</v>
      </c>
      <c r="Z194" s="49">
        <v>3.3588</v>
      </c>
      <c r="AA194" s="49">
        <v>3.3698999999999999</v>
      </c>
      <c r="AB194" s="49">
        <v>4.7609000000000004</v>
      </c>
      <c r="AC194" s="49">
        <v>4.7733999999999996</v>
      </c>
      <c r="AD194" s="49">
        <v>2.105</v>
      </c>
      <c r="AE194" s="49">
        <v>2.1149</v>
      </c>
      <c r="AH194" s="16">
        <f t="shared" si="14"/>
        <v>19951130</v>
      </c>
      <c r="AI194" s="16">
        <f t="shared" si="15"/>
        <v>4.0827</v>
      </c>
      <c r="AJ194" s="16">
        <f t="shared" si="16"/>
        <v>3.8348999999999998</v>
      </c>
      <c r="AK194" s="16">
        <f t="shared" si="17"/>
        <v>0.54209999999999958</v>
      </c>
      <c r="AL194" s="16">
        <v>0.56000000000000005</v>
      </c>
      <c r="AM194" s="17">
        <f t="shared" si="18"/>
        <v>4.0360333333333331</v>
      </c>
      <c r="AN194" s="17">
        <f t="shared" si="19"/>
        <v>3.8348999999999998</v>
      </c>
      <c r="AO194" s="17">
        <f t="shared" si="20"/>
        <v>0.54209999999999958</v>
      </c>
    </row>
    <row r="195" spans="1:41">
      <c r="A195" s="49">
        <v>19951231</v>
      </c>
      <c r="B195" s="49">
        <v>6.0613000000000001</v>
      </c>
      <c r="C195" s="49">
        <v>6.0814000000000004</v>
      </c>
      <c r="D195" s="49">
        <v>6.7058</v>
      </c>
      <c r="E195" s="49">
        <v>6.7224000000000004</v>
      </c>
      <c r="F195" s="49">
        <v>5.4469000000000003</v>
      </c>
      <c r="G195" s="49">
        <v>5.4705000000000004</v>
      </c>
      <c r="H195" s="49">
        <v>5.8400999999999996</v>
      </c>
      <c r="I195" s="49">
        <v>5.8577000000000004</v>
      </c>
      <c r="J195" s="49">
        <v>6.4436</v>
      </c>
      <c r="K195" s="49">
        <v>6.4555999999999996</v>
      </c>
      <c r="L195" s="49">
        <v>5.2718999999999996</v>
      </c>
      <c r="M195" s="49">
        <v>5.2949000000000002</v>
      </c>
      <c r="N195" s="49">
        <v>7.2657999999999996</v>
      </c>
      <c r="O195" s="49">
        <v>7.2998000000000003</v>
      </c>
      <c r="P195" s="49">
        <v>8.0764999999999993</v>
      </c>
      <c r="Q195" s="49">
        <v>8.1170000000000009</v>
      </c>
      <c r="R195" s="49">
        <v>6.4382999999999999</v>
      </c>
      <c r="S195" s="49">
        <v>6.4654999999999996</v>
      </c>
      <c r="T195" s="49">
        <v>6.0218999999999996</v>
      </c>
      <c r="U195" s="49">
        <v>6.0339</v>
      </c>
      <c r="V195" s="49">
        <v>6.4592999999999998</v>
      </c>
      <c r="W195" s="49">
        <v>6.4695</v>
      </c>
      <c r="X195" s="49">
        <v>5.6035000000000004</v>
      </c>
      <c r="Y195" s="49">
        <v>5.617</v>
      </c>
      <c r="Z195" s="49">
        <v>5.5570000000000004</v>
      </c>
      <c r="AA195" s="49">
        <v>5.5834999999999999</v>
      </c>
      <c r="AB195" s="49">
        <v>6.4188999999999998</v>
      </c>
      <c r="AC195" s="49">
        <v>6.4335000000000004</v>
      </c>
      <c r="AD195" s="49">
        <v>4.7663000000000002</v>
      </c>
      <c r="AE195" s="49">
        <v>4.8036000000000003</v>
      </c>
      <c r="AH195" s="16">
        <f t="shared" si="14"/>
        <v>19951231</v>
      </c>
      <c r="AI195" s="16">
        <f t="shared" si="15"/>
        <v>6.0814000000000004</v>
      </c>
      <c r="AJ195" s="16">
        <f t="shared" si="16"/>
        <v>2.8122000000000007</v>
      </c>
      <c r="AK195" s="16">
        <f t="shared" si="17"/>
        <v>2.8320000000000007</v>
      </c>
      <c r="AL195" s="16">
        <v>0.6</v>
      </c>
      <c r="AM195" s="17">
        <f t="shared" si="18"/>
        <v>6.0314000000000005</v>
      </c>
      <c r="AN195" s="17">
        <f t="shared" si="19"/>
        <v>2.8122000000000007</v>
      </c>
      <c r="AO195" s="17">
        <f t="shared" si="20"/>
        <v>2.8320000000000007</v>
      </c>
    </row>
    <row r="196" spans="1:41">
      <c r="A196" s="49">
        <v>19960131</v>
      </c>
      <c r="B196" s="49">
        <v>2.7248999999999999</v>
      </c>
      <c r="C196" s="49">
        <v>2.7313000000000001</v>
      </c>
      <c r="D196" s="49">
        <v>3.5811000000000002</v>
      </c>
      <c r="E196" s="49">
        <v>3.5863</v>
      </c>
      <c r="F196" s="49">
        <v>1.8609</v>
      </c>
      <c r="G196" s="49">
        <v>1.8686</v>
      </c>
      <c r="H196" s="49">
        <v>2.3487</v>
      </c>
      <c r="I196" s="49">
        <v>2.3555000000000001</v>
      </c>
      <c r="J196" s="49">
        <v>3.0659999999999998</v>
      </c>
      <c r="K196" s="49">
        <v>3.0720000000000001</v>
      </c>
      <c r="L196" s="49">
        <v>1.6544000000000001</v>
      </c>
      <c r="M196" s="49">
        <v>1.6619999999999999</v>
      </c>
      <c r="N196" s="49">
        <v>4.7055999999999996</v>
      </c>
      <c r="O196" s="49">
        <v>4.7102000000000004</v>
      </c>
      <c r="P196" s="49">
        <v>5.9760999999999997</v>
      </c>
      <c r="Q196" s="49">
        <v>5.9775</v>
      </c>
      <c r="R196" s="49">
        <v>3.1080000000000001</v>
      </c>
      <c r="S196" s="49">
        <v>3.1166999999999998</v>
      </c>
      <c r="T196" s="49">
        <v>2.0596000000000001</v>
      </c>
      <c r="U196" s="49">
        <v>2.0691999999999999</v>
      </c>
      <c r="V196" s="49">
        <v>2.9950999999999999</v>
      </c>
      <c r="W196" s="49">
        <v>3.0042</v>
      </c>
      <c r="X196" s="49">
        <v>1.2657</v>
      </c>
      <c r="Y196" s="49">
        <v>1.2757000000000001</v>
      </c>
      <c r="Z196" s="49">
        <v>2.7987000000000002</v>
      </c>
      <c r="AA196" s="49">
        <v>2.8012000000000001</v>
      </c>
      <c r="AB196" s="49">
        <v>3.1594000000000002</v>
      </c>
      <c r="AC196" s="49">
        <v>3.1614</v>
      </c>
      <c r="AD196" s="49">
        <v>2.3702999999999999</v>
      </c>
      <c r="AE196" s="49">
        <v>2.3734999999999999</v>
      </c>
      <c r="AH196" s="16">
        <f t="shared" ref="AH196:AH259" si="21">+A196</f>
        <v>19960131</v>
      </c>
      <c r="AI196" s="16">
        <f t="shared" ref="AI196:AI259" si="22">+C196</f>
        <v>2.7313000000000001</v>
      </c>
      <c r="AJ196" s="16">
        <f t="shared" ref="AJ196:AJ259" si="23">+(K196-M196)+(Q196-S196)</f>
        <v>4.2708000000000004</v>
      </c>
      <c r="AK196" s="16">
        <f t="shared" ref="AK196:AK259" si="24">(S196+Q196)-(M196+K196)</f>
        <v>4.3602000000000007</v>
      </c>
      <c r="AL196" s="16">
        <v>0.51</v>
      </c>
      <c r="AM196" s="17">
        <f t="shared" si="18"/>
        <v>2.6888000000000001</v>
      </c>
      <c r="AN196" s="17">
        <f t="shared" si="19"/>
        <v>4.2708000000000004</v>
      </c>
      <c r="AO196" s="17">
        <f t="shared" si="20"/>
        <v>4.3602000000000007</v>
      </c>
    </row>
    <row r="197" spans="1:41">
      <c r="A197" s="49">
        <v>19960229</v>
      </c>
      <c r="B197" s="49">
        <v>-2.9238</v>
      </c>
      <c r="C197" s="49">
        <v>-2.9058999999999999</v>
      </c>
      <c r="D197" s="49">
        <v>-2.899</v>
      </c>
      <c r="E197" s="49">
        <v>-2.8828</v>
      </c>
      <c r="F197" s="49">
        <v>-2.9491000000000001</v>
      </c>
      <c r="G197" s="49">
        <v>-2.9295</v>
      </c>
      <c r="H197" s="49">
        <v>-2.8454999999999999</v>
      </c>
      <c r="I197" s="49">
        <v>-2.8281000000000001</v>
      </c>
      <c r="J197" s="49">
        <v>-2.7519999999999998</v>
      </c>
      <c r="K197" s="49">
        <v>-2.7357999999999998</v>
      </c>
      <c r="L197" s="49">
        <v>-2.9373</v>
      </c>
      <c r="M197" s="49">
        <v>-2.9186999999999999</v>
      </c>
      <c r="N197" s="49">
        <v>-3.3262</v>
      </c>
      <c r="O197" s="49">
        <v>-3.3054999999999999</v>
      </c>
      <c r="P197" s="49">
        <v>-3.5638000000000001</v>
      </c>
      <c r="Q197" s="49">
        <v>-3.5470000000000002</v>
      </c>
      <c r="R197" s="49">
        <v>-3.0194999999999999</v>
      </c>
      <c r="S197" s="49">
        <v>-2.9935</v>
      </c>
      <c r="T197" s="49">
        <v>-3.2793000000000001</v>
      </c>
      <c r="U197" s="49">
        <v>-3.2654000000000001</v>
      </c>
      <c r="V197" s="49">
        <v>-3.1526000000000001</v>
      </c>
      <c r="W197" s="49">
        <v>-3.1433</v>
      </c>
      <c r="X197" s="49">
        <v>-3.3885999999999998</v>
      </c>
      <c r="Y197" s="49">
        <v>-3.3708999999999998</v>
      </c>
      <c r="Z197" s="49">
        <v>-2.1753</v>
      </c>
      <c r="AA197" s="49">
        <v>-2.1524000000000001</v>
      </c>
      <c r="AB197" s="49">
        <v>-2.2258</v>
      </c>
      <c r="AC197" s="49">
        <v>-2.2004000000000001</v>
      </c>
      <c r="AD197" s="49">
        <v>-2.1150000000000002</v>
      </c>
      <c r="AE197" s="49">
        <v>-2.0949</v>
      </c>
      <c r="AH197" s="16">
        <f t="shared" si="21"/>
        <v>19960229</v>
      </c>
      <c r="AI197" s="16">
        <f t="shared" si="22"/>
        <v>-2.9058999999999999</v>
      </c>
      <c r="AJ197" s="16">
        <f t="shared" si="23"/>
        <v>-0.37060000000000004</v>
      </c>
      <c r="AK197" s="16">
        <f t="shared" si="24"/>
        <v>-0.88600000000000012</v>
      </c>
      <c r="AL197" s="16">
        <v>0.5</v>
      </c>
      <c r="AM197" s="17">
        <f t="shared" ref="AM197:AM260" si="25">+AI197-AL197/12</f>
        <v>-2.9475666666666664</v>
      </c>
      <c r="AN197" s="17">
        <f t="shared" ref="AN197:AN260" si="26">+AJ197</f>
        <v>-0.37060000000000004</v>
      </c>
      <c r="AO197" s="17">
        <f t="shared" ref="AO197:AO260" si="27">+AK197</f>
        <v>-0.88600000000000012</v>
      </c>
    </row>
    <row r="198" spans="1:41">
      <c r="A198" s="49">
        <v>19960331</v>
      </c>
      <c r="B198" s="49">
        <v>4.3726000000000003</v>
      </c>
      <c r="C198" s="49">
        <v>4.8010999999999999</v>
      </c>
      <c r="D198" s="49">
        <v>4.8193999999999999</v>
      </c>
      <c r="E198" s="49">
        <v>5.2691999999999997</v>
      </c>
      <c r="F198" s="49">
        <v>3.9121000000000001</v>
      </c>
      <c r="G198" s="49">
        <v>4.3186</v>
      </c>
      <c r="H198" s="49">
        <v>4.4124999999999996</v>
      </c>
      <c r="I198" s="49">
        <v>4.8463000000000003</v>
      </c>
      <c r="J198" s="49">
        <v>4.8121</v>
      </c>
      <c r="K198" s="49">
        <v>5.2633999999999999</v>
      </c>
      <c r="L198" s="49">
        <v>4.0172999999999996</v>
      </c>
      <c r="M198" s="49">
        <v>4.4337</v>
      </c>
      <c r="N198" s="49">
        <v>4.1616999999999997</v>
      </c>
      <c r="O198" s="49">
        <v>4.5629999999999997</v>
      </c>
      <c r="P198" s="49">
        <v>4.8525</v>
      </c>
      <c r="Q198" s="49">
        <v>5.2950999999999997</v>
      </c>
      <c r="R198" s="49">
        <v>3.274</v>
      </c>
      <c r="S198" s="49">
        <v>3.6219000000000001</v>
      </c>
      <c r="T198" s="49">
        <v>4.3512000000000004</v>
      </c>
      <c r="U198" s="49">
        <v>4.7845000000000004</v>
      </c>
      <c r="V198" s="49">
        <v>4.5231000000000003</v>
      </c>
      <c r="W198" s="49">
        <v>4.9766000000000004</v>
      </c>
      <c r="X198" s="49">
        <v>4.1970000000000001</v>
      </c>
      <c r="Y198" s="49">
        <v>4.6124999999999998</v>
      </c>
      <c r="Z198" s="49">
        <v>4.5</v>
      </c>
      <c r="AA198" s="49">
        <v>4.9348000000000001</v>
      </c>
      <c r="AB198" s="49">
        <v>5.1879999999999997</v>
      </c>
      <c r="AC198" s="49">
        <v>5.6364999999999998</v>
      </c>
      <c r="AD198" s="49">
        <v>3.6772999999999998</v>
      </c>
      <c r="AE198" s="49">
        <v>4.0956999999999999</v>
      </c>
      <c r="AH198" s="16">
        <f t="shared" si="21"/>
        <v>19960331</v>
      </c>
      <c r="AI198" s="16">
        <f t="shared" si="22"/>
        <v>4.8010999999999999</v>
      </c>
      <c r="AJ198" s="16">
        <f t="shared" si="23"/>
        <v>2.5028999999999995</v>
      </c>
      <c r="AK198" s="16">
        <f t="shared" si="24"/>
        <v>-0.78009999999999913</v>
      </c>
      <c r="AL198" s="16">
        <v>0.69</v>
      </c>
      <c r="AM198" s="17">
        <f t="shared" si="25"/>
        <v>4.7435999999999998</v>
      </c>
      <c r="AN198" s="17">
        <f t="shared" si="26"/>
        <v>2.5028999999999995</v>
      </c>
      <c r="AO198" s="17">
        <f t="shared" si="27"/>
        <v>-0.78009999999999913</v>
      </c>
    </row>
    <row r="199" spans="1:41">
      <c r="A199" s="49">
        <v>19960430</v>
      </c>
      <c r="B199" s="49">
        <v>4.7889999999999997</v>
      </c>
      <c r="C199" s="49">
        <v>4.7911999999999999</v>
      </c>
      <c r="D199" s="49">
        <v>5.0750999999999999</v>
      </c>
      <c r="E199" s="49">
        <v>5.0763999999999996</v>
      </c>
      <c r="F199" s="49">
        <v>4.4923999999999999</v>
      </c>
      <c r="G199" s="49">
        <v>4.4954999999999998</v>
      </c>
      <c r="H199" s="49">
        <v>4.2361000000000004</v>
      </c>
      <c r="I199" s="49">
        <v>4.2378</v>
      </c>
      <c r="J199" s="49">
        <v>4.3987999999999996</v>
      </c>
      <c r="K199" s="49">
        <v>4.3994999999999997</v>
      </c>
      <c r="L199" s="49">
        <v>4.0746000000000002</v>
      </c>
      <c r="M199" s="49">
        <v>4.0774999999999997</v>
      </c>
      <c r="N199" s="49">
        <v>7.6486999999999998</v>
      </c>
      <c r="O199" s="49">
        <v>7.6529999999999996</v>
      </c>
      <c r="P199" s="49">
        <v>8.1525999999999996</v>
      </c>
      <c r="Q199" s="49">
        <v>8.157</v>
      </c>
      <c r="R199" s="49">
        <v>6.9916999999999998</v>
      </c>
      <c r="S199" s="49">
        <v>6.9960000000000004</v>
      </c>
      <c r="T199" s="49">
        <v>3.8290999999999999</v>
      </c>
      <c r="U199" s="49">
        <v>3.8304999999999998</v>
      </c>
      <c r="V199" s="49">
        <v>3.7715999999999998</v>
      </c>
      <c r="W199" s="49">
        <v>3.7715999999999998</v>
      </c>
      <c r="X199" s="49">
        <v>3.8788999999999998</v>
      </c>
      <c r="Y199" s="49">
        <v>3.8816000000000002</v>
      </c>
      <c r="Z199" s="49">
        <v>4.8559000000000001</v>
      </c>
      <c r="AA199" s="49">
        <v>4.8582000000000001</v>
      </c>
      <c r="AB199" s="49">
        <v>5.2093999999999996</v>
      </c>
      <c r="AC199" s="49">
        <v>5.2108999999999996</v>
      </c>
      <c r="AD199" s="49">
        <v>4.4273999999999996</v>
      </c>
      <c r="AE199" s="49">
        <v>4.4307999999999996</v>
      </c>
      <c r="AH199" s="16">
        <f t="shared" si="21"/>
        <v>19960430</v>
      </c>
      <c r="AI199" s="16">
        <f t="shared" si="22"/>
        <v>4.7911999999999999</v>
      </c>
      <c r="AJ199" s="16">
        <f t="shared" si="23"/>
        <v>1.4829999999999997</v>
      </c>
      <c r="AK199" s="16">
        <f t="shared" si="24"/>
        <v>6.6760000000000002</v>
      </c>
      <c r="AL199" s="16">
        <v>0.59</v>
      </c>
      <c r="AM199" s="17">
        <f t="shared" si="25"/>
        <v>4.7420333333333335</v>
      </c>
      <c r="AN199" s="17">
        <f t="shared" si="26"/>
        <v>1.4829999999999997</v>
      </c>
      <c r="AO199" s="17">
        <f t="shared" si="27"/>
        <v>6.6760000000000002</v>
      </c>
    </row>
    <row r="200" spans="1:41">
      <c r="A200" s="49">
        <v>19960531</v>
      </c>
      <c r="B200" s="49">
        <v>-1.9177999999999999</v>
      </c>
      <c r="C200" s="49">
        <v>-1.9045000000000001</v>
      </c>
      <c r="D200" s="49">
        <v>-1.6629</v>
      </c>
      <c r="E200" s="49">
        <v>-1.6535</v>
      </c>
      <c r="F200" s="49">
        <v>-2.1835</v>
      </c>
      <c r="G200" s="49">
        <v>-2.1661000000000001</v>
      </c>
      <c r="H200" s="49">
        <v>-2.0794000000000001</v>
      </c>
      <c r="I200" s="49">
        <v>-2.0666000000000002</v>
      </c>
      <c r="J200" s="49">
        <v>-1.8398000000000001</v>
      </c>
      <c r="K200" s="49">
        <v>-1.8301000000000001</v>
      </c>
      <c r="L200" s="49">
        <v>-2.3178000000000001</v>
      </c>
      <c r="M200" s="49">
        <v>-2.302</v>
      </c>
      <c r="N200" s="49">
        <v>-1.1079000000000001</v>
      </c>
      <c r="O200" s="49">
        <v>-1.0919000000000001</v>
      </c>
      <c r="P200" s="49">
        <v>-0.8851</v>
      </c>
      <c r="Q200" s="49">
        <v>-0.87670000000000003</v>
      </c>
      <c r="R200" s="49">
        <v>-1.4015</v>
      </c>
      <c r="S200" s="49">
        <v>-1.3753</v>
      </c>
      <c r="T200" s="49">
        <v>-2.2947000000000002</v>
      </c>
      <c r="U200" s="49">
        <v>-2.2894999999999999</v>
      </c>
      <c r="V200" s="49">
        <v>-1.944</v>
      </c>
      <c r="W200" s="49">
        <v>-1.9411</v>
      </c>
      <c r="X200" s="49">
        <v>-2.5992999999999999</v>
      </c>
      <c r="Y200" s="49">
        <v>-2.5920999999999998</v>
      </c>
      <c r="Z200" s="49">
        <v>-1.7554000000000001</v>
      </c>
      <c r="AA200" s="49">
        <v>-1.7312000000000001</v>
      </c>
      <c r="AB200" s="49">
        <v>-1.7073</v>
      </c>
      <c r="AC200" s="49">
        <v>-1.6890000000000001</v>
      </c>
      <c r="AD200" s="49">
        <v>-1.8141</v>
      </c>
      <c r="AE200" s="49">
        <v>-1.7827999999999999</v>
      </c>
      <c r="AH200" s="16">
        <f t="shared" si="21"/>
        <v>19960531</v>
      </c>
      <c r="AI200" s="16">
        <f t="shared" si="22"/>
        <v>-1.9045000000000001</v>
      </c>
      <c r="AJ200" s="16">
        <f t="shared" si="23"/>
        <v>0.97049999999999992</v>
      </c>
      <c r="AK200" s="16">
        <f t="shared" si="24"/>
        <v>1.8801000000000005</v>
      </c>
      <c r="AL200" s="16">
        <v>0.56999999999999995</v>
      </c>
      <c r="AM200" s="17">
        <f t="shared" si="25"/>
        <v>-1.9520000000000002</v>
      </c>
      <c r="AN200" s="17">
        <f t="shared" si="26"/>
        <v>0.97049999999999992</v>
      </c>
      <c r="AO200" s="17">
        <f t="shared" si="27"/>
        <v>1.8801000000000005</v>
      </c>
    </row>
    <row r="201" spans="1:41">
      <c r="A201" s="49">
        <v>19960630</v>
      </c>
      <c r="B201" s="49">
        <v>2.1438000000000001</v>
      </c>
      <c r="C201" s="49">
        <v>2.1560999999999999</v>
      </c>
      <c r="D201" s="49">
        <v>2.4660000000000002</v>
      </c>
      <c r="E201" s="49">
        <v>2.476</v>
      </c>
      <c r="F201" s="49">
        <v>1.8063</v>
      </c>
      <c r="G201" s="49">
        <v>1.8203</v>
      </c>
      <c r="H201" s="49">
        <v>2.3058000000000001</v>
      </c>
      <c r="I201" s="49">
        <v>2.3174999999999999</v>
      </c>
      <c r="J201" s="49">
        <v>2.7414000000000001</v>
      </c>
      <c r="K201" s="49">
        <v>2.7509999999999999</v>
      </c>
      <c r="L201" s="49">
        <v>1.8702000000000001</v>
      </c>
      <c r="M201" s="49">
        <v>1.8841000000000001</v>
      </c>
      <c r="N201" s="49">
        <v>1.3407</v>
      </c>
      <c r="O201" s="49">
        <v>1.3555999999999999</v>
      </c>
      <c r="P201" s="49">
        <v>1.2682</v>
      </c>
      <c r="Q201" s="49">
        <v>1.2837000000000001</v>
      </c>
      <c r="R201" s="49">
        <v>1.4367000000000001</v>
      </c>
      <c r="S201" s="49">
        <v>1.4509000000000001</v>
      </c>
      <c r="T201" s="49">
        <v>2.9003999999999999</v>
      </c>
      <c r="U201" s="49">
        <v>2.9108000000000001</v>
      </c>
      <c r="V201" s="49">
        <v>3.5528</v>
      </c>
      <c r="W201" s="49">
        <v>3.5638000000000001</v>
      </c>
      <c r="X201" s="49">
        <v>2.3298999999999999</v>
      </c>
      <c r="Y201" s="49">
        <v>2.3397999999999999</v>
      </c>
      <c r="Z201" s="49">
        <v>1.4155</v>
      </c>
      <c r="AA201" s="49">
        <v>1.4292</v>
      </c>
      <c r="AB201" s="49">
        <v>1.7109000000000001</v>
      </c>
      <c r="AC201" s="49">
        <v>1.7186999999999999</v>
      </c>
      <c r="AD201" s="49">
        <v>1.0545</v>
      </c>
      <c r="AE201" s="49">
        <v>1.0753999999999999</v>
      </c>
      <c r="AH201" s="16">
        <f t="shared" si="21"/>
        <v>19960630</v>
      </c>
      <c r="AI201" s="16">
        <f t="shared" si="22"/>
        <v>2.1560999999999999</v>
      </c>
      <c r="AJ201" s="16">
        <f t="shared" si="23"/>
        <v>0.69969999999999977</v>
      </c>
      <c r="AK201" s="16">
        <f t="shared" si="24"/>
        <v>-1.9004999999999992</v>
      </c>
      <c r="AL201" s="16">
        <v>0.52</v>
      </c>
      <c r="AM201" s="17">
        <f t="shared" si="25"/>
        <v>2.1127666666666665</v>
      </c>
      <c r="AN201" s="17">
        <f t="shared" si="26"/>
        <v>0.69969999999999977</v>
      </c>
      <c r="AO201" s="17">
        <f t="shared" si="27"/>
        <v>-1.9004999999999992</v>
      </c>
    </row>
    <row r="202" spans="1:41">
      <c r="A202" s="49">
        <v>19960731</v>
      </c>
      <c r="B202" s="49">
        <v>-6.9969999999999999</v>
      </c>
      <c r="C202" s="49">
        <v>-6.9943999999999997</v>
      </c>
      <c r="D202" s="49">
        <v>-7.1155999999999997</v>
      </c>
      <c r="E202" s="49">
        <v>-7.1111000000000004</v>
      </c>
      <c r="F202" s="49">
        <v>-6.8719999999999999</v>
      </c>
      <c r="G202" s="49">
        <v>-6.8714000000000004</v>
      </c>
      <c r="H202" s="49">
        <v>-6.6474000000000002</v>
      </c>
      <c r="I202" s="49">
        <v>-6.6448999999999998</v>
      </c>
      <c r="J202" s="49">
        <v>-6.7190000000000003</v>
      </c>
      <c r="K202" s="49">
        <v>-6.7138999999999998</v>
      </c>
      <c r="L202" s="49">
        <v>-6.5751999999999997</v>
      </c>
      <c r="M202" s="49">
        <v>-6.5754999999999999</v>
      </c>
      <c r="N202" s="49">
        <v>-8.7410999999999994</v>
      </c>
      <c r="O202" s="49">
        <v>-8.7378999999999998</v>
      </c>
      <c r="P202" s="49">
        <v>-8.8629999999999995</v>
      </c>
      <c r="Q202" s="49">
        <v>-8.8613</v>
      </c>
      <c r="R202" s="49">
        <v>-8.5802999999999994</v>
      </c>
      <c r="S202" s="49">
        <v>-8.5749999999999993</v>
      </c>
      <c r="T202" s="49">
        <v>-6.8315999999999999</v>
      </c>
      <c r="U202" s="49">
        <v>-6.8280000000000003</v>
      </c>
      <c r="V202" s="49">
        <v>-6.7363999999999997</v>
      </c>
      <c r="W202" s="49">
        <v>-6.7290000000000001</v>
      </c>
      <c r="X202" s="49">
        <v>-6.9158999999999997</v>
      </c>
      <c r="Y202" s="49">
        <v>-6.9156000000000004</v>
      </c>
      <c r="Z202" s="49">
        <v>-6.3673000000000002</v>
      </c>
      <c r="AA202" s="49">
        <v>-6.3666</v>
      </c>
      <c r="AB202" s="49">
        <v>-6.6963999999999997</v>
      </c>
      <c r="AC202" s="49">
        <v>-6.6942000000000004</v>
      </c>
      <c r="AD202" s="49">
        <v>-5.9626999999999999</v>
      </c>
      <c r="AE202" s="49">
        <v>-5.9638999999999998</v>
      </c>
      <c r="AH202" s="16">
        <f t="shared" si="21"/>
        <v>19960731</v>
      </c>
      <c r="AI202" s="16">
        <f t="shared" si="22"/>
        <v>-6.9943999999999997</v>
      </c>
      <c r="AJ202" s="16">
        <f t="shared" si="23"/>
        <v>-0.42470000000000052</v>
      </c>
      <c r="AK202" s="16">
        <f t="shared" si="24"/>
        <v>-4.1468999999999987</v>
      </c>
      <c r="AL202" s="16">
        <v>0.52</v>
      </c>
      <c r="AM202" s="17">
        <f t="shared" si="25"/>
        <v>-7.0377333333333327</v>
      </c>
      <c r="AN202" s="17">
        <f t="shared" si="26"/>
        <v>-0.42470000000000052</v>
      </c>
      <c r="AO202" s="17">
        <f t="shared" si="27"/>
        <v>-4.1468999999999987</v>
      </c>
    </row>
    <row r="203" spans="1:41">
      <c r="A203" s="49">
        <v>19960831</v>
      </c>
      <c r="B203" s="49">
        <v>-2.6551999999999998</v>
      </c>
      <c r="C203" s="49">
        <v>-2.6434000000000002</v>
      </c>
      <c r="D203" s="49">
        <v>-2.9769999999999999</v>
      </c>
      <c r="E203" s="49">
        <v>-2.9664999999999999</v>
      </c>
      <c r="F203" s="49">
        <v>-2.3169</v>
      </c>
      <c r="G203" s="49">
        <v>-2.3037999999999998</v>
      </c>
      <c r="H203" s="49">
        <v>-2.7204000000000002</v>
      </c>
      <c r="I203" s="49">
        <v>-2.7090000000000001</v>
      </c>
      <c r="J203" s="49">
        <v>-3.1444000000000001</v>
      </c>
      <c r="K203" s="49">
        <v>-3.1341999999999999</v>
      </c>
      <c r="L203" s="49">
        <v>-2.2934999999999999</v>
      </c>
      <c r="M203" s="49">
        <v>-2.2808999999999999</v>
      </c>
      <c r="N203" s="49">
        <v>-2.3229000000000002</v>
      </c>
      <c r="O203" s="49">
        <v>-2.3090000000000002</v>
      </c>
      <c r="P203" s="49">
        <v>-2.2219000000000002</v>
      </c>
      <c r="Q203" s="49">
        <v>-2.2101000000000002</v>
      </c>
      <c r="R203" s="49">
        <v>-2.4552999999999998</v>
      </c>
      <c r="S203" s="49">
        <v>-2.4388999999999998</v>
      </c>
      <c r="T203" s="49">
        <v>-2.2860999999999998</v>
      </c>
      <c r="U203" s="49">
        <v>-2.2759</v>
      </c>
      <c r="V203" s="49">
        <v>-2.7372000000000001</v>
      </c>
      <c r="W203" s="49">
        <v>-2.7290000000000001</v>
      </c>
      <c r="X203" s="49">
        <v>-1.8861000000000001</v>
      </c>
      <c r="Y203" s="49">
        <v>-1.8741000000000001</v>
      </c>
      <c r="Z203" s="49">
        <v>-3.3763999999999998</v>
      </c>
      <c r="AA203" s="49">
        <v>-3.3632</v>
      </c>
      <c r="AB203" s="49">
        <v>-3.6703999999999999</v>
      </c>
      <c r="AC203" s="49">
        <v>-3.6576</v>
      </c>
      <c r="AD203" s="49">
        <v>-3.0175999999999998</v>
      </c>
      <c r="AE203" s="49">
        <v>-3.0041000000000002</v>
      </c>
      <c r="AH203" s="16">
        <f t="shared" si="21"/>
        <v>19960831</v>
      </c>
      <c r="AI203" s="16">
        <f t="shared" si="22"/>
        <v>-2.6434000000000002</v>
      </c>
      <c r="AJ203" s="16">
        <f t="shared" si="23"/>
        <v>-0.62450000000000028</v>
      </c>
      <c r="AK203" s="16">
        <f t="shared" si="24"/>
        <v>0.76609999999999978</v>
      </c>
      <c r="AL203" s="16">
        <v>0.53</v>
      </c>
      <c r="AM203" s="17">
        <f t="shared" si="25"/>
        <v>-2.6875666666666667</v>
      </c>
      <c r="AN203" s="17">
        <f t="shared" si="26"/>
        <v>-0.62450000000000028</v>
      </c>
      <c r="AO203" s="17">
        <f t="shared" si="27"/>
        <v>0.76609999999999978</v>
      </c>
    </row>
    <row r="204" spans="1:41">
      <c r="A204" s="49">
        <v>19960930</v>
      </c>
      <c r="B204" s="49">
        <v>4.9748000000000001</v>
      </c>
      <c r="C204" s="49">
        <v>5.2750000000000004</v>
      </c>
      <c r="D204" s="49">
        <v>5.3654000000000002</v>
      </c>
      <c r="E204" s="49">
        <v>5.6791</v>
      </c>
      <c r="F204" s="49">
        <v>4.5670999999999999</v>
      </c>
      <c r="G204" s="49">
        <v>4.8532000000000002</v>
      </c>
      <c r="H204" s="49">
        <v>5.4882999999999997</v>
      </c>
      <c r="I204" s="49">
        <v>5.8029999999999999</v>
      </c>
      <c r="J204" s="49">
        <v>5.9912000000000001</v>
      </c>
      <c r="K204" s="49">
        <v>6.3185000000000002</v>
      </c>
      <c r="L204" s="49">
        <v>4.9865000000000004</v>
      </c>
      <c r="M204" s="49">
        <v>5.2887000000000004</v>
      </c>
      <c r="N204" s="49">
        <v>2.3672</v>
      </c>
      <c r="O204" s="49">
        <v>2.5943999999999998</v>
      </c>
      <c r="P204" s="49">
        <v>2.5712000000000002</v>
      </c>
      <c r="Q204" s="49">
        <v>2.8250000000000002</v>
      </c>
      <c r="R204" s="49">
        <v>2.0990000000000002</v>
      </c>
      <c r="S204" s="49">
        <v>2.2911999999999999</v>
      </c>
      <c r="T204" s="49">
        <v>6.0209000000000001</v>
      </c>
      <c r="U204" s="49">
        <v>6.3715999999999999</v>
      </c>
      <c r="V204" s="49">
        <v>6.6704999999999997</v>
      </c>
      <c r="W204" s="49">
        <v>7.0343</v>
      </c>
      <c r="X204" s="49">
        <v>5.4501999999999997</v>
      </c>
      <c r="Y204" s="49">
        <v>5.7893999999999997</v>
      </c>
      <c r="Z204" s="49">
        <v>4.6742999999999997</v>
      </c>
      <c r="AA204" s="49">
        <v>4.9344000000000001</v>
      </c>
      <c r="AB204" s="49">
        <v>5.1048</v>
      </c>
      <c r="AC204" s="49">
        <v>5.3851000000000004</v>
      </c>
      <c r="AD204" s="49">
        <v>4.1528999999999998</v>
      </c>
      <c r="AE204" s="49">
        <v>4.3886000000000003</v>
      </c>
      <c r="AH204" s="16">
        <f t="shared" si="21"/>
        <v>19960930</v>
      </c>
      <c r="AI204" s="16">
        <f t="shared" si="22"/>
        <v>5.2750000000000004</v>
      </c>
      <c r="AJ204" s="16">
        <f t="shared" si="23"/>
        <v>1.5636000000000001</v>
      </c>
      <c r="AK204" s="16">
        <f t="shared" si="24"/>
        <v>-6.4910000000000005</v>
      </c>
      <c r="AL204" s="16">
        <v>0.53</v>
      </c>
      <c r="AM204" s="17">
        <f t="shared" si="25"/>
        <v>5.2308333333333339</v>
      </c>
      <c r="AN204" s="17">
        <f t="shared" si="26"/>
        <v>1.5636000000000001</v>
      </c>
      <c r="AO204" s="17">
        <f t="shared" si="27"/>
        <v>-6.4910000000000005</v>
      </c>
    </row>
    <row r="205" spans="1:41">
      <c r="A205" s="49">
        <v>19961031</v>
      </c>
      <c r="B205" s="49">
        <v>-4.6916000000000002</v>
      </c>
      <c r="C205" s="49">
        <v>-4.6878000000000002</v>
      </c>
      <c r="D205" s="49">
        <v>-4.8018000000000001</v>
      </c>
      <c r="E205" s="49">
        <v>-4.7976000000000001</v>
      </c>
      <c r="F205" s="49">
        <v>-4.5754000000000001</v>
      </c>
      <c r="G205" s="49">
        <v>-4.5721999999999996</v>
      </c>
      <c r="H205" s="49">
        <v>-4.7011000000000003</v>
      </c>
      <c r="I205" s="49">
        <v>-4.6978999999999997</v>
      </c>
      <c r="J205" s="49">
        <v>-4.8674999999999997</v>
      </c>
      <c r="K205" s="49">
        <v>-4.8634000000000004</v>
      </c>
      <c r="L205" s="49">
        <v>-4.5331999999999999</v>
      </c>
      <c r="M205" s="49">
        <v>-4.5308000000000002</v>
      </c>
      <c r="N205" s="49">
        <v>-4.6417999999999999</v>
      </c>
      <c r="O205" s="49">
        <v>-4.6355000000000004</v>
      </c>
      <c r="P205" s="49">
        <v>-4.4984000000000002</v>
      </c>
      <c r="Q205" s="49">
        <v>-4.4935999999999998</v>
      </c>
      <c r="R205" s="49">
        <v>-4.8311000000000002</v>
      </c>
      <c r="S205" s="49">
        <v>-4.8228999999999997</v>
      </c>
      <c r="T205" s="49">
        <v>-4.8738999999999999</v>
      </c>
      <c r="U205" s="49">
        <v>-4.8718000000000004</v>
      </c>
      <c r="V205" s="49">
        <v>-5.1497999999999999</v>
      </c>
      <c r="W205" s="49">
        <v>-5.1460999999999997</v>
      </c>
      <c r="X205" s="49">
        <v>-4.6279000000000003</v>
      </c>
      <c r="Y205" s="49">
        <v>-4.6272000000000002</v>
      </c>
      <c r="Z205" s="49">
        <v>-4.4332000000000003</v>
      </c>
      <c r="AA205" s="49">
        <v>-4.4282000000000004</v>
      </c>
      <c r="AB205" s="49">
        <v>-4.4926000000000004</v>
      </c>
      <c r="AC205" s="49">
        <v>-4.4880000000000004</v>
      </c>
      <c r="AD205" s="49">
        <v>-4.3604000000000003</v>
      </c>
      <c r="AE205" s="49">
        <v>-4.3548999999999998</v>
      </c>
      <c r="AH205" s="16">
        <f t="shared" si="21"/>
        <v>19961031</v>
      </c>
      <c r="AI205" s="16">
        <f t="shared" si="22"/>
        <v>-4.6878000000000002</v>
      </c>
      <c r="AJ205" s="16">
        <f t="shared" si="23"/>
        <v>-3.3000000000003027E-3</v>
      </c>
      <c r="AK205" s="16">
        <f t="shared" si="24"/>
        <v>7.7700000000001879E-2</v>
      </c>
      <c r="AL205" s="16">
        <v>0.53</v>
      </c>
      <c r="AM205" s="17">
        <f t="shared" si="25"/>
        <v>-4.7319666666666667</v>
      </c>
      <c r="AN205" s="17">
        <f t="shared" si="26"/>
        <v>-3.3000000000003027E-3</v>
      </c>
      <c r="AO205" s="17">
        <f t="shared" si="27"/>
        <v>7.7700000000001879E-2</v>
      </c>
    </row>
    <row r="206" spans="1:41">
      <c r="A206" s="49">
        <v>19961130</v>
      </c>
      <c r="B206" s="49">
        <v>0.89659999999999995</v>
      </c>
      <c r="C206" s="49">
        <v>0.9022</v>
      </c>
      <c r="D206" s="49">
        <v>1.2448999999999999</v>
      </c>
      <c r="E206" s="49">
        <v>1.2495000000000001</v>
      </c>
      <c r="F206" s="49">
        <v>0.53069999999999995</v>
      </c>
      <c r="G206" s="49">
        <v>0.53749999999999998</v>
      </c>
      <c r="H206" s="49">
        <v>1.6608000000000001</v>
      </c>
      <c r="I206" s="49">
        <v>1.6658999999999999</v>
      </c>
      <c r="J206" s="49">
        <v>2.1158999999999999</v>
      </c>
      <c r="K206" s="49">
        <v>2.1202000000000001</v>
      </c>
      <c r="L206" s="49">
        <v>1.2032</v>
      </c>
      <c r="M206" s="49">
        <v>1.2093</v>
      </c>
      <c r="N206" s="49">
        <v>-3.0973000000000002</v>
      </c>
      <c r="O206" s="49">
        <v>-3.0895999999999999</v>
      </c>
      <c r="P206" s="49">
        <v>-2.7597</v>
      </c>
      <c r="Q206" s="49">
        <v>-2.754</v>
      </c>
      <c r="R206" s="49">
        <v>-3.5446</v>
      </c>
      <c r="S206" s="49">
        <v>-3.5341999999999998</v>
      </c>
      <c r="T206" s="49">
        <v>3.0920000000000001</v>
      </c>
      <c r="U206" s="49">
        <v>3.0939999999999999</v>
      </c>
      <c r="V206" s="49">
        <v>4.2594000000000003</v>
      </c>
      <c r="W206" s="49">
        <v>4.2605000000000004</v>
      </c>
      <c r="X206" s="49">
        <v>2.0579999999999998</v>
      </c>
      <c r="Y206" s="49">
        <v>2.0609000000000002</v>
      </c>
      <c r="Z206" s="49">
        <v>-0.54879999999999995</v>
      </c>
      <c r="AA206" s="49">
        <v>-0.53879999999999995</v>
      </c>
      <c r="AB206" s="49">
        <v>-0.70979999999999999</v>
      </c>
      <c r="AC206" s="49">
        <v>-0.70140000000000002</v>
      </c>
      <c r="AD206" s="49">
        <v>-0.35210000000000002</v>
      </c>
      <c r="AE206" s="49">
        <v>-0.34010000000000001</v>
      </c>
      <c r="AH206" s="16">
        <f t="shared" si="21"/>
        <v>19961130</v>
      </c>
      <c r="AI206" s="16">
        <f t="shared" si="22"/>
        <v>0.9022</v>
      </c>
      <c r="AJ206" s="16">
        <f t="shared" si="23"/>
        <v>1.6910999999999998</v>
      </c>
      <c r="AK206" s="16">
        <f t="shared" si="24"/>
        <v>-9.6176999999999992</v>
      </c>
      <c r="AL206" s="16">
        <v>0.51</v>
      </c>
      <c r="AM206" s="17">
        <f t="shared" si="25"/>
        <v>0.85970000000000002</v>
      </c>
      <c r="AN206" s="17">
        <f t="shared" si="26"/>
        <v>1.6910999999999998</v>
      </c>
      <c r="AO206" s="17">
        <f t="shared" si="27"/>
        <v>-9.6176999999999992</v>
      </c>
    </row>
    <row r="207" spans="1:41">
      <c r="A207" s="49">
        <v>19961231</v>
      </c>
      <c r="B207" s="49">
        <v>-4.9442000000000004</v>
      </c>
      <c r="C207" s="49">
        <v>-4.9256000000000002</v>
      </c>
      <c r="D207" s="49">
        <v>-5.5693000000000001</v>
      </c>
      <c r="E207" s="49">
        <v>-5.5510999999999999</v>
      </c>
      <c r="F207" s="49">
        <v>-4.2830000000000004</v>
      </c>
      <c r="G207" s="49">
        <v>-4.2640000000000002</v>
      </c>
      <c r="H207" s="49">
        <v>-4.2131999999999996</v>
      </c>
      <c r="I207" s="49">
        <v>-4.1973000000000003</v>
      </c>
      <c r="J207" s="49">
        <v>-4.8005000000000004</v>
      </c>
      <c r="K207" s="49">
        <v>-4.7869999999999999</v>
      </c>
      <c r="L207" s="49">
        <v>-3.6177000000000001</v>
      </c>
      <c r="M207" s="49">
        <v>-3.5992999999999999</v>
      </c>
      <c r="N207" s="49">
        <v>-8.9505999999999997</v>
      </c>
      <c r="O207" s="49">
        <v>-8.9170999999999996</v>
      </c>
      <c r="P207" s="49">
        <v>-9.2813999999999997</v>
      </c>
      <c r="Q207" s="49">
        <v>-9.2401</v>
      </c>
      <c r="R207" s="49">
        <v>-8.5091999999999999</v>
      </c>
      <c r="S207" s="49">
        <v>-8.4862000000000002</v>
      </c>
      <c r="T207" s="49">
        <v>-3.3121</v>
      </c>
      <c r="U207" s="49">
        <v>-3.2993999999999999</v>
      </c>
      <c r="V207" s="49">
        <v>-3.2052</v>
      </c>
      <c r="W207" s="49">
        <v>-3.1907000000000001</v>
      </c>
      <c r="X207" s="49">
        <v>-3.4089</v>
      </c>
      <c r="Y207" s="49">
        <v>-3.3976999999999999</v>
      </c>
      <c r="Z207" s="49">
        <v>-5.6547000000000001</v>
      </c>
      <c r="AA207" s="49">
        <v>-5.6337000000000002</v>
      </c>
      <c r="AB207" s="49">
        <v>-7.0076000000000001</v>
      </c>
      <c r="AC207" s="49">
        <v>-6.9954000000000001</v>
      </c>
      <c r="AD207" s="49">
        <v>-4.0067000000000004</v>
      </c>
      <c r="AE207" s="49">
        <v>-3.9748999999999999</v>
      </c>
      <c r="AH207" s="16">
        <f t="shared" si="21"/>
        <v>19961231</v>
      </c>
      <c r="AI207" s="16">
        <f t="shared" si="22"/>
        <v>-4.9256000000000002</v>
      </c>
      <c r="AJ207" s="16">
        <f t="shared" si="23"/>
        <v>-1.9415999999999998</v>
      </c>
      <c r="AK207" s="16">
        <f t="shared" si="24"/>
        <v>-9.3400000000000016</v>
      </c>
      <c r="AL207" s="16">
        <v>0.51</v>
      </c>
      <c r="AM207" s="17">
        <f t="shared" si="25"/>
        <v>-4.9681000000000006</v>
      </c>
      <c r="AN207" s="17">
        <f t="shared" si="26"/>
        <v>-1.9415999999999998</v>
      </c>
      <c r="AO207" s="17">
        <f t="shared" si="27"/>
        <v>-9.3400000000000016</v>
      </c>
    </row>
    <row r="208" spans="1:41">
      <c r="A208" s="49">
        <v>19970131</v>
      </c>
      <c r="B208" s="49">
        <v>-5.1931000000000003</v>
      </c>
      <c r="C208" s="49">
        <v>-5.1863999999999999</v>
      </c>
      <c r="D208" s="49">
        <v>-4.5601000000000003</v>
      </c>
      <c r="E208" s="49">
        <v>-4.5548000000000002</v>
      </c>
      <c r="F208" s="49">
        <v>-5.7786999999999997</v>
      </c>
      <c r="G208" s="49">
        <v>-5.7709000000000001</v>
      </c>
      <c r="H208" s="49">
        <v>-5.1078000000000001</v>
      </c>
      <c r="I208" s="49">
        <v>-5.1006999999999998</v>
      </c>
      <c r="J208" s="49">
        <v>-4.2389999999999999</v>
      </c>
      <c r="K208" s="49">
        <v>-4.2332000000000001</v>
      </c>
      <c r="L208" s="49">
        <v>-5.8796999999999997</v>
      </c>
      <c r="M208" s="49">
        <v>-5.8715000000000002</v>
      </c>
      <c r="N208" s="49">
        <v>-5.6631</v>
      </c>
      <c r="O208" s="49">
        <v>-5.6589999999999998</v>
      </c>
      <c r="P208" s="49">
        <v>-6.1134000000000004</v>
      </c>
      <c r="Q208" s="49">
        <v>-6.1101000000000001</v>
      </c>
      <c r="R208" s="49">
        <v>-5.1417000000000002</v>
      </c>
      <c r="S208" s="49">
        <v>-5.1364000000000001</v>
      </c>
      <c r="T208" s="49">
        <v>-5.2808000000000002</v>
      </c>
      <c r="U208" s="49">
        <v>-5.2709999999999999</v>
      </c>
      <c r="V208" s="49">
        <v>-2.8858000000000001</v>
      </c>
      <c r="W208" s="49">
        <v>-2.8767</v>
      </c>
      <c r="X208" s="49">
        <v>-7.0826000000000002</v>
      </c>
      <c r="Y208" s="49">
        <v>-7.0723000000000003</v>
      </c>
      <c r="Z208" s="49">
        <v>-4.8228999999999997</v>
      </c>
      <c r="AA208" s="49">
        <v>-4.8202999999999996</v>
      </c>
      <c r="AB208" s="49">
        <v>-6.0153999999999996</v>
      </c>
      <c r="AC208" s="49">
        <v>-6.0140000000000002</v>
      </c>
      <c r="AD208" s="49">
        <v>-3.4318</v>
      </c>
      <c r="AE208" s="49">
        <v>-3.4278</v>
      </c>
      <c r="AH208" s="16">
        <f t="shared" si="21"/>
        <v>19970131</v>
      </c>
      <c r="AI208" s="16">
        <f t="shared" si="22"/>
        <v>-5.1863999999999999</v>
      </c>
      <c r="AJ208" s="16">
        <f t="shared" si="23"/>
        <v>0.66460000000000008</v>
      </c>
      <c r="AK208" s="16">
        <f t="shared" si="24"/>
        <v>-1.1417999999999999</v>
      </c>
      <c r="AL208" s="16">
        <v>0.51</v>
      </c>
      <c r="AM208" s="17">
        <f t="shared" si="25"/>
        <v>-5.2289000000000003</v>
      </c>
      <c r="AN208" s="17">
        <f t="shared" si="26"/>
        <v>0.66460000000000008</v>
      </c>
      <c r="AO208" s="17">
        <f t="shared" si="27"/>
        <v>-1.1417999999999999</v>
      </c>
    </row>
    <row r="209" spans="1:41">
      <c r="A209" s="49">
        <v>19970228</v>
      </c>
      <c r="B209" s="49">
        <v>0.7681</v>
      </c>
      <c r="C209" s="49">
        <v>0.78969999999999996</v>
      </c>
      <c r="D209" s="49">
        <v>0.1668</v>
      </c>
      <c r="E209" s="49">
        <v>0.18540000000000001</v>
      </c>
      <c r="F209" s="49">
        <v>1.3321000000000001</v>
      </c>
      <c r="G209" s="49">
        <v>1.3565</v>
      </c>
      <c r="H209" s="49">
        <v>1.1414</v>
      </c>
      <c r="I209" s="49">
        <v>1.1613</v>
      </c>
      <c r="J209" s="49">
        <v>0.3826</v>
      </c>
      <c r="K209" s="49">
        <v>0.4</v>
      </c>
      <c r="L209" s="49">
        <v>1.8280000000000001</v>
      </c>
      <c r="M209" s="49">
        <v>1.85</v>
      </c>
      <c r="N209" s="49">
        <v>-1.3047</v>
      </c>
      <c r="O209" s="49">
        <v>-1.2732000000000001</v>
      </c>
      <c r="P209" s="49">
        <v>-0.89980000000000004</v>
      </c>
      <c r="Q209" s="49">
        <v>-0.87480000000000002</v>
      </c>
      <c r="R209" s="49">
        <v>-1.7692000000000001</v>
      </c>
      <c r="S209" s="49">
        <v>-1.7301</v>
      </c>
      <c r="T209" s="49">
        <v>1.3646</v>
      </c>
      <c r="U209" s="49">
        <v>1.3766</v>
      </c>
      <c r="V209" s="49">
        <v>0.217</v>
      </c>
      <c r="W209" s="49">
        <v>0.2278</v>
      </c>
      <c r="X209" s="49">
        <v>2.2675999999999998</v>
      </c>
      <c r="Y209" s="49">
        <v>2.2804000000000002</v>
      </c>
      <c r="Z209" s="49">
        <v>0.77590000000000003</v>
      </c>
      <c r="AA209" s="49">
        <v>0.80879999999999996</v>
      </c>
      <c r="AB209" s="49">
        <v>0.60709999999999997</v>
      </c>
      <c r="AC209" s="49">
        <v>0.63339999999999996</v>
      </c>
      <c r="AD209" s="49">
        <v>0.9677</v>
      </c>
      <c r="AE209" s="49">
        <v>1.008</v>
      </c>
      <c r="AH209" s="16">
        <f t="shared" si="21"/>
        <v>19970228</v>
      </c>
      <c r="AI209" s="16">
        <f t="shared" si="22"/>
        <v>0.78969999999999996</v>
      </c>
      <c r="AJ209" s="16">
        <f t="shared" si="23"/>
        <v>-0.59470000000000023</v>
      </c>
      <c r="AK209" s="16">
        <f t="shared" si="24"/>
        <v>-4.8548999999999998</v>
      </c>
      <c r="AL209" s="16">
        <v>0.52</v>
      </c>
      <c r="AM209" s="17">
        <f t="shared" si="25"/>
        <v>0.74636666666666662</v>
      </c>
      <c r="AN209" s="17">
        <f t="shared" si="26"/>
        <v>-0.59470000000000023</v>
      </c>
      <c r="AO209" s="17">
        <f t="shared" si="27"/>
        <v>-4.8548999999999998</v>
      </c>
    </row>
    <row r="210" spans="1:41">
      <c r="A210" s="49">
        <v>19970331</v>
      </c>
      <c r="B210" s="49">
        <v>-1.0920000000000001</v>
      </c>
      <c r="C210" s="49">
        <v>-0.61419999999999997</v>
      </c>
      <c r="D210" s="49">
        <v>-1.0654999999999999</v>
      </c>
      <c r="E210" s="49">
        <v>-0.52259999999999995</v>
      </c>
      <c r="F210" s="49">
        <v>-1.1165</v>
      </c>
      <c r="G210" s="49">
        <v>-0.69940000000000002</v>
      </c>
      <c r="H210" s="49">
        <v>-0.42809999999999998</v>
      </c>
      <c r="I210" s="49">
        <v>4.5400000000000003E-2</v>
      </c>
      <c r="J210" s="49">
        <v>-0.35570000000000002</v>
      </c>
      <c r="K210" s="49">
        <v>0.1802</v>
      </c>
      <c r="L210" s="49">
        <v>-0.49259999999999998</v>
      </c>
      <c r="M210" s="49">
        <v>-7.4899999999999994E-2</v>
      </c>
      <c r="N210" s="49">
        <v>-4.8673000000000002</v>
      </c>
      <c r="O210" s="49">
        <v>-4.3657000000000004</v>
      </c>
      <c r="P210" s="49">
        <v>-4.6124999999999998</v>
      </c>
      <c r="Q210" s="49">
        <v>-4.0350000000000001</v>
      </c>
      <c r="R210" s="49">
        <v>-5.1618000000000004</v>
      </c>
      <c r="S210" s="49">
        <v>-4.7484999999999999</v>
      </c>
      <c r="T210" s="49">
        <v>0.14879999999999999</v>
      </c>
      <c r="U210" s="49">
        <v>0.61240000000000006</v>
      </c>
      <c r="V210" s="49">
        <v>0.53380000000000005</v>
      </c>
      <c r="W210" s="49">
        <v>1.0622</v>
      </c>
      <c r="X210" s="49">
        <v>-0.14779999999999999</v>
      </c>
      <c r="Y210" s="49">
        <v>0.26579999999999998</v>
      </c>
      <c r="Z210" s="49">
        <v>-1.3786</v>
      </c>
      <c r="AA210" s="49">
        <v>-0.88859999999999995</v>
      </c>
      <c r="AB210" s="49">
        <v>-1.5572999999999999</v>
      </c>
      <c r="AC210" s="49">
        <v>-1.0111000000000001</v>
      </c>
      <c r="AD210" s="49">
        <v>-1.1762999999999999</v>
      </c>
      <c r="AE210" s="49">
        <v>-0.75049999999999994</v>
      </c>
      <c r="AH210" s="16">
        <f t="shared" si="21"/>
        <v>19970331</v>
      </c>
      <c r="AI210" s="16">
        <f t="shared" si="22"/>
        <v>-0.61419999999999997</v>
      </c>
      <c r="AJ210" s="16">
        <f t="shared" si="23"/>
        <v>0.96859999999999979</v>
      </c>
      <c r="AK210" s="16">
        <f t="shared" si="24"/>
        <v>-8.8887999999999998</v>
      </c>
      <c r="AL210" s="16">
        <v>0.56999999999999995</v>
      </c>
      <c r="AM210" s="17">
        <f t="shared" si="25"/>
        <v>-0.66169999999999995</v>
      </c>
      <c r="AN210" s="17">
        <f t="shared" si="26"/>
        <v>0.96859999999999979</v>
      </c>
      <c r="AO210" s="17">
        <f t="shared" si="27"/>
        <v>-8.8887999999999998</v>
      </c>
    </row>
    <row r="211" spans="1:41">
      <c r="A211" s="49">
        <v>19970430</v>
      </c>
      <c r="B211" s="49">
        <v>5.1098999999999997</v>
      </c>
      <c r="C211" s="49">
        <v>5.1111000000000004</v>
      </c>
      <c r="D211" s="49">
        <v>3.65</v>
      </c>
      <c r="E211" s="49">
        <v>3.6509999999999998</v>
      </c>
      <c r="F211" s="49">
        <v>6.4629000000000003</v>
      </c>
      <c r="G211" s="49">
        <v>6.4641999999999999</v>
      </c>
      <c r="H211" s="49">
        <v>5.7217000000000002</v>
      </c>
      <c r="I211" s="49">
        <v>5.7224000000000004</v>
      </c>
      <c r="J211" s="49">
        <v>4.3041</v>
      </c>
      <c r="K211" s="49">
        <v>4.3048000000000002</v>
      </c>
      <c r="L211" s="49">
        <v>6.9866000000000001</v>
      </c>
      <c r="M211" s="49">
        <v>6.9871999999999996</v>
      </c>
      <c r="N211" s="49">
        <v>1.4709000000000001</v>
      </c>
      <c r="O211" s="49">
        <v>1.4751000000000001</v>
      </c>
      <c r="P211" s="49">
        <v>0.2349</v>
      </c>
      <c r="Q211" s="49">
        <v>0.23780000000000001</v>
      </c>
      <c r="R211" s="49">
        <v>2.9056000000000002</v>
      </c>
      <c r="S211" s="49">
        <v>2.9115000000000002</v>
      </c>
      <c r="T211" s="49">
        <v>6.4337999999999997</v>
      </c>
      <c r="U211" s="49">
        <v>6.4337999999999997</v>
      </c>
      <c r="V211" s="49">
        <v>5.2539999999999996</v>
      </c>
      <c r="W211" s="49">
        <v>5.2539999999999996</v>
      </c>
      <c r="X211" s="49">
        <v>7.3487999999999998</v>
      </c>
      <c r="Y211" s="49">
        <v>7.3487999999999998</v>
      </c>
      <c r="Z211" s="49">
        <v>4.5303000000000004</v>
      </c>
      <c r="AA211" s="49">
        <v>4.5321999999999996</v>
      </c>
      <c r="AB211" s="49">
        <v>2.9937999999999998</v>
      </c>
      <c r="AC211" s="49">
        <v>2.9956</v>
      </c>
      <c r="AD211" s="49">
        <v>6.2609000000000004</v>
      </c>
      <c r="AE211" s="49">
        <v>6.2628000000000004</v>
      </c>
      <c r="AH211" s="16">
        <f t="shared" si="21"/>
        <v>19970430</v>
      </c>
      <c r="AI211" s="16">
        <f t="shared" si="22"/>
        <v>5.1111000000000004</v>
      </c>
      <c r="AJ211" s="16">
        <f t="shared" si="23"/>
        <v>-5.3560999999999996</v>
      </c>
      <c r="AK211" s="16">
        <f t="shared" si="24"/>
        <v>-8.1426999999999996</v>
      </c>
      <c r="AL211" s="16">
        <v>1</v>
      </c>
      <c r="AM211" s="17">
        <f t="shared" si="25"/>
        <v>5.0277666666666674</v>
      </c>
      <c r="AN211" s="17">
        <f t="shared" si="26"/>
        <v>-5.3560999999999996</v>
      </c>
      <c r="AO211" s="17">
        <f t="shared" si="27"/>
        <v>-8.1426999999999996</v>
      </c>
    </row>
    <row r="212" spans="1:41">
      <c r="A212" s="49">
        <v>19970531</v>
      </c>
      <c r="B212" s="49">
        <v>3.1368999999999998</v>
      </c>
      <c r="C212" s="49">
        <v>3.1404999999999998</v>
      </c>
      <c r="D212" s="49">
        <v>3.1349999999999998</v>
      </c>
      <c r="E212" s="49">
        <v>3.1389</v>
      </c>
      <c r="F212" s="49">
        <v>3.1385999999999998</v>
      </c>
      <c r="G212" s="49">
        <v>3.1419999999999999</v>
      </c>
      <c r="H212" s="49">
        <v>2.6246999999999998</v>
      </c>
      <c r="I212" s="49">
        <v>2.6272000000000002</v>
      </c>
      <c r="J212" s="49">
        <v>2.6766999999999999</v>
      </c>
      <c r="K212" s="49">
        <v>2.6798000000000002</v>
      </c>
      <c r="L212" s="49">
        <v>2.5794999999999999</v>
      </c>
      <c r="M212" s="49">
        <v>2.5813999999999999</v>
      </c>
      <c r="N212" s="49">
        <v>6.3121999999999998</v>
      </c>
      <c r="O212" s="49">
        <v>6.3231999999999999</v>
      </c>
      <c r="P212" s="49">
        <v>5.6265000000000001</v>
      </c>
      <c r="Q212" s="49">
        <v>5.6345999999999998</v>
      </c>
      <c r="R212" s="49">
        <v>7.0872000000000002</v>
      </c>
      <c r="S212" s="49">
        <v>7.1013000000000002</v>
      </c>
      <c r="T212" s="49">
        <v>1.865</v>
      </c>
      <c r="U212" s="49">
        <v>1.8641000000000001</v>
      </c>
      <c r="V212" s="49">
        <v>2.3986000000000001</v>
      </c>
      <c r="W212" s="49">
        <v>2.3986000000000001</v>
      </c>
      <c r="X212" s="49">
        <v>1.4594</v>
      </c>
      <c r="Y212" s="49">
        <v>1.4577</v>
      </c>
      <c r="Z212" s="49">
        <v>3.9190999999999998</v>
      </c>
      <c r="AA212" s="49">
        <v>3.9272999999999998</v>
      </c>
      <c r="AB212" s="49">
        <v>3.0689000000000002</v>
      </c>
      <c r="AC212" s="49">
        <v>3.0762999999999998</v>
      </c>
      <c r="AD212" s="49">
        <v>4.8472999999999997</v>
      </c>
      <c r="AE212" s="49">
        <v>4.8566000000000003</v>
      </c>
      <c r="AH212" s="16">
        <f t="shared" si="21"/>
        <v>19970531</v>
      </c>
      <c r="AI212" s="16">
        <f t="shared" si="22"/>
        <v>3.1404999999999998</v>
      </c>
      <c r="AJ212" s="16">
        <f t="shared" si="23"/>
        <v>-1.3683000000000001</v>
      </c>
      <c r="AK212" s="16">
        <f t="shared" si="24"/>
        <v>7.4747000000000003</v>
      </c>
      <c r="AL212" s="16">
        <v>0.56000000000000005</v>
      </c>
      <c r="AM212" s="17">
        <f t="shared" si="25"/>
        <v>3.093833333333333</v>
      </c>
      <c r="AN212" s="17">
        <f t="shared" si="26"/>
        <v>-1.3683000000000001</v>
      </c>
      <c r="AO212" s="17">
        <f t="shared" si="27"/>
        <v>7.4747000000000003</v>
      </c>
    </row>
    <row r="213" spans="1:41">
      <c r="A213" s="49">
        <v>19970630</v>
      </c>
      <c r="B213" s="49">
        <v>3.4897999999999998</v>
      </c>
      <c r="C213" s="49">
        <v>3.5188000000000001</v>
      </c>
      <c r="D213" s="49">
        <v>3.8866999999999998</v>
      </c>
      <c r="E213" s="49">
        <v>3.9079999999999999</v>
      </c>
      <c r="F213" s="49">
        <v>3.1318999999999999</v>
      </c>
      <c r="G213" s="49">
        <v>3.1678000000000002</v>
      </c>
      <c r="H213" s="49">
        <v>3.9079000000000002</v>
      </c>
      <c r="I213" s="49">
        <v>3.9365999999999999</v>
      </c>
      <c r="J213" s="49">
        <v>4.5053000000000001</v>
      </c>
      <c r="K213" s="49">
        <v>4.5262000000000002</v>
      </c>
      <c r="L213" s="49">
        <v>3.3879999999999999</v>
      </c>
      <c r="M213" s="49">
        <v>3.4235000000000002</v>
      </c>
      <c r="N213" s="49">
        <v>0.98770000000000002</v>
      </c>
      <c r="O213" s="49">
        <v>1.0186999999999999</v>
      </c>
      <c r="P213" s="49">
        <v>0.61880000000000002</v>
      </c>
      <c r="Q213" s="49">
        <v>0.6421</v>
      </c>
      <c r="R213" s="49">
        <v>1.3989</v>
      </c>
      <c r="S213" s="49">
        <v>1.4383999999999999</v>
      </c>
      <c r="T213" s="49">
        <v>4.5259999999999998</v>
      </c>
      <c r="U213" s="49">
        <v>4.5517000000000003</v>
      </c>
      <c r="V213" s="49">
        <v>5.1628999999999996</v>
      </c>
      <c r="W213" s="49">
        <v>5.1779999999999999</v>
      </c>
      <c r="X213" s="49">
        <v>4.0373999999999999</v>
      </c>
      <c r="Y213" s="49">
        <v>4.0711000000000004</v>
      </c>
      <c r="Z213" s="49">
        <v>2.8754</v>
      </c>
      <c r="AA213" s="49">
        <v>2.9091999999999998</v>
      </c>
      <c r="AB213" s="49">
        <v>3.5836999999999999</v>
      </c>
      <c r="AC213" s="49">
        <v>3.6126</v>
      </c>
      <c r="AD213" s="49">
        <v>2.1158000000000001</v>
      </c>
      <c r="AE213" s="49">
        <v>2.1545999999999998</v>
      </c>
      <c r="AH213" s="16">
        <f t="shared" si="21"/>
        <v>19970630</v>
      </c>
      <c r="AI213" s="16">
        <f t="shared" si="22"/>
        <v>3.5188000000000001</v>
      </c>
      <c r="AJ213" s="16">
        <f t="shared" si="23"/>
        <v>0.30640000000000012</v>
      </c>
      <c r="AK213" s="16">
        <f t="shared" si="24"/>
        <v>-5.8692000000000002</v>
      </c>
      <c r="AL213" s="16">
        <v>0.65</v>
      </c>
      <c r="AM213" s="17">
        <f t="shared" si="25"/>
        <v>3.4646333333333335</v>
      </c>
      <c r="AN213" s="17">
        <f t="shared" si="26"/>
        <v>0.30640000000000012</v>
      </c>
      <c r="AO213" s="17">
        <f t="shared" si="27"/>
        <v>-5.8692000000000002</v>
      </c>
    </row>
    <row r="214" spans="1:41">
      <c r="A214" s="49">
        <v>19970731</v>
      </c>
      <c r="B214" s="49">
        <v>-0.14419999999999999</v>
      </c>
      <c r="C214" s="49">
        <v>-0.1416</v>
      </c>
      <c r="D214" s="49">
        <v>-3.4104000000000001</v>
      </c>
      <c r="E214" s="49">
        <v>-3.4056000000000002</v>
      </c>
      <c r="F214" s="49">
        <v>2.8222999999999998</v>
      </c>
      <c r="G214" s="49">
        <v>2.8229000000000002</v>
      </c>
      <c r="H214" s="49">
        <v>0.77890000000000004</v>
      </c>
      <c r="I214" s="49">
        <v>0.78129999999999999</v>
      </c>
      <c r="J214" s="49">
        <v>-2.7597999999999998</v>
      </c>
      <c r="K214" s="49">
        <v>-2.7547000000000001</v>
      </c>
      <c r="L214" s="49">
        <v>3.8925999999999998</v>
      </c>
      <c r="M214" s="49">
        <v>3.8923999999999999</v>
      </c>
      <c r="N214" s="49">
        <v>-5.8338999999999999</v>
      </c>
      <c r="O214" s="49">
        <v>-5.8295000000000003</v>
      </c>
      <c r="P214" s="49">
        <v>-6.9877000000000002</v>
      </c>
      <c r="Q214" s="49">
        <v>-6.9846000000000004</v>
      </c>
      <c r="R214" s="49">
        <v>-4.5602</v>
      </c>
      <c r="S214" s="49">
        <v>-4.5544000000000002</v>
      </c>
      <c r="T214" s="49">
        <v>1.7282999999999999</v>
      </c>
      <c r="U214" s="49">
        <v>1.7318</v>
      </c>
      <c r="V214" s="49">
        <v>-1.7336</v>
      </c>
      <c r="W214" s="49">
        <v>-1.7257</v>
      </c>
      <c r="X214" s="49">
        <v>4.4122000000000003</v>
      </c>
      <c r="Y214" s="49">
        <v>4.4122000000000003</v>
      </c>
      <c r="Z214" s="49">
        <v>-0.82899999999999996</v>
      </c>
      <c r="AA214" s="49">
        <v>-0.82850000000000001</v>
      </c>
      <c r="AB214" s="49">
        <v>-4.2161</v>
      </c>
      <c r="AC214" s="49">
        <v>-4.2149000000000001</v>
      </c>
      <c r="AD214" s="49">
        <v>2.8573</v>
      </c>
      <c r="AE214" s="49">
        <v>2.8570000000000002</v>
      </c>
      <c r="AH214" s="16">
        <f t="shared" si="21"/>
        <v>19970731</v>
      </c>
      <c r="AI214" s="16">
        <f t="shared" si="22"/>
        <v>-0.1416</v>
      </c>
      <c r="AJ214" s="16">
        <f t="shared" si="23"/>
        <v>-9.077300000000001</v>
      </c>
      <c r="AK214" s="16">
        <f t="shared" si="24"/>
        <v>-12.6767</v>
      </c>
      <c r="AL214" s="16">
        <v>0.68</v>
      </c>
      <c r="AM214" s="17">
        <f t="shared" si="25"/>
        <v>-0.19826666666666667</v>
      </c>
      <c r="AN214" s="17">
        <f t="shared" si="26"/>
        <v>-9.077300000000001</v>
      </c>
      <c r="AO214" s="17">
        <f t="shared" si="27"/>
        <v>-12.6767</v>
      </c>
    </row>
    <row r="215" spans="1:41">
      <c r="A215" s="49">
        <v>19970831</v>
      </c>
      <c r="B215" s="49">
        <v>-8.1250999999999998</v>
      </c>
      <c r="C215" s="49">
        <v>-8.1127000000000002</v>
      </c>
      <c r="D215" s="49">
        <v>-7.4972000000000003</v>
      </c>
      <c r="E215" s="49">
        <v>-7.4852999999999996</v>
      </c>
      <c r="F215" s="49">
        <v>-8.6602999999999994</v>
      </c>
      <c r="G215" s="49">
        <v>-8.6475000000000009</v>
      </c>
      <c r="H215" s="49">
        <v>-7.9492000000000003</v>
      </c>
      <c r="I215" s="49">
        <v>-7.9381000000000004</v>
      </c>
      <c r="J215" s="49">
        <v>-7.3323999999999998</v>
      </c>
      <c r="K215" s="49">
        <v>-7.3216000000000001</v>
      </c>
      <c r="L215" s="49">
        <v>-8.4566999999999997</v>
      </c>
      <c r="M215" s="49">
        <v>-8.4453999999999994</v>
      </c>
      <c r="N215" s="49">
        <v>-9.2850000000000001</v>
      </c>
      <c r="O215" s="49">
        <v>-9.2644000000000002</v>
      </c>
      <c r="P215" s="49">
        <v>-8.4445999999999994</v>
      </c>
      <c r="Q215" s="49">
        <v>-8.4266000000000005</v>
      </c>
      <c r="R215" s="49">
        <v>-10.187099999999999</v>
      </c>
      <c r="S215" s="49">
        <v>-10.1637</v>
      </c>
      <c r="T215" s="49">
        <v>-8.0564999999999998</v>
      </c>
      <c r="U215" s="49">
        <v>-8.0503999999999998</v>
      </c>
      <c r="V215" s="49">
        <v>-8.2637</v>
      </c>
      <c r="W215" s="49">
        <v>-8.2546999999999997</v>
      </c>
      <c r="X215" s="49">
        <v>-7.9053000000000004</v>
      </c>
      <c r="Y215" s="49">
        <v>-7.9013</v>
      </c>
      <c r="Z215" s="49">
        <v>-7.7629000000000001</v>
      </c>
      <c r="AA215" s="49">
        <v>-7.7431000000000001</v>
      </c>
      <c r="AB215" s="49">
        <v>-5.9762000000000004</v>
      </c>
      <c r="AC215" s="49">
        <v>-5.9626000000000001</v>
      </c>
      <c r="AD215" s="49">
        <v>-9.5701000000000001</v>
      </c>
      <c r="AE215" s="49">
        <v>-9.5441000000000003</v>
      </c>
      <c r="AH215" s="16">
        <f t="shared" si="21"/>
        <v>19970831</v>
      </c>
      <c r="AI215" s="16">
        <f t="shared" si="22"/>
        <v>-8.1127000000000002</v>
      </c>
      <c r="AJ215" s="16">
        <f t="shared" si="23"/>
        <v>2.8608999999999991</v>
      </c>
      <c r="AK215" s="16">
        <f t="shared" si="24"/>
        <v>-2.8232999999999997</v>
      </c>
      <c r="AL215" s="16">
        <v>0.56999999999999995</v>
      </c>
      <c r="AM215" s="17">
        <f t="shared" si="25"/>
        <v>-8.1601999999999997</v>
      </c>
      <c r="AN215" s="17">
        <f t="shared" si="26"/>
        <v>2.8608999999999991</v>
      </c>
      <c r="AO215" s="17">
        <f t="shared" si="27"/>
        <v>-2.8232999999999997</v>
      </c>
    </row>
    <row r="216" spans="1:41">
      <c r="A216" s="49">
        <v>19970930</v>
      </c>
      <c r="B216" s="49">
        <v>-2.8212000000000002</v>
      </c>
      <c r="C216" s="49">
        <v>-2.5026999999999999</v>
      </c>
      <c r="D216" s="49">
        <v>-5.9779</v>
      </c>
      <c r="E216" s="49">
        <v>-5.6074000000000002</v>
      </c>
      <c r="F216" s="49">
        <v>-9.9199999999999997E-2</v>
      </c>
      <c r="G216" s="49">
        <v>0.17419999999999999</v>
      </c>
      <c r="H216" s="49">
        <v>-1.4772000000000001</v>
      </c>
      <c r="I216" s="49">
        <v>-1.1574</v>
      </c>
      <c r="J216" s="49">
        <v>-4.8246000000000002</v>
      </c>
      <c r="K216" s="49">
        <v>-4.4532999999999996</v>
      </c>
      <c r="L216" s="49">
        <v>1.3085</v>
      </c>
      <c r="M216" s="49">
        <v>1.5853999999999999</v>
      </c>
      <c r="N216" s="49">
        <v>-11.8165</v>
      </c>
      <c r="O216" s="49">
        <v>-11.5076</v>
      </c>
      <c r="P216" s="49">
        <v>-12.697800000000001</v>
      </c>
      <c r="Q216" s="49">
        <v>-12.332700000000001</v>
      </c>
      <c r="R216" s="49">
        <v>-10.8545</v>
      </c>
      <c r="S216" s="49">
        <v>-10.6073</v>
      </c>
      <c r="T216" s="49">
        <v>0.44130000000000003</v>
      </c>
      <c r="U216" s="49">
        <v>0.78600000000000003</v>
      </c>
      <c r="V216" s="49">
        <v>-3.9561000000000002</v>
      </c>
      <c r="W216" s="49">
        <v>-3.5506000000000002</v>
      </c>
      <c r="X216" s="49">
        <v>3.6339999999999999</v>
      </c>
      <c r="Y216" s="49">
        <v>3.9344000000000001</v>
      </c>
      <c r="Z216" s="49">
        <v>-4.7975000000000003</v>
      </c>
      <c r="AA216" s="49">
        <v>-4.5202</v>
      </c>
      <c r="AB216" s="49">
        <v>-6.0585000000000004</v>
      </c>
      <c r="AC216" s="49">
        <v>-5.7352999999999996</v>
      </c>
      <c r="AD216" s="49">
        <v>-3.4725999999999999</v>
      </c>
      <c r="AE216" s="49">
        <v>-3.2435999999999998</v>
      </c>
      <c r="AH216" s="16">
        <f t="shared" si="21"/>
        <v>19970930</v>
      </c>
      <c r="AI216" s="16">
        <f t="shared" si="22"/>
        <v>-2.5026999999999999</v>
      </c>
      <c r="AJ216" s="16">
        <f t="shared" si="23"/>
        <v>-7.7641</v>
      </c>
      <c r="AK216" s="16">
        <f t="shared" si="24"/>
        <v>-20.072100000000002</v>
      </c>
      <c r="AL216" s="16">
        <v>0.64</v>
      </c>
      <c r="AM216" s="17">
        <f t="shared" si="25"/>
        <v>-2.5560333333333332</v>
      </c>
      <c r="AN216" s="17">
        <f t="shared" si="26"/>
        <v>-7.7641</v>
      </c>
      <c r="AO216" s="17">
        <f t="shared" si="27"/>
        <v>-20.072100000000002</v>
      </c>
    </row>
    <row r="217" spans="1:41">
      <c r="A217" s="49">
        <v>19971031</v>
      </c>
      <c r="B217" s="49">
        <v>-6.649</v>
      </c>
      <c r="C217" s="49">
        <v>-6.6475</v>
      </c>
      <c r="D217" s="49">
        <v>-5.1505999999999998</v>
      </c>
      <c r="E217" s="49">
        <v>-5.1490999999999998</v>
      </c>
      <c r="F217" s="49">
        <v>-7.8654999999999999</v>
      </c>
      <c r="G217" s="49">
        <v>-7.8639999999999999</v>
      </c>
      <c r="H217" s="49">
        <v>-7.5141</v>
      </c>
      <c r="I217" s="49">
        <v>-7.5137999999999998</v>
      </c>
      <c r="J217" s="49">
        <v>-6.0279999999999996</v>
      </c>
      <c r="K217" s="49">
        <v>-6.0273000000000003</v>
      </c>
      <c r="L217" s="49">
        <v>-8.6769999999999996</v>
      </c>
      <c r="M217" s="49">
        <v>-8.6768999999999998</v>
      </c>
      <c r="N217" s="49">
        <v>-0.1792</v>
      </c>
      <c r="O217" s="49">
        <v>-0.16900000000000001</v>
      </c>
      <c r="P217" s="49">
        <v>0.42759999999999998</v>
      </c>
      <c r="Q217" s="49">
        <v>0.435</v>
      </c>
      <c r="R217" s="49">
        <v>-0.82689999999999997</v>
      </c>
      <c r="S217" s="49">
        <v>-0.81369999999999998</v>
      </c>
      <c r="T217" s="49">
        <v>-9.6783000000000001</v>
      </c>
      <c r="U217" s="49">
        <v>-9.6783000000000001</v>
      </c>
      <c r="V217" s="49">
        <v>-8.2906999999999993</v>
      </c>
      <c r="W217" s="49">
        <v>-8.2906999999999993</v>
      </c>
      <c r="X217" s="49">
        <v>-10.6113</v>
      </c>
      <c r="Y217" s="49">
        <v>-10.6113</v>
      </c>
      <c r="Z217" s="49">
        <v>-3.5668000000000002</v>
      </c>
      <c r="AA217" s="49">
        <v>-3.5657000000000001</v>
      </c>
      <c r="AB217" s="49">
        <v>-2.7504</v>
      </c>
      <c r="AC217" s="49">
        <v>-2.7486999999999999</v>
      </c>
      <c r="AD217" s="49">
        <v>-4.4035000000000002</v>
      </c>
      <c r="AE217" s="49">
        <v>-4.4029999999999996</v>
      </c>
      <c r="AH217" s="16">
        <f t="shared" si="21"/>
        <v>19971031</v>
      </c>
      <c r="AI217" s="16">
        <f t="shared" si="22"/>
        <v>-6.6475</v>
      </c>
      <c r="AJ217" s="16">
        <f t="shared" si="23"/>
        <v>3.8982999999999994</v>
      </c>
      <c r="AK217" s="16">
        <f t="shared" si="24"/>
        <v>14.3255</v>
      </c>
      <c r="AL217" s="16">
        <v>0.57999999999999996</v>
      </c>
      <c r="AM217" s="17">
        <f t="shared" si="25"/>
        <v>-6.6958333333333329</v>
      </c>
      <c r="AN217" s="17">
        <f t="shared" si="26"/>
        <v>3.8982999999999994</v>
      </c>
      <c r="AO217" s="17">
        <f t="shared" si="27"/>
        <v>14.3255</v>
      </c>
    </row>
    <row r="218" spans="1:41">
      <c r="A218" s="49">
        <v>19971130</v>
      </c>
      <c r="B218" s="49">
        <v>-2.266</v>
      </c>
      <c r="C218" s="49">
        <v>-2.2614999999999998</v>
      </c>
      <c r="D218" s="49">
        <v>-5.6729000000000003</v>
      </c>
      <c r="E218" s="49">
        <v>-5.6680999999999999</v>
      </c>
      <c r="F218" s="49">
        <v>0.57789999999999997</v>
      </c>
      <c r="G218" s="49">
        <v>0.58230000000000004</v>
      </c>
      <c r="H218" s="49">
        <v>-1.0709</v>
      </c>
      <c r="I218" s="49">
        <v>-1.0674999999999999</v>
      </c>
      <c r="J218" s="49">
        <v>-4.7320000000000002</v>
      </c>
      <c r="K218" s="49">
        <v>-4.7286999999999999</v>
      </c>
      <c r="L218" s="49">
        <v>1.873</v>
      </c>
      <c r="M218" s="49">
        <v>1.8765000000000001</v>
      </c>
      <c r="N218" s="49">
        <v>-10.5541</v>
      </c>
      <c r="O218" s="49">
        <v>-10.542</v>
      </c>
      <c r="P218" s="49">
        <v>-11.274699999999999</v>
      </c>
      <c r="Q218" s="49">
        <v>-11.262</v>
      </c>
      <c r="R218" s="49">
        <v>-9.7759999999999998</v>
      </c>
      <c r="S218" s="49">
        <v>-9.7645999999999997</v>
      </c>
      <c r="T218" s="49">
        <v>1.3032999999999999</v>
      </c>
      <c r="U218" s="49">
        <v>1.3012999999999999</v>
      </c>
      <c r="V218" s="49">
        <v>-3.1856</v>
      </c>
      <c r="W218" s="49">
        <v>-3.1898</v>
      </c>
      <c r="X218" s="49">
        <v>4.3967999999999998</v>
      </c>
      <c r="Y218" s="49">
        <v>4.3963999999999999</v>
      </c>
      <c r="Z218" s="49">
        <v>-5.1299000000000001</v>
      </c>
      <c r="AA218" s="49">
        <v>-5.1174999999999997</v>
      </c>
      <c r="AB218" s="49">
        <v>-6.8452000000000002</v>
      </c>
      <c r="AC218" s="49">
        <v>-6.8316999999999997</v>
      </c>
      <c r="AD218" s="49">
        <v>-3.343</v>
      </c>
      <c r="AE218" s="49">
        <v>-3.3317000000000001</v>
      </c>
      <c r="AH218" s="16">
        <f t="shared" si="21"/>
        <v>19971130</v>
      </c>
      <c r="AI218" s="16">
        <f t="shared" si="22"/>
        <v>-2.2614999999999998</v>
      </c>
      <c r="AJ218" s="16">
        <f t="shared" si="23"/>
        <v>-8.1026000000000007</v>
      </c>
      <c r="AK218" s="16">
        <f t="shared" si="24"/>
        <v>-18.174400000000002</v>
      </c>
      <c r="AL218" s="16">
        <v>0.51</v>
      </c>
      <c r="AM218" s="17">
        <f t="shared" si="25"/>
        <v>-2.3039999999999998</v>
      </c>
      <c r="AN218" s="17">
        <f t="shared" si="26"/>
        <v>-8.1026000000000007</v>
      </c>
      <c r="AO218" s="17">
        <f t="shared" si="27"/>
        <v>-18.174400000000002</v>
      </c>
    </row>
    <row r="219" spans="1:41">
      <c r="A219" s="49">
        <v>19971231</v>
      </c>
      <c r="B219" s="49">
        <v>-5.4451000000000001</v>
      </c>
      <c r="C219" s="49">
        <v>-5.4199000000000002</v>
      </c>
      <c r="D219" s="49">
        <v>-7.0843999999999996</v>
      </c>
      <c r="E219" s="49">
        <v>-7.0614999999999997</v>
      </c>
      <c r="F219" s="49">
        <v>-4.1623000000000001</v>
      </c>
      <c r="G219" s="49">
        <v>-4.1353</v>
      </c>
      <c r="H219" s="49">
        <v>-4.5004</v>
      </c>
      <c r="I219" s="49">
        <v>-4.4794</v>
      </c>
      <c r="J219" s="49">
        <v>-6.1455000000000002</v>
      </c>
      <c r="K219" s="49">
        <v>-6.1276000000000002</v>
      </c>
      <c r="L219" s="49">
        <v>-3.2637</v>
      </c>
      <c r="M219" s="49">
        <v>-3.2404999999999999</v>
      </c>
      <c r="N219" s="49">
        <v>-12.690899999999999</v>
      </c>
      <c r="O219" s="49">
        <v>-12.632999999999999</v>
      </c>
      <c r="P219" s="49">
        <v>-13.085599999999999</v>
      </c>
      <c r="Q219" s="49">
        <v>-13.0307</v>
      </c>
      <c r="R219" s="49">
        <v>-12.2722</v>
      </c>
      <c r="S219" s="49">
        <v>-12.211</v>
      </c>
      <c r="T219" s="49">
        <v>-1.9005000000000001</v>
      </c>
      <c r="U219" s="49">
        <v>-1.8863000000000001</v>
      </c>
      <c r="V219" s="49">
        <v>-3.1478000000000002</v>
      </c>
      <c r="W219" s="49">
        <v>-3.1293000000000002</v>
      </c>
      <c r="X219" s="49">
        <v>-1.1032</v>
      </c>
      <c r="Y219" s="49">
        <v>-1.0919000000000001</v>
      </c>
      <c r="Z219" s="49">
        <v>-9.2474000000000007</v>
      </c>
      <c r="AA219" s="49">
        <v>-9.2141000000000002</v>
      </c>
      <c r="AB219" s="49">
        <v>-10.4084</v>
      </c>
      <c r="AC219" s="49">
        <v>-10.391</v>
      </c>
      <c r="AD219" s="49">
        <v>-8.0831999999999997</v>
      </c>
      <c r="AE219" s="49">
        <v>-8.0341000000000005</v>
      </c>
      <c r="AH219" s="16">
        <f t="shared" si="21"/>
        <v>19971231</v>
      </c>
      <c r="AI219" s="16">
        <f t="shared" si="22"/>
        <v>-5.4199000000000002</v>
      </c>
      <c r="AJ219" s="16">
        <f t="shared" si="23"/>
        <v>-3.7067999999999994</v>
      </c>
      <c r="AK219" s="16">
        <f t="shared" si="24"/>
        <v>-15.873600000000001</v>
      </c>
      <c r="AL219" s="16">
        <v>1.21</v>
      </c>
      <c r="AM219" s="17">
        <f t="shared" si="25"/>
        <v>-5.5207333333333333</v>
      </c>
      <c r="AN219" s="17">
        <f t="shared" si="26"/>
        <v>-3.7067999999999994</v>
      </c>
      <c r="AO219" s="17">
        <f t="shared" si="27"/>
        <v>-15.873600000000001</v>
      </c>
    </row>
    <row r="220" spans="1:41">
      <c r="A220" s="49">
        <v>19980131</v>
      </c>
      <c r="B220" s="49">
        <v>7.4539999999999997</v>
      </c>
      <c r="C220" s="49">
        <v>7.4617000000000004</v>
      </c>
      <c r="D220" s="49">
        <v>12.321899999999999</v>
      </c>
      <c r="E220" s="49">
        <v>12.329800000000001</v>
      </c>
      <c r="F220" s="49">
        <v>3.1699000000000002</v>
      </c>
      <c r="G220" s="49">
        <v>3.1774</v>
      </c>
      <c r="H220" s="49">
        <v>6.0492999999999997</v>
      </c>
      <c r="I220" s="49">
        <v>6.0566000000000004</v>
      </c>
      <c r="J220" s="49">
        <v>10.475300000000001</v>
      </c>
      <c r="K220" s="49">
        <v>10.4826</v>
      </c>
      <c r="L220" s="49">
        <v>2.6265000000000001</v>
      </c>
      <c r="M220" s="49">
        <v>2.6337999999999999</v>
      </c>
      <c r="N220" s="49">
        <v>19.856100000000001</v>
      </c>
      <c r="O220" s="49">
        <v>19.866900000000001</v>
      </c>
      <c r="P220" s="49">
        <v>21.793199999999999</v>
      </c>
      <c r="Q220" s="49">
        <v>21.803599999999999</v>
      </c>
      <c r="R220" s="49">
        <v>14.0222</v>
      </c>
      <c r="S220" s="49">
        <v>14.0341</v>
      </c>
      <c r="T220" s="49">
        <v>2.8706</v>
      </c>
      <c r="U220" s="49">
        <v>2.8803999999999998</v>
      </c>
      <c r="V220" s="49">
        <v>5.9211</v>
      </c>
      <c r="W220" s="49">
        <v>5.9337</v>
      </c>
      <c r="X220" s="49">
        <v>1.2357</v>
      </c>
      <c r="Y220" s="49">
        <v>1.2439</v>
      </c>
      <c r="Z220" s="49">
        <v>12.974600000000001</v>
      </c>
      <c r="AA220" s="49">
        <v>12.9765</v>
      </c>
      <c r="AB220" s="49">
        <v>16.006499999999999</v>
      </c>
      <c r="AC220" s="49">
        <v>16.007400000000001</v>
      </c>
      <c r="AD220" s="49">
        <v>7.9005999999999998</v>
      </c>
      <c r="AE220" s="49">
        <v>7.9043999999999999</v>
      </c>
      <c r="AH220" s="16">
        <f t="shared" si="21"/>
        <v>19980131</v>
      </c>
      <c r="AI220" s="16">
        <f t="shared" si="22"/>
        <v>7.4617000000000004</v>
      </c>
      <c r="AJ220" s="16">
        <f t="shared" si="23"/>
        <v>15.618299999999998</v>
      </c>
      <c r="AK220" s="16">
        <f t="shared" si="24"/>
        <v>22.721299999999999</v>
      </c>
      <c r="AL220" s="16">
        <v>1.01</v>
      </c>
      <c r="AM220" s="17">
        <f t="shared" si="25"/>
        <v>7.3775333333333339</v>
      </c>
      <c r="AN220" s="17">
        <f t="shared" si="26"/>
        <v>15.618299999999998</v>
      </c>
      <c r="AO220" s="17">
        <f t="shared" si="27"/>
        <v>22.721299999999999</v>
      </c>
    </row>
    <row r="221" spans="1:41">
      <c r="A221" s="49">
        <v>19980228</v>
      </c>
      <c r="B221" s="49">
        <v>0.20019999999999999</v>
      </c>
      <c r="C221" s="49">
        <v>0.2248</v>
      </c>
      <c r="D221" s="49">
        <v>2.2686000000000002</v>
      </c>
      <c r="E221" s="49">
        <v>2.2999000000000001</v>
      </c>
      <c r="F221" s="49">
        <v>-1.7810999999999999</v>
      </c>
      <c r="G221" s="49">
        <v>-1.7628999999999999</v>
      </c>
      <c r="H221" s="49">
        <v>-0.38940000000000002</v>
      </c>
      <c r="I221" s="49">
        <v>-0.36859999999999998</v>
      </c>
      <c r="J221" s="49">
        <v>1.5321</v>
      </c>
      <c r="K221" s="49">
        <v>1.5597000000000001</v>
      </c>
      <c r="L221" s="49">
        <v>-1.9885999999999999</v>
      </c>
      <c r="M221" s="49">
        <v>-1.9733000000000001</v>
      </c>
      <c r="N221" s="49">
        <v>4.806</v>
      </c>
      <c r="O221" s="49">
        <v>4.8602999999999996</v>
      </c>
      <c r="P221" s="49">
        <v>5.6944999999999997</v>
      </c>
      <c r="Q221" s="49">
        <v>5.7434000000000003</v>
      </c>
      <c r="R221" s="49">
        <v>1.9487000000000001</v>
      </c>
      <c r="S221" s="49">
        <v>2.02</v>
      </c>
      <c r="T221" s="49">
        <v>-1.6208</v>
      </c>
      <c r="U221" s="49">
        <v>-1.6088</v>
      </c>
      <c r="V221" s="49">
        <v>-0.14599999999999999</v>
      </c>
      <c r="W221" s="49">
        <v>-0.12620000000000001</v>
      </c>
      <c r="X221" s="49">
        <v>-2.4474999999999998</v>
      </c>
      <c r="Y221" s="49">
        <v>-2.4399000000000002</v>
      </c>
      <c r="Z221" s="49">
        <v>2.0535999999999999</v>
      </c>
      <c r="AA221" s="49">
        <v>2.0922999999999998</v>
      </c>
      <c r="AB221" s="49">
        <v>3.3929999999999998</v>
      </c>
      <c r="AC221" s="49">
        <v>3.4293</v>
      </c>
      <c r="AD221" s="49">
        <v>-0.35580000000000001</v>
      </c>
      <c r="AE221" s="49">
        <v>-0.31290000000000001</v>
      </c>
      <c r="AH221" s="16">
        <f t="shared" si="21"/>
        <v>19980228</v>
      </c>
      <c r="AI221" s="16">
        <f t="shared" si="22"/>
        <v>0.2248</v>
      </c>
      <c r="AJ221" s="16">
        <f t="shared" si="23"/>
        <v>7.2564000000000011</v>
      </c>
      <c r="AK221" s="16">
        <f t="shared" si="24"/>
        <v>8.1770000000000014</v>
      </c>
      <c r="AL221" s="16">
        <v>0.95</v>
      </c>
      <c r="AM221" s="17">
        <f t="shared" si="25"/>
        <v>0.14563333333333334</v>
      </c>
      <c r="AN221" s="17">
        <f t="shared" si="26"/>
        <v>7.2564000000000011</v>
      </c>
      <c r="AO221" s="17">
        <f t="shared" si="27"/>
        <v>8.1770000000000014</v>
      </c>
    </row>
    <row r="222" spans="1:41">
      <c r="A222" s="49">
        <v>19980331</v>
      </c>
      <c r="B222" s="49">
        <v>-1.0177</v>
      </c>
      <c r="C222" s="49">
        <v>-0.50449999999999995</v>
      </c>
      <c r="D222" s="49">
        <v>-1.3822000000000001</v>
      </c>
      <c r="E222" s="49">
        <v>-0.73240000000000005</v>
      </c>
      <c r="F222" s="49">
        <v>-0.65459999999999996</v>
      </c>
      <c r="G222" s="49">
        <v>-0.28149999999999997</v>
      </c>
      <c r="H222" s="49">
        <v>-0.61450000000000005</v>
      </c>
      <c r="I222" s="49">
        <v>-0.1242</v>
      </c>
      <c r="J222" s="49">
        <v>-0.73960000000000004</v>
      </c>
      <c r="K222" s="49">
        <v>-0.1145</v>
      </c>
      <c r="L222" s="49">
        <v>-0.50680000000000003</v>
      </c>
      <c r="M222" s="49">
        <v>-0.1356</v>
      </c>
      <c r="N222" s="49">
        <v>-4.0133999999999999</v>
      </c>
      <c r="O222" s="49">
        <v>-3.3361999999999998</v>
      </c>
      <c r="P222" s="49">
        <v>-4.2549000000000001</v>
      </c>
      <c r="Q222" s="49">
        <v>-3.4977999999999998</v>
      </c>
      <c r="R222" s="49">
        <v>-3.2092999999999998</v>
      </c>
      <c r="S222" s="49">
        <v>-2.8048000000000002</v>
      </c>
      <c r="T222" s="49">
        <v>6.5000000000000002E-2</v>
      </c>
      <c r="U222" s="49">
        <v>0.50170000000000003</v>
      </c>
      <c r="V222" s="49">
        <v>1.0316000000000001</v>
      </c>
      <c r="W222" s="49">
        <v>1.6241000000000001</v>
      </c>
      <c r="X222" s="49">
        <v>-0.4889</v>
      </c>
      <c r="Y222" s="49">
        <v>-0.14299999999999999</v>
      </c>
      <c r="Z222" s="49">
        <v>-1.9127000000000001</v>
      </c>
      <c r="AA222" s="49">
        <v>-1.3224</v>
      </c>
      <c r="AB222" s="49">
        <v>-2.6324999999999998</v>
      </c>
      <c r="AC222" s="49">
        <v>-1.9736</v>
      </c>
      <c r="AD222" s="49">
        <v>-0.56859999999999999</v>
      </c>
      <c r="AE222" s="49">
        <v>-0.11020000000000001</v>
      </c>
      <c r="AH222" s="16">
        <f t="shared" si="21"/>
        <v>19980331</v>
      </c>
      <c r="AI222" s="16">
        <f t="shared" si="22"/>
        <v>-0.50449999999999995</v>
      </c>
      <c r="AJ222" s="16">
        <f t="shared" si="23"/>
        <v>-0.67189999999999961</v>
      </c>
      <c r="AK222" s="16">
        <f t="shared" si="24"/>
        <v>-6.0525000000000002</v>
      </c>
      <c r="AL222" s="16">
        <v>1.05</v>
      </c>
      <c r="AM222" s="17">
        <f t="shared" si="25"/>
        <v>-0.59199999999999997</v>
      </c>
      <c r="AN222" s="17">
        <f t="shared" si="26"/>
        <v>-0.67189999999999961</v>
      </c>
      <c r="AO222" s="17">
        <f t="shared" si="27"/>
        <v>-6.0525000000000002</v>
      </c>
    </row>
    <row r="223" spans="1:41">
      <c r="A223" s="49">
        <v>19980430</v>
      </c>
      <c r="B223" s="49">
        <v>-1.8311999999999999</v>
      </c>
      <c r="C223" s="49">
        <v>-1.8304</v>
      </c>
      <c r="D223" s="49">
        <v>-3.7244999999999999</v>
      </c>
      <c r="E223" s="49">
        <v>-3.7237</v>
      </c>
      <c r="F223" s="49">
        <v>4.2099999999999999E-2</v>
      </c>
      <c r="G223" s="49">
        <v>4.2900000000000001E-2</v>
      </c>
      <c r="H223" s="49">
        <v>-1.5073000000000001</v>
      </c>
      <c r="I223" s="49">
        <v>-1.5066999999999999</v>
      </c>
      <c r="J223" s="49">
        <v>-3.3370000000000002</v>
      </c>
      <c r="K223" s="49">
        <v>-3.3361000000000001</v>
      </c>
      <c r="L223" s="49">
        <v>6.5699999999999995E-2</v>
      </c>
      <c r="M223" s="49">
        <v>6.6100000000000006E-2</v>
      </c>
      <c r="N223" s="49">
        <v>-4.3231000000000002</v>
      </c>
      <c r="O223" s="49">
        <v>-4.3209</v>
      </c>
      <c r="P223" s="49">
        <v>-5.5206</v>
      </c>
      <c r="Q223" s="49">
        <v>-5.5202999999999998</v>
      </c>
      <c r="R223" s="49">
        <v>-0.37790000000000001</v>
      </c>
      <c r="S223" s="49">
        <v>-0.36930000000000002</v>
      </c>
      <c r="T223" s="49">
        <v>-0.34029999999999999</v>
      </c>
      <c r="U223" s="49">
        <v>-0.34029999999999999</v>
      </c>
      <c r="V223" s="49">
        <v>-1.8310999999999999</v>
      </c>
      <c r="W223" s="49">
        <v>-1.8310999999999999</v>
      </c>
      <c r="X223" s="49">
        <v>0.52690000000000003</v>
      </c>
      <c r="Y223" s="49">
        <v>0.52690000000000003</v>
      </c>
      <c r="Z223" s="49">
        <v>-3.7793999999999999</v>
      </c>
      <c r="AA223" s="49">
        <v>-3.7776000000000001</v>
      </c>
      <c r="AB223" s="49">
        <v>-5.0049999999999999</v>
      </c>
      <c r="AC223" s="49">
        <v>-5.0030999999999999</v>
      </c>
      <c r="AD223" s="49">
        <v>-1.5392999999999999</v>
      </c>
      <c r="AE223" s="49">
        <v>-1.5376000000000001</v>
      </c>
      <c r="AH223" s="16">
        <f t="shared" si="21"/>
        <v>19980430</v>
      </c>
      <c r="AI223" s="16">
        <f t="shared" si="22"/>
        <v>-1.8304</v>
      </c>
      <c r="AJ223" s="16">
        <f t="shared" si="23"/>
        <v>-8.5532000000000004</v>
      </c>
      <c r="AK223" s="16">
        <f t="shared" si="24"/>
        <v>-2.6195999999999997</v>
      </c>
      <c r="AL223" s="16">
        <v>0.72</v>
      </c>
      <c r="AM223" s="17">
        <f t="shared" si="25"/>
        <v>-1.8904000000000001</v>
      </c>
      <c r="AN223" s="17">
        <f t="shared" si="26"/>
        <v>-8.5532000000000004</v>
      </c>
      <c r="AO223" s="17">
        <f t="shared" si="27"/>
        <v>-2.6195999999999997</v>
      </c>
    </row>
    <row r="224" spans="1:41">
      <c r="A224" s="49">
        <v>19980531</v>
      </c>
      <c r="B224" s="49">
        <v>0.1956</v>
      </c>
      <c r="C224" s="49">
        <v>0.19489999999999999</v>
      </c>
      <c r="D224" s="49">
        <v>0.19520000000000001</v>
      </c>
      <c r="E224" s="49">
        <v>0.19159999999999999</v>
      </c>
      <c r="F224" s="49">
        <v>0.19589999999999999</v>
      </c>
      <c r="G224" s="49">
        <v>0.19789999999999999</v>
      </c>
      <c r="H224" s="49">
        <v>0.1714</v>
      </c>
      <c r="I224" s="49">
        <v>0.16919999999999999</v>
      </c>
      <c r="J224" s="49">
        <v>0.22489999999999999</v>
      </c>
      <c r="K224" s="49">
        <v>0.2185</v>
      </c>
      <c r="L224" s="49">
        <v>0.127</v>
      </c>
      <c r="M224" s="49">
        <v>0.12820000000000001</v>
      </c>
      <c r="N224" s="49">
        <v>0.38650000000000001</v>
      </c>
      <c r="O224" s="49">
        <v>0.39829999999999999</v>
      </c>
      <c r="P224" s="49">
        <v>5.4100000000000002E-2</v>
      </c>
      <c r="Q224" s="49">
        <v>6.4199999999999993E-2</v>
      </c>
      <c r="R224" s="49">
        <v>1.4248000000000001</v>
      </c>
      <c r="S224" s="49">
        <v>1.4419</v>
      </c>
      <c r="T224" s="49">
        <v>-0.37280000000000002</v>
      </c>
      <c r="U224" s="49">
        <v>-0.377</v>
      </c>
      <c r="V224" s="49">
        <v>-0.34429999999999999</v>
      </c>
      <c r="W224" s="49">
        <v>-0.3574</v>
      </c>
      <c r="X224" s="49">
        <v>-0.38929999999999998</v>
      </c>
      <c r="Y224" s="49">
        <v>-0.38850000000000001</v>
      </c>
      <c r="Z224" s="49">
        <v>1.2686999999999999</v>
      </c>
      <c r="AA224" s="49">
        <v>1.2704</v>
      </c>
      <c r="AB224" s="49">
        <v>0.87629999999999997</v>
      </c>
      <c r="AC224" s="49">
        <v>0.87770000000000004</v>
      </c>
      <c r="AD224" s="49">
        <v>1.9596</v>
      </c>
      <c r="AE224" s="49">
        <v>1.9619</v>
      </c>
      <c r="AH224" s="16">
        <f t="shared" si="21"/>
        <v>19980531</v>
      </c>
      <c r="AI224" s="16">
        <f t="shared" si="22"/>
        <v>0.19489999999999999</v>
      </c>
      <c r="AJ224" s="16">
        <f t="shared" si="23"/>
        <v>-1.2873999999999999</v>
      </c>
      <c r="AK224" s="16">
        <f t="shared" si="24"/>
        <v>1.1594</v>
      </c>
      <c r="AL224" s="16">
        <v>0.59</v>
      </c>
      <c r="AM224" s="17">
        <f t="shared" si="25"/>
        <v>0.14573333333333333</v>
      </c>
      <c r="AN224" s="17">
        <f t="shared" si="26"/>
        <v>-1.2873999999999999</v>
      </c>
      <c r="AO224" s="17">
        <f t="shared" si="27"/>
        <v>1.1594</v>
      </c>
    </row>
    <row r="225" spans="1:41">
      <c r="A225" s="49">
        <v>19980630</v>
      </c>
      <c r="B225" s="49">
        <v>1.0973999999999999</v>
      </c>
      <c r="C225" s="49">
        <v>1.1238999999999999</v>
      </c>
      <c r="D225" s="49">
        <v>1.7853000000000001</v>
      </c>
      <c r="E225" s="49">
        <v>1.8029999999999999</v>
      </c>
      <c r="F225" s="49">
        <v>0.44330000000000003</v>
      </c>
      <c r="G225" s="49">
        <v>0.47789999999999999</v>
      </c>
      <c r="H225" s="49">
        <v>1.1164000000000001</v>
      </c>
      <c r="I225" s="49">
        <v>1.1447000000000001</v>
      </c>
      <c r="J225" s="49">
        <v>1.8867</v>
      </c>
      <c r="K225" s="49">
        <v>1.9086000000000001</v>
      </c>
      <c r="L225" s="49">
        <v>0.47689999999999999</v>
      </c>
      <c r="M225" s="49">
        <v>0.51039999999999996</v>
      </c>
      <c r="N225" s="49">
        <v>0.94779999999999998</v>
      </c>
      <c r="O225" s="49">
        <v>0.95950000000000002</v>
      </c>
      <c r="P225" s="49">
        <v>1.3038000000000001</v>
      </c>
      <c r="Q225" s="49">
        <v>1.3019000000000001</v>
      </c>
      <c r="R225" s="49">
        <v>-0.14760000000000001</v>
      </c>
      <c r="S225" s="49">
        <v>-9.4500000000000001E-2</v>
      </c>
      <c r="T225" s="49">
        <v>1.5319</v>
      </c>
      <c r="U225" s="49">
        <v>1.5569</v>
      </c>
      <c r="V225" s="49">
        <v>2.2913000000000001</v>
      </c>
      <c r="W225" s="49">
        <v>2.3132999999999999</v>
      </c>
      <c r="X225" s="49">
        <v>1.101</v>
      </c>
      <c r="Y225" s="49">
        <v>1.1276999999999999</v>
      </c>
      <c r="Z225" s="49">
        <v>0.29210000000000003</v>
      </c>
      <c r="AA225" s="49">
        <v>0.32690000000000002</v>
      </c>
      <c r="AB225" s="49">
        <v>1.4291</v>
      </c>
      <c r="AC225" s="49">
        <v>1.4508000000000001</v>
      </c>
      <c r="AD225" s="49">
        <v>-1.6881999999999999</v>
      </c>
      <c r="AE225" s="49">
        <v>-1.6314</v>
      </c>
      <c r="AH225" s="16">
        <f t="shared" si="21"/>
        <v>19980630</v>
      </c>
      <c r="AI225" s="16">
        <f t="shared" si="22"/>
        <v>1.1238999999999999</v>
      </c>
      <c r="AJ225" s="16">
        <f t="shared" si="23"/>
        <v>2.7946</v>
      </c>
      <c r="AK225" s="16">
        <f t="shared" si="24"/>
        <v>-1.2116</v>
      </c>
      <c r="AL225" s="16">
        <v>0.55000000000000004</v>
      </c>
      <c r="AM225" s="17">
        <f t="shared" si="25"/>
        <v>1.0780666666666665</v>
      </c>
      <c r="AN225" s="17">
        <f t="shared" si="26"/>
        <v>2.7946</v>
      </c>
      <c r="AO225" s="17">
        <f t="shared" si="27"/>
        <v>-1.2116</v>
      </c>
    </row>
    <row r="226" spans="1:41">
      <c r="A226" s="49">
        <v>19980731</v>
      </c>
      <c r="B226" s="49">
        <v>3.1585000000000001</v>
      </c>
      <c r="C226" s="49">
        <v>3.1617999999999999</v>
      </c>
      <c r="D226" s="49">
        <v>2.1602000000000001</v>
      </c>
      <c r="E226" s="49">
        <v>2.1663000000000001</v>
      </c>
      <c r="F226" s="49">
        <v>4.1197999999999997</v>
      </c>
      <c r="G226" s="49">
        <v>4.1204000000000001</v>
      </c>
      <c r="H226" s="49">
        <v>3.1911999999999998</v>
      </c>
      <c r="I226" s="49">
        <v>3.1939000000000002</v>
      </c>
      <c r="J226" s="49">
        <v>2.1305999999999998</v>
      </c>
      <c r="K226" s="49">
        <v>2.1366000000000001</v>
      </c>
      <c r="L226" s="49">
        <v>4.0831999999999997</v>
      </c>
      <c r="M226" s="49">
        <v>4.0831999999999997</v>
      </c>
      <c r="N226" s="49">
        <v>2.9009999999999998</v>
      </c>
      <c r="O226" s="49">
        <v>2.9089999999999998</v>
      </c>
      <c r="P226" s="49">
        <v>2.3035000000000001</v>
      </c>
      <c r="Q226" s="49">
        <v>2.3102999999999998</v>
      </c>
      <c r="R226" s="49">
        <v>4.7682000000000002</v>
      </c>
      <c r="S226" s="49">
        <v>4.7798999999999996</v>
      </c>
      <c r="T226" s="49">
        <v>3.1000999999999999</v>
      </c>
      <c r="U226" s="49">
        <v>3.1038999999999999</v>
      </c>
      <c r="V226" s="49">
        <v>2.1518999999999999</v>
      </c>
      <c r="W226" s="49">
        <v>2.1625999999999999</v>
      </c>
      <c r="X226" s="49">
        <v>3.6440999999999999</v>
      </c>
      <c r="Y226" s="49">
        <v>3.6440999999999999</v>
      </c>
      <c r="Z226" s="49">
        <v>3.3742000000000001</v>
      </c>
      <c r="AA226" s="49">
        <v>3.3746999999999998</v>
      </c>
      <c r="AB226" s="49">
        <v>2.1061999999999999</v>
      </c>
      <c r="AC226" s="49">
        <v>2.1070000000000002</v>
      </c>
      <c r="AD226" s="49">
        <v>5.6486999999999998</v>
      </c>
      <c r="AE226" s="49">
        <v>5.6486999999999998</v>
      </c>
      <c r="AH226" s="16">
        <f t="shared" si="21"/>
        <v>19980731</v>
      </c>
      <c r="AI226" s="16">
        <f t="shared" si="22"/>
        <v>3.1617999999999999</v>
      </c>
      <c r="AJ226" s="16">
        <f t="shared" si="23"/>
        <v>-4.4161999999999999</v>
      </c>
      <c r="AK226" s="16">
        <f t="shared" si="24"/>
        <v>0.87040000000000006</v>
      </c>
      <c r="AL226" s="16">
        <v>0.75</v>
      </c>
      <c r="AM226" s="17">
        <f t="shared" si="25"/>
        <v>3.0992999999999999</v>
      </c>
      <c r="AN226" s="17">
        <f t="shared" si="26"/>
        <v>-4.4161999999999999</v>
      </c>
      <c r="AO226" s="17">
        <f t="shared" si="27"/>
        <v>0.87040000000000006</v>
      </c>
    </row>
    <row r="227" spans="1:41">
      <c r="A227" s="49">
        <v>19980831</v>
      </c>
      <c r="B227" s="49">
        <v>-11.490399999999999</v>
      </c>
      <c r="C227" s="49">
        <v>-11.477</v>
      </c>
      <c r="D227" s="49">
        <v>-11.757999999999999</v>
      </c>
      <c r="E227" s="49">
        <v>-11.7418</v>
      </c>
      <c r="F227" s="49">
        <v>-11.2371</v>
      </c>
      <c r="G227" s="49">
        <v>-11.2262</v>
      </c>
      <c r="H227" s="49">
        <v>-11.595599999999999</v>
      </c>
      <c r="I227" s="49">
        <v>-11.584</v>
      </c>
      <c r="J227" s="49">
        <v>-11.848000000000001</v>
      </c>
      <c r="K227" s="49">
        <v>-11.8337</v>
      </c>
      <c r="L227" s="49">
        <v>-11.386699999999999</v>
      </c>
      <c r="M227" s="49">
        <v>-11.3773</v>
      </c>
      <c r="N227" s="49">
        <v>-10.6569</v>
      </c>
      <c r="O227" s="49">
        <v>-10.629300000000001</v>
      </c>
      <c r="P227" s="49">
        <v>-11.329700000000001</v>
      </c>
      <c r="Q227" s="49">
        <v>-11.3047</v>
      </c>
      <c r="R227" s="49">
        <v>-8.6033000000000008</v>
      </c>
      <c r="S227" s="49">
        <v>-8.5675000000000008</v>
      </c>
      <c r="T227" s="49">
        <v>-12.241199999999999</v>
      </c>
      <c r="U227" s="49">
        <v>-12.2347</v>
      </c>
      <c r="V227" s="49">
        <v>-12.2395</v>
      </c>
      <c r="W227" s="49">
        <v>-12.2294</v>
      </c>
      <c r="X227" s="49">
        <v>-12.242100000000001</v>
      </c>
      <c r="Y227" s="49">
        <v>-12.2376</v>
      </c>
      <c r="Z227" s="49">
        <v>-10.3027</v>
      </c>
      <c r="AA227" s="49">
        <v>-10.2807</v>
      </c>
      <c r="AB227" s="49">
        <v>-11.402799999999999</v>
      </c>
      <c r="AC227" s="49">
        <v>-11.383800000000001</v>
      </c>
      <c r="AD227" s="49">
        <v>-8.3945000000000007</v>
      </c>
      <c r="AE227" s="49">
        <v>-8.3674999999999997</v>
      </c>
      <c r="AH227" s="16">
        <f t="shared" si="21"/>
        <v>19980831</v>
      </c>
      <c r="AI227" s="16">
        <f t="shared" si="22"/>
        <v>-11.477</v>
      </c>
      <c r="AJ227" s="16">
        <f t="shared" si="23"/>
        <v>-3.1936</v>
      </c>
      <c r="AK227" s="16">
        <f t="shared" si="24"/>
        <v>3.3387999999999991</v>
      </c>
      <c r="AL227" s="16">
        <v>0.69</v>
      </c>
      <c r="AM227" s="17">
        <f t="shared" si="25"/>
        <v>-11.5345</v>
      </c>
      <c r="AN227" s="17">
        <f t="shared" si="26"/>
        <v>-3.1936</v>
      </c>
      <c r="AO227" s="17">
        <f t="shared" si="27"/>
        <v>3.3387999999999991</v>
      </c>
    </row>
    <row r="228" spans="1:41">
      <c r="A228" s="49">
        <v>19980930</v>
      </c>
      <c r="B228" s="49">
        <v>-5.7607999999999997</v>
      </c>
      <c r="C228" s="49">
        <v>-5.3860999999999999</v>
      </c>
      <c r="D228" s="49">
        <v>-6.2778999999999998</v>
      </c>
      <c r="E228" s="49">
        <v>-5.8323</v>
      </c>
      <c r="F228" s="49">
        <v>-5.2762000000000002</v>
      </c>
      <c r="G228" s="49">
        <v>-4.9687000000000001</v>
      </c>
      <c r="H228" s="49">
        <v>-5.4744000000000002</v>
      </c>
      <c r="I228" s="49">
        <v>-5.1045999999999996</v>
      </c>
      <c r="J228" s="49">
        <v>-5.8978000000000002</v>
      </c>
      <c r="K228" s="49">
        <v>-5.4581999999999997</v>
      </c>
      <c r="L228" s="49">
        <v>-5.1273</v>
      </c>
      <c r="M228" s="49">
        <v>-4.8152999999999997</v>
      </c>
      <c r="N228" s="49">
        <v>-8.0112000000000005</v>
      </c>
      <c r="O228" s="49">
        <v>-7.5982000000000003</v>
      </c>
      <c r="P228" s="49">
        <v>-8.0787999999999993</v>
      </c>
      <c r="Q228" s="49">
        <v>-7.6048999999999998</v>
      </c>
      <c r="R228" s="49">
        <v>-7.8136000000000001</v>
      </c>
      <c r="S228" s="49">
        <v>-7.5815999999999999</v>
      </c>
      <c r="T228" s="49">
        <v>-5.8018000000000001</v>
      </c>
      <c r="U228" s="49">
        <v>-5.4390999999999998</v>
      </c>
      <c r="V228" s="49">
        <v>-6.8811</v>
      </c>
      <c r="W228" s="49">
        <v>-6.4485999999999999</v>
      </c>
      <c r="X228" s="49">
        <v>-5.1917</v>
      </c>
      <c r="Y228" s="49">
        <v>-4.8688000000000002</v>
      </c>
      <c r="Z228" s="49">
        <v>-4.8331999999999997</v>
      </c>
      <c r="AA228" s="49">
        <v>-4.4494999999999996</v>
      </c>
      <c r="AB228" s="49">
        <v>-4.7847</v>
      </c>
      <c r="AC228" s="49">
        <v>-4.3371000000000004</v>
      </c>
      <c r="AD228" s="49">
        <v>-4.9124999999999996</v>
      </c>
      <c r="AE228" s="49">
        <v>-4.6369999999999996</v>
      </c>
      <c r="AH228" s="16">
        <f t="shared" si="21"/>
        <v>19980930</v>
      </c>
      <c r="AI228" s="16">
        <f t="shared" si="22"/>
        <v>-5.3860999999999999</v>
      </c>
      <c r="AJ228" s="16">
        <f t="shared" si="23"/>
        <v>-0.6661999999999999</v>
      </c>
      <c r="AK228" s="16">
        <f t="shared" si="24"/>
        <v>-4.9130000000000003</v>
      </c>
      <c r="AL228" s="16">
        <v>0.81</v>
      </c>
      <c r="AM228" s="17">
        <f t="shared" si="25"/>
        <v>-5.4535999999999998</v>
      </c>
      <c r="AN228" s="17">
        <f t="shared" si="26"/>
        <v>-0.6661999999999999</v>
      </c>
      <c r="AO228" s="17">
        <f t="shared" si="27"/>
        <v>-4.9130000000000003</v>
      </c>
    </row>
    <row r="229" spans="1:41">
      <c r="A229" s="49">
        <v>19981031</v>
      </c>
      <c r="B229" s="49">
        <v>-1.8488</v>
      </c>
      <c r="C229" s="49">
        <v>-1.8472999999999999</v>
      </c>
      <c r="D229" s="49">
        <v>0.48359999999999997</v>
      </c>
      <c r="E229" s="49">
        <v>0.48659999999999998</v>
      </c>
      <c r="F229" s="49">
        <v>-4.0171000000000001</v>
      </c>
      <c r="G229" s="49">
        <v>-4.0170000000000003</v>
      </c>
      <c r="H229" s="49">
        <v>-1.6297999999999999</v>
      </c>
      <c r="I229" s="49">
        <v>-1.6294999999999999</v>
      </c>
      <c r="J229" s="49">
        <v>1.2898000000000001</v>
      </c>
      <c r="K229" s="49">
        <v>1.2905</v>
      </c>
      <c r="L229" s="49">
        <v>-4.0094000000000003</v>
      </c>
      <c r="M229" s="49">
        <v>-4.0094000000000003</v>
      </c>
      <c r="N229" s="49">
        <v>-3.6173000000000002</v>
      </c>
      <c r="O229" s="49">
        <v>-3.6063000000000001</v>
      </c>
      <c r="P229" s="49">
        <v>-3.4350000000000001</v>
      </c>
      <c r="Q229" s="49">
        <v>-3.4211</v>
      </c>
      <c r="R229" s="49">
        <v>-4.1524000000000001</v>
      </c>
      <c r="S229" s="49">
        <v>-4.1497999999999999</v>
      </c>
      <c r="T229" s="49">
        <v>-1.6914</v>
      </c>
      <c r="U229" s="49">
        <v>-1.6914</v>
      </c>
      <c r="V229" s="49">
        <v>2.8391999999999999</v>
      </c>
      <c r="W229" s="49">
        <v>2.8391999999999999</v>
      </c>
      <c r="X229" s="49">
        <v>-4.2107000000000001</v>
      </c>
      <c r="Y229" s="49">
        <v>-4.2107000000000001</v>
      </c>
      <c r="Z229" s="49">
        <v>-1.5095000000000001</v>
      </c>
      <c r="AA229" s="49">
        <v>-1.5085999999999999</v>
      </c>
      <c r="AB229" s="49">
        <v>-0.4249</v>
      </c>
      <c r="AC229" s="49">
        <v>-0.4234</v>
      </c>
      <c r="AD229" s="49">
        <v>-3.335</v>
      </c>
      <c r="AE229" s="49">
        <v>-3.3349000000000002</v>
      </c>
      <c r="AH229" s="16">
        <f t="shared" si="21"/>
        <v>19981031</v>
      </c>
      <c r="AI229" s="16">
        <f t="shared" si="22"/>
        <v>-1.8472999999999999</v>
      </c>
      <c r="AJ229" s="16">
        <f t="shared" si="23"/>
        <v>6.0286</v>
      </c>
      <c r="AK229" s="16">
        <f t="shared" si="24"/>
        <v>-4.8519999999999994</v>
      </c>
      <c r="AL229" s="16">
        <v>0.42</v>
      </c>
      <c r="AM229" s="17">
        <f t="shared" si="25"/>
        <v>-1.8822999999999999</v>
      </c>
      <c r="AN229" s="17">
        <f t="shared" si="26"/>
        <v>6.0286</v>
      </c>
      <c r="AO229" s="17">
        <f t="shared" si="27"/>
        <v>-4.8519999999999994</v>
      </c>
    </row>
    <row r="230" spans="1:41">
      <c r="A230" s="49">
        <v>19981130</v>
      </c>
      <c r="B230" s="49">
        <v>10.013500000000001</v>
      </c>
      <c r="C230" s="49">
        <v>10.014200000000001</v>
      </c>
      <c r="D230" s="49">
        <v>9.3637999999999995</v>
      </c>
      <c r="E230" s="49">
        <v>9.3653999999999993</v>
      </c>
      <c r="F230" s="49">
        <v>10.645300000000001</v>
      </c>
      <c r="G230" s="49">
        <v>10.6449</v>
      </c>
      <c r="H230" s="49">
        <v>9.7937999999999992</v>
      </c>
      <c r="I230" s="49">
        <v>9.7931000000000008</v>
      </c>
      <c r="J230" s="49">
        <v>8.8119999999999994</v>
      </c>
      <c r="K230" s="49">
        <v>8.8120999999999992</v>
      </c>
      <c r="L230" s="49">
        <v>10.6372</v>
      </c>
      <c r="M230" s="49">
        <v>10.6358</v>
      </c>
      <c r="N230" s="49">
        <v>11.8255</v>
      </c>
      <c r="O230" s="49">
        <v>11.8378</v>
      </c>
      <c r="P230" s="49">
        <v>12.1762</v>
      </c>
      <c r="Q230" s="49">
        <v>12.186199999999999</v>
      </c>
      <c r="R230" s="49">
        <v>10.7874</v>
      </c>
      <c r="S230" s="49">
        <v>10.8066</v>
      </c>
      <c r="T230" s="49">
        <v>10.416700000000001</v>
      </c>
      <c r="U230" s="49">
        <v>10.414999999999999</v>
      </c>
      <c r="V230" s="49">
        <v>9.8634000000000004</v>
      </c>
      <c r="W230" s="49">
        <v>9.8634000000000004</v>
      </c>
      <c r="X230" s="49">
        <v>10.746499999999999</v>
      </c>
      <c r="Y230" s="49">
        <v>10.7438</v>
      </c>
      <c r="Z230" s="49">
        <v>8.5855999999999995</v>
      </c>
      <c r="AA230" s="49">
        <v>8.5869</v>
      </c>
      <c r="AB230" s="49">
        <v>7.6105999999999998</v>
      </c>
      <c r="AC230" s="49">
        <v>7.6109</v>
      </c>
      <c r="AD230" s="49">
        <v>10.274800000000001</v>
      </c>
      <c r="AE230" s="49">
        <v>10.277900000000001</v>
      </c>
      <c r="AH230" s="16">
        <f t="shared" si="21"/>
        <v>19981130</v>
      </c>
      <c r="AI230" s="16">
        <f t="shared" si="22"/>
        <v>10.014200000000001</v>
      </c>
      <c r="AJ230" s="16">
        <f t="shared" si="23"/>
        <v>-0.44410000000000061</v>
      </c>
      <c r="AK230" s="16">
        <f t="shared" si="24"/>
        <v>3.5449000000000019</v>
      </c>
      <c r="AL230" s="16">
        <v>0.47</v>
      </c>
      <c r="AM230" s="17">
        <f t="shared" si="25"/>
        <v>9.9750333333333341</v>
      </c>
      <c r="AN230" s="17">
        <f t="shared" si="26"/>
        <v>-0.44410000000000061</v>
      </c>
      <c r="AO230" s="17">
        <f t="shared" si="27"/>
        <v>3.5449000000000019</v>
      </c>
    </row>
    <row r="231" spans="1:41">
      <c r="A231" s="49">
        <v>19981231</v>
      </c>
      <c r="B231" s="49">
        <v>-4.1946000000000003</v>
      </c>
      <c r="C231" s="49">
        <v>-4.1817000000000002</v>
      </c>
      <c r="D231" s="49">
        <v>-4.1189999999999998</v>
      </c>
      <c r="E231" s="49">
        <v>-4.1161000000000003</v>
      </c>
      <c r="F231" s="49">
        <v>-4.2675000000000001</v>
      </c>
      <c r="G231" s="49">
        <v>-4.2450999999999999</v>
      </c>
      <c r="H231" s="49">
        <v>-4.0837000000000003</v>
      </c>
      <c r="I231" s="49">
        <v>-4.0721999999999996</v>
      </c>
      <c r="J231" s="49">
        <v>-3.7517</v>
      </c>
      <c r="K231" s="49">
        <v>-3.7523</v>
      </c>
      <c r="L231" s="49">
        <v>-4.3650000000000002</v>
      </c>
      <c r="M231" s="49">
        <v>-4.3433000000000002</v>
      </c>
      <c r="N231" s="49">
        <v>-5.0917000000000003</v>
      </c>
      <c r="O231" s="49">
        <v>-5.0671999999999997</v>
      </c>
      <c r="P231" s="49">
        <v>-5.9352999999999998</v>
      </c>
      <c r="Q231" s="49">
        <v>-5.9141000000000004</v>
      </c>
      <c r="R231" s="49">
        <v>-2.5613999999999999</v>
      </c>
      <c r="S231" s="49">
        <v>-2.5261999999999998</v>
      </c>
      <c r="T231" s="49">
        <v>-4.0555000000000003</v>
      </c>
      <c r="U231" s="49">
        <v>-4.0460000000000003</v>
      </c>
      <c r="V231" s="49">
        <v>-2.8589000000000002</v>
      </c>
      <c r="W231" s="49">
        <v>-2.8530000000000002</v>
      </c>
      <c r="X231" s="49">
        <v>-4.7628000000000004</v>
      </c>
      <c r="Y231" s="49">
        <v>-4.7511999999999999</v>
      </c>
      <c r="Z231" s="49">
        <v>-4.1403999999999996</v>
      </c>
      <c r="AA231" s="49">
        <v>-4.1249000000000002</v>
      </c>
      <c r="AB231" s="49">
        <v>-4.7893999999999997</v>
      </c>
      <c r="AC231" s="49">
        <v>-4.7973999999999997</v>
      </c>
      <c r="AD231" s="49">
        <v>-3.0274000000000001</v>
      </c>
      <c r="AE231" s="49">
        <v>-2.9716</v>
      </c>
      <c r="AH231" s="16">
        <f t="shared" si="21"/>
        <v>19981231</v>
      </c>
      <c r="AI231" s="16">
        <f t="shared" si="22"/>
        <v>-4.1817000000000002</v>
      </c>
      <c r="AJ231" s="16">
        <f t="shared" si="23"/>
        <v>-2.7969000000000004</v>
      </c>
      <c r="AK231" s="16">
        <f t="shared" si="24"/>
        <v>-0.34469999999999956</v>
      </c>
      <c r="AL231" s="16">
        <v>0.87</v>
      </c>
      <c r="AM231" s="17">
        <f t="shared" si="25"/>
        <v>-4.2542</v>
      </c>
      <c r="AN231" s="17">
        <f t="shared" si="26"/>
        <v>-2.7969000000000004</v>
      </c>
      <c r="AO231" s="17">
        <f t="shared" si="27"/>
        <v>-0.34469999999999956</v>
      </c>
    </row>
    <row r="232" spans="1:41">
      <c r="A232" s="49">
        <v>19990131</v>
      </c>
      <c r="B232" s="49">
        <v>2.7988</v>
      </c>
      <c r="C232" s="49">
        <v>2.8071999999999999</v>
      </c>
      <c r="D232" s="49">
        <v>3.1113</v>
      </c>
      <c r="E232" s="49">
        <v>3.1181999999999999</v>
      </c>
      <c r="F232" s="49">
        <v>2.5041000000000002</v>
      </c>
      <c r="G232" s="49">
        <v>2.5139</v>
      </c>
      <c r="H232" s="49">
        <v>2.7317</v>
      </c>
      <c r="I232" s="49">
        <v>2.7403</v>
      </c>
      <c r="J232" s="49">
        <v>3.1459999999999999</v>
      </c>
      <c r="K232" s="49">
        <v>3.1532</v>
      </c>
      <c r="L232" s="49">
        <v>2.3908999999999998</v>
      </c>
      <c r="M232" s="49">
        <v>2.4005999999999998</v>
      </c>
      <c r="N232" s="49">
        <v>3.3784000000000001</v>
      </c>
      <c r="O232" s="49">
        <v>3.3845999999999998</v>
      </c>
      <c r="P232" s="49">
        <v>2.9378000000000002</v>
      </c>
      <c r="Q232" s="49">
        <v>2.9426000000000001</v>
      </c>
      <c r="R232" s="49">
        <v>4.9358000000000004</v>
      </c>
      <c r="S232" s="49">
        <v>4.9469000000000003</v>
      </c>
      <c r="T232" s="49">
        <v>3.1057999999999999</v>
      </c>
      <c r="U232" s="49">
        <v>3.1164000000000001</v>
      </c>
      <c r="V232" s="49">
        <v>4.1201999999999996</v>
      </c>
      <c r="W232" s="49">
        <v>4.1317000000000004</v>
      </c>
      <c r="X232" s="49">
        <v>2.5232999999999999</v>
      </c>
      <c r="Y232" s="49">
        <v>2.5333000000000001</v>
      </c>
      <c r="Z232" s="49">
        <v>1.9856</v>
      </c>
      <c r="AA232" s="49">
        <v>1.9903</v>
      </c>
      <c r="AB232" s="49">
        <v>2.0099</v>
      </c>
      <c r="AC232" s="49">
        <v>2.0122</v>
      </c>
      <c r="AD232" s="49">
        <v>1.9452</v>
      </c>
      <c r="AE232" s="49">
        <v>1.9538</v>
      </c>
      <c r="AH232" s="16">
        <f t="shared" si="21"/>
        <v>19990131</v>
      </c>
      <c r="AI232" s="16">
        <f t="shared" si="22"/>
        <v>2.8071999999999999</v>
      </c>
      <c r="AJ232" s="16">
        <f t="shared" si="23"/>
        <v>-1.2517</v>
      </c>
      <c r="AK232" s="16">
        <f t="shared" si="24"/>
        <v>2.3357000000000001</v>
      </c>
      <c r="AL232" s="16">
        <v>0.54</v>
      </c>
      <c r="AM232" s="17">
        <f t="shared" si="25"/>
        <v>2.7622</v>
      </c>
      <c r="AN232" s="17">
        <f t="shared" si="26"/>
        <v>-1.2517</v>
      </c>
      <c r="AO232" s="17">
        <f t="shared" si="27"/>
        <v>2.3357000000000001</v>
      </c>
    </row>
    <row r="233" spans="1:41">
      <c r="A233" s="49">
        <v>19990228</v>
      </c>
      <c r="B233" s="49">
        <v>-0.42509999999999998</v>
      </c>
      <c r="C233" s="49">
        <v>-0.40310000000000001</v>
      </c>
      <c r="D233" s="49">
        <v>-1.0447</v>
      </c>
      <c r="E233" s="49">
        <v>-1.0186999999999999</v>
      </c>
      <c r="F233" s="49">
        <v>0.16259999999999999</v>
      </c>
      <c r="G233" s="49">
        <v>0.18079999999999999</v>
      </c>
      <c r="H233" s="49">
        <v>-0.5827</v>
      </c>
      <c r="I233" s="49">
        <v>-0.56369999999999998</v>
      </c>
      <c r="J233" s="49">
        <v>-1.1946000000000001</v>
      </c>
      <c r="K233" s="49">
        <v>-1.1706000000000001</v>
      </c>
      <c r="L233" s="49">
        <v>-7.5899999999999995E-2</v>
      </c>
      <c r="M233" s="49">
        <v>-6.0999999999999999E-2</v>
      </c>
      <c r="N233" s="49">
        <v>0.9254</v>
      </c>
      <c r="O233" s="49">
        <v>0.97299999999999998</v>
      </c>
      <c r="P233" s="49">
        <v>-0.29449999999999998</v>
      </c>
      <c r="Q233" s="49">
        <v>-0.25840000000000002</v>
      </c>
      <c r="R233" s="49">
        <v>5.1551999999999998</v>
      </c>
      <c r="S233" s="49">
        <v>5.2428999999999997</v>
      </c>
      <c r="T233" s="49">
        <v>-0.55869999999999997</v>
      </c>
      <c r="U233" s="49">
        <v>-0.54590000000000005</v>
      </c>
      <c r="V233" s="49">
        <v>-1.3213999999999999</v>
      </c>
      <c r="W233" s="49">
        <v>-1.3066</v>
      </c>
      <c r="X233" s="49">
        <v>-0.114</v>
      </c>
      <c r="Y233" s="49">
        <v>-0.1023</v>
      </c>
      <c r="Z233" s="49">
        <v>-0.63100000000000001</v>
      </c>
      <c r="AA233" s="49">
        <v>-0.59940000000000004</v>
      </c>
      <c r="AB233" s="49">
        <v>-1.0438000000000001</v>
      </c>
      <c r="AC233" s="49">
        <v>-1.0088999999999999</v>
      </c>
      <c r="AD233" s="49">
        <v>5.2900000000000003E-2</v>
      </c>
      <c r="AE233" s="49">
        <v>7.9000000000000001E-2</v>
      </c>
      <c r="AH233" s="16">
        <f t="shared" si="21"/>
        <v>19990228</v>
      </c>
      <c r="AI233" s="16">
        <f t="shared" si="22"/>
        <v>-0.40310000000000001</v>
      </c>
      <c r="AJ233" s="16">
        <f t="shared" si="23"/>
        <v>-6.6109</v>
      </c>
      <c r="AK233" s="16">
        <f t="shared" si="24"/>
        <v>6.2161</v>
      </c>
      <c r="AL233" s="16">
        <v>0.4</v>
      </c>
      <c r="AM233" s="17">
        <f t="shared" si="25"/>
        <v>-0.43643333333333334</v>
      </c>
      <c r="AN233" s="17">
        <f t="shared" si="26"/>
        <v>-6.6109</v>
      </c>
      <c r="AO233" s="17">
        <f t="shared" si="27"/>
        <v>6.2161</v>
      </c>
    </row>
    <row r="234" spans="1:41">
      <c r="A234" s="49">
        <v>19990331</v>
      </c>
      <c r="B234" s="49">
        <v>12.884600000000001</v>
      </c>
      <c r="C234" s="49">
        <v>13.409700000000001</v>
      </c>
      <c r="D234" s="49">
        <v>12.841100000000001</v>
      </c>
      <c r="E234" s="49">
        <v>13.4964</v>
      </c>
      <c r="F234" s="49">
        <v>12.924799999999999</v>
      </c>
      <c r="G234" s="49">
        <v>13.327500000000001</v>
      </c>
      <c r="H234" s="49">
        <v>12.875299999999999</v>
      </c>
      <c r="I234" s="49">
        <v>13.366300000000001</v>
      </c>
      <c r="J234" s="49">
        <v>13.005800000000001</v>
      </c>
      <c r="K234" s="49">
        <v>13.6058</v>
      </c>
      <c r="L234" s="49">
        <v>12.7676</v>
      </c>
      <c r="M234" s="49">
        <v>13.169</v>
      </c>
      <c r="N234" s="49">
        <v>12.9603</v>
      </c>
      <c r="O234" s="49">
        <v>13.776999999999999</v>
      </c>
      <c r="P234" s="49">
        <v>12.025399999999999</v>
      </c>
      <c r="Q234" s="49">
        <v>12.959</v>
      </c>
      <c r="R234" s="49">
        <v>16.039300000000001</v>
      </c>
      <c r="S234" s="49">
        <v>16.4679</v>
      </c>
      <c r="T234" s="49">
        <v>13.159800000000001</v>
      </c>
      <c r="U234" s="49">
        <v>13.6038</v>
      </c>
      <c r="V234" s="49">
        <v>13.993600000000001</v>
      </c>
      <c r="W234" s="49">
        <v>14.5207</v>
      </c>
      <c r="X234" s="49">
        <v>12.680300000000001</v>
      </c>
      <c r="Y234" s="49">
        <v>13.0762</v>
      </c>
      <c r="Z234" s="49">
        <v>12.2988</v>
      </c>
      <c r="AA234" s="49">
        <v>12.886100000000001</v>
      </c>
      <c r="AB234" s="49">
        <v>11.8315</v>
      </c>
      <c r="AC234" s="49">
        <v>12.519</v>
      </c>
      <c r="AD234" s="49">
        <v>13.0586</v>
      </c>
      <c r="AE234" s="49">
        <v>13.479200000000001</v>
      </c>
      <c r="AH234" s="16">
        <f t="shared" si="21"/>
        <v>19990331</v>
      </c>
      <c r="AI234" s="16">
        <f t="shared" si="22"/>
        <v>13.409700000000001</v>
      </c>
      <c r="AJ234" s="16">
        <f t="shared" si="23"/>
        <v>-3.0721000000000007</v>
      </c>
      <c r="AK234" s="16">
        <f t="shared" si="24"/>
        <v>2.6521000000000008</v>
      </c>
      <c r="AL234" s="16">
        <v>0.37</v>
      </c>
      <c r="AM234" s="17">
        <f t="shared" si="25"/>
        <v>13.378866666666667</v>
      </c>
      <c r="AN234" s="17">
        <f t="shared" si="26"/>
        <v>-3.0721000000000007</v>
      </c>
      <c r="AO234" s="17">
        <f t="shared" si="27"/>
        <v>2.6521000000000008</v>
      </c>
    </row>
    <row r="235" spans="1:41">
      <c r="A235" s="49">
        <v>19990430</v>
      </c>
      <c r="B235" s="49">
        <v>5.0369000000000002</v>
      </c>
      <c r="C235" s="49">
        <v>5.0369999999999999</v>
      </c>
      <c r="D235" s="49">
        <v>5.4981</v>
      </c>
      <c r="E235" s="49">
        <v>5.4988999999999999</v>
      </c>
      <c r="F235" s="49">
        <v>4.6036000000000001</v>
      </c>
      <c r="G235" s="49">
        <v>4.6029</v>
      </c>
      <c r="H235" s="49">
        <v>4.5049000000000001</v>
      </c>
      <c r="I235" s="49">
        <v>4.5045000000000002</v>
      </c>
      <c r="J235" s="49">
        <v>4.5795000000000003</v>
      </c>
      <c r="K235" s="49">
        <v>4.5796000000000001</v>
      </c>
      <c r="L235" s="49">
        <v>4.4432999999999998</v>
      </c>
      <c r="M235" s="49">
        <v>4.4424999999999999</v>
      </c>
      <c r="N235" s="49">
        <v>9.5090000000000003</v>
      </c>
      <c r="O235" s="49">
        <v>9.5130999999999997</v>
      </c>
      <c r="P235" s="49">
        <v>10.091900000000001</v>
      </c>
      <c r="Q235" s="49">
        <v>10.0967</v>
      </c>
      <c r="R235" s="49">
        <v>7.6715999999999998</v>
      </c>
      <c r="S235" s="49">
        <v>7.6734999999999998</v>
      </c>
      <c r="T235" s="49">
        <v>4.1757999999999997</v>
      </c>
      <c r="U235" s="49">
        <v>4.1757999999999997</v>
      </c>
      <c r="V235" s="49">
        <v>3.6236000000000002</v>
      </c>
      <c r="W235" s="49">
        <v>3.6236000000000002</v>
      </c>
      <c r="X235" s="49">
        <v>4.4980000000000002</v>
      </c>
      <c r="Y235" s="49">
        <v>4.4980000000000002</v>
      </c>
      <c r="Z235" s="49">
        <v>5.1707000000000001</v>
      </c>
      <c r="AA235" s="49">
        <v>5.1695000000000002</v>
      </c>
      <c r="AB235" s="49">
        <v>5.7286000000000001</v>
      </c>
      <c r="AC235" s="49">
        <v>5.7289000000000003</v>
      </c>
      <c r="AD235" s="49">
        <v>4.2591999999999999</v>
      </c>
      <c r="AE235" s="49">
        <v>4.2556000000000003</v>
      </c>
      <c r="AH235" s="16">
        <f t="shared" si="21"/>
        <v>19990430</v>
      </c>
      <c r="AI235" s="16">
        <f t="shared" si="22"/>
        <v>5.0369999999999999</v>
      </c>
      <c r="AJ235" s="16">
        <f t="shared" si="23"/>
        <v>2.5603000000000007</v>
      </c>
      <c r="AK235" s="16">
        <f t="shared" si="24"/>
        <v>8.7480999999999991</v>
      </c>
      <c r="AL235" s="16">
        <v>0.18</v>
      </c>
      <c r="AM235" s="17">
        <f t="shared" si="25"/>
        <v>5.0220000000000002</v>
      </c>
      <c r="AN235" s="17">
        <f t="shared" si="26"/>
        <v>2.5603000000000007</v>
      </c>
      <c r="AO235" s="17">
        <f t="shared" si="27"/>
        <v>8.7480999999999991</v>
      </c>
    </row>
    <row r="236" spans="1:41">
      <c r="A236" s="49">
        <v>19990531</v>
      </c>
      <c r="B236" s="49">
        <v>-2.5598000000000001</v>
      </c>
      <c r="C236" s="49">
        <v>-2.5583</v>
      </c>
      <c r="D236" s="49">
        <v>-3.7113</v>
      </c>
      <c r="E236" s="49">
        <v>-3.7117</v>
      </c>
      <c r="F236" s="49">
        <v>-1.4694</v>
      </c>
      <c r="G236" s="49">
        <v>-1.4661999999999999</v>
      </c>
      <c r="H236" s="49">
        <v>-2.4373999999999998</v>
      </c>
      <c r="I236" s="49">
        <v>-2.4369000000000001</v>
      </c>
      <c r="J236" s="49">
        <v>-3.7927</v>
      </c>
      <c r="K236" s="49">
        <v>-3.7951000000000001</v>
      </c>
      <c r="L236" s="49">
        <v>-1.3207</v>
      </c>
      <c r="M236" s="49">
        <v>-1.3177000000000001</v>
      </c>
      <c r="N236" s="49">
        <v>-3.5407000000000002</v>
      </c>
      <c r="O236" s="49">
        <v>-3.5316000000000001</v>
      </c>
      <c r="P236" s="49">
        <v>-3.3267000000000002</v>
      </c>
      <c r="Q236" s="49">
        <v>-3.3169</v>
      </c>
      <c r="R236" s="49">
        <v>-4.2324000000000002</v>
      </c>
      <c r="S236" s="49">
        <v>-4.2255000000000003</v>
      </c>
      <c r="T236" s="49">
        <v>-2.4409999999999998</v>
      </c>
      <c r="U236" s="49">
        <v>-2.4420000000000002</v>
      </c>
      <c r="V236" s="49">
        <v>-4.5894000000000004</v>
      </c>
      <c r="W236" s="49">
        <v>-4.5956000000000001</v>
      </c>
      <c r="X236" s="49">
        <v>-1.1975</v>
      </c>
      <c r="Y236" s="49">
        <v>-1.1954</v>
      </c>
      <c r="Z236" s="49">
        <v>-2.4283999999999999</v>
      </c>
      <c r="AA236" s="49">
        <v>-2.4247999999999998</v>
      </c>
      <c r="AB236" s="49">
        <v>-2.8481999999999998</v>
      </c>
      <c r="AC236" s="49">
        <v>-2.8460999999999999</v>
      </c>
      <c r="AD236" s="49">
        <v>-1.7354000000000001</v>
      </c>
      <c r="AE236" s="49">
        <v>-1.7293000000000001</v>
      </c>
      <c r="AH236" s="16">
        <f t="shared" si="21"/>
        <v>19990531</v>
      </c>
      <c r="AI236" s="16">
        <f t="shared" si="22"/>
        <v>-2.5583</v>
      </c>
      <c r="AJ236" s="16">
        <f t="shared" si="23"/>
        <v>-1.5688</v>
      </c>
      <c r="AK236" s="16">
        <f t="shared" si="24"/>
        <v>-2.4296000000000006</v>
      </c>
      <c r="AL236" s="16">
        <v>0.19</v>
      </c>
      <c r="AM236" s="17">
        <f t="shared" si="25"/>
        <v>-2.5741333333333332</v>
      </c>
      <c r="AN236" s="17">
        <f t="shared" si="26"/>
        <v>-1.5688</v>
      </c>
      <c r="AO236" s="17">
        <f t="shared" si="27"/>
        <v>-2.4296000000000006</v>
      </c>
    </row>
    <row r="237" spans="1:41">
      <c r="A237" s="49">
        <v>19990630</v>
      </c>
      <c r="B237" s="49">
        <v>9.7271000000000001</v>
      </c>
      <c r="C237" s="49">
        <v>9.7477999999999998</v>
      </c>
      <c r="D237" s="49">
        <v>7.5548999999999999</v>
      </c>
      <c r="E237" s="49">
        <v>7.5587999999999997</v>
      </c>
      <c r="F237" s="49">
        <v>11.747400000000001</v>
      </c>
      <c r="G237" s="49">
        <v>11.7842</v>
      </c>
      <c r="H237" s="49">
        <v>9.2071000000000005</v>
      </c>
      <c r="I237" s="49">
        <v>9.2348999999999997</v>
      </c>
      <c r="J237" s="49">
        <v>6.6974</v>
      </c>
      <c r="K237" s="49">
        <v>6.7110000000000003</v>
      </c>
      <c r="L237" s="49">
        <v>11.2361</v>
      </c>
      <c r="M237" s="49">
        <v>11.2758</v>
      </c>
      <c r="N237" s="49">
        <v>13.9495</v>
      </c>
      <c r="O237" s="49">
        <v>13.908899999999999</v>
      </c>
      <c r="P237" s="49">
        <v>11.6234</v>
      </c>
      <c r="Q237" s="49">
        <v>11.5784</v>
      </c>
      <c r="R237" s="49">
        <v>21.523700000000002</v>
      </c>
      <c r="S237" s="49">
        <v>21.5</v>
      </c>
      <c r="T237" s="49">
        <v>10.1509</v>
      </c>
      <c r="U237" s="49">
        <v>10.19</v>
      </c>
      <c r="V237" s="49">
        <v>8.8137000000000008</v>
      </c>
      <c r="W237" s="49">
        <v>8.8445</v>
      </c>
      <c r="X237" s="49">
        <v>10.9061</v>
      </c>
      <c r="Y237" s="49">
        <v>10.9499</v>
      </c>
      <c r="Z237" s="49">
        <v>7.3098000000000001</v>
      </c>
      <c r="AA237" s="49">
        <v>7.3155999999999999</v>
      </c>
      <c r="AB237" s="49">
        <v>4.2203999999999997</v>
      </c>
      <c r="AC237" s="49">
        <v>4.2149999999999999</v>
      </c>
      <c r="AD237" s="49">
        <v>12.3538</v>
      </c>
      <c r="AE237" s="49">
        <v>12.3794</v>
      </c>
      <c r="AH237" s="16">
        <f t="shared" si="21"/>
        <v>19990630</v>
      </c>
      <c r="AI237" s="16">
        <f t="shared" si="22"/>
        <v>9.7477999999999998</v>
      </c>
      <c r="AJ237" s="16">
        <f t="shared" si="23"/>
        <v>-14.4864</v>
      </c>
      <c r="AK237" s="16">
        <f t="shared" si="24"/>
        <v>15.0916</v>
      </c>
      <c r="AL237" s="16">
        <v>0.05</v>
      </c>
      <c r="AM237" s="17">
        <f t="shared" si="25"/>
        <v>9.7436333333333334</v>
      </c>
      <c r="AN237" s="17">
        <f t="shared" si="26"/>
        <v>-14.4864</v>
      </c>
      <c r="AO237" s="17">
        <f t="shared" si="27"/>
        <v>15.0916</v>
      </c>
    </row>
    <row r="238" spans="1:41">
      <c r="A238" s="49">
        <v>19990731</v>
      </c>
      <c r="B238" s="49">
        <v>4.4356</v>
      </c>
      <c r="C238" s="49">
        <v>4.4382000000000001</v>
      </c>
      <c r="D238" s="49">
        <v>3.6949999999999998</v>
      </c>
      <c r="E238" s="49">
        <v>3.7002999999999999</v>
      </c>
      <c r="F238" s="49">
        <v>5.0979000000000001</v>
      </c>
      <c r="G238" s="49">
        <v>5.0983000000000001</v>
      </c>
      <c r="H238" s="49">
        <v>4.7325999999999997</v>
      </c>
      <c r="I238" s="49">
        <v>4.7348999999999997</v>
      </c>
      <c r="J238" s="49">
        <v>4.0433000000000003</v>
      </c>
      <c r="K238" s="49">
        <v>4.0484</v>
      </c>
      <c r="L238" s="49">
        <v>5.2667999999999999</v>
      </c>
      <c r="M238" s="49">
        <v>5.2670000000000003</v>
      </c>
      <c r="N238" s="49">
        <v>2.1242999999999999</v>
      </c>
      <c r="O238" s="49">
        <v>2.1297000000000001</v>
      </c>
      <c r="P238" s="49">
        <v>2.1181999999999999</v>
      </c>
      <c r="Q238" s="49">
        <v>2.1244999999999998</v>
      </c>
      <c r="R238" s="49">
        <v>2.1385000000000001</v>
      </c>
      <c r="S238" s="49">
        <v>2.1413000000000002</v>
      </c>
      <c r="T238" s="49">
        <v>6.0891000000000002</v>
      </c>
      <c r="U238" s="49">
        <v>6.0923999999999996</v>
      </c>
      <c r="V238" s="49">
        <v>7.0799000000000003</v>
      </c>
      <c r="W238" s="49">
        <v>7.0891999999999999</v>
      </c>
      <c r="X238" s="49">
        <v>5.54</v>
      </c>
      <c r="Y238" s="49">
        <v>5.54</v>
      </c>
      <c r="Z238" s="49">
        <v>1.9367000000000001</v>
      </c>
      <c r="AA238" s="49">
        <v>1.9370000000000001</v>
      </c>
      <c r="AB238" s="49">
        <v>0.33500000000000002</v>
      </c>
      <c r="AC238" s="49">
        <v>0.33500000000000002</v>
      </c>
      <c r="AD238" s="49">
        <v>4.3582000000000001</v>
      </c>
      <c r="AE238" s="49">
        <v>4.359</v>
      </c>
      <c r="AH238" s="16">
        <f t="shared" si="21"/>
        <v>19990731</v>
      </c>
      <c r="AI238" s="16">
        <f t="shared" si="22"/>
        <v>4.4382000000000001</v>
      </c>
      <c r="AJ238" s="16">
        <f t="shared" si="23"/>
        <v>-1.2354000000000007</v>
      </c>
      <c r="AK238" s="16">
        <f t="shared" si="24"/>
        <v>-5.0495999999999999</v>
      </c>
      <c r="AL238" s="16">
        <v>0.41</v>
      </c>
      <c r="AM238" s="17">
        <f t="shared" si="25"/>
        <v>4.4040333333333335</v>
      </c>
      <c r="AN238" s="17">
        <f t="shared" si="26"/>
        <v>-1.2354000000000007</v>
      </c>
      <c r="AO238" s="17">
        <f t="shared" si="27"/>
        <v>-5.0495999999999999</v>
      </c>
    </row>
    <row r="239" spans="1:41">
      <c r="A239" s="49">
        <v>19990831</v>
      </c>
      <c r="B239" s="49">
        <v>-2.3990999999999998</v>
      </c>
      <c r="C239" s="49">
        <v>-2.3868</v>
      </c>
      <c r="D239" s="49">
        <v>-2.0228999999999999</v>
      </c>
      <c r="E239" s="49">
        <v>-2.0095999999999998</v>
      </c>
      <c r="F239" s="49">
        <v>-2.7309999999999999</v>
      </c>
      <c r="G239" s="49">
        <v>-2.7195999999999998</v>
      </c>
      <c r="H239" s="49">
        <v>-2.7198000000000002</v>
      </c>
      <c r="I239" s="49">
        <v>-2.7090000000000001</v>
      </c>
      <c r="J239" s="49">
        <v>-2.1511999999999998</v>
      </c>
      <c r="K239" s="49">
        <v>-2.14</v>
      </c>
      <c r="L239" s="49">
        <v>-3.1551999999999998</v>
      </c>
      <c r="M239" s="49">
        <v>-3.1446000000000001</v>
      </c>
      <c r="N239" s="49">
        <v>0.1552</v>
      </c>
      <c r="O239" s="49">
        <v>0.17929999999999999</v>
      </c>
      <c r="P239" s="49">
        <v>-1.43</v>
      </c>
      <c r="Q239" s="49">
        <v>-1.4069</v>
      </c>
      <c r="R239" s="49">
        <v>4.8620999999999999</v>
      </c>
      <c r="S239" s="49">
        <v>4.8895999999999997</v>
      </c>
      <c r="T239" s="49">
        <v>-4.4295</v>
      </c>
      <c r="U239" s="49">
        <v>-4.4215</v>
      </c>
      <c r="V239" s="49">
        <v>-3.0794999999999999</v>
      </c>
      <c r="W239" s="49">
        <v>-3.0722</v>
      </c>
      <c r="X239" s="49">
        <v>-5.1885000000000003</v>
      </c>
      <c r="Y239" s="49">
        <v>-5.1801000000000004</v>
      </c>
      <c r="Z239" s="49">
        <v>0.94340000000000002</v>
      </c>
      <c r="AA239" s="49">
        <v>0.96040000000000003</v>
      </c>
      <c r="AB239" s="49">
        <v>-0.94120000000000004</v>
      </c>
      <c r="AC239" s="49">
        <v>-0.92490000000000006</v>
      </c>
      <c r="AD239" s="49">
        <v>3.6736</v>
      </c>
      <c r="AE239" s="49">
        <v>3.6917</v>
      </c>
      <c r="AH239" s="16">
        <f t="shared" si="21"/>
        <v>19990831</v>
      </c>
      <c r="AI239" s="16">
        <f t="shared" si="22"/>
        <v>-2.3868</v>
      </c>
      <c r="AJ239" s="16">
        <f t="shared" si="23"/>
        <v>-5.2919</v>
      </c>
      <c r="AK239" s="16">
        <f t="shared" si="24"/>
        <v>8.7672999999999988</v>
      </c>
      <c r="AL239" s="16">
        <v>0.3</v>
      </c>
      <c r="AM239" s="17">
        <f t="shared" si="25"/>
        <v>-2.4117999999999999</v>
      </c>
      <c r="AN239" s="17">
        <f t="shared" si="26"/>
        <v>-5.2919</v>
      </c>
      <c r="AO239" s="17">
        <f t="shared" si="27"/>
        <v>8.7672999999999988</v>
      </c>
    </row>
    <row r="240" spans="1:41">
      <c r="A240" s="49">
        <v>19990930</v>
      </c>
      <c r="B240" s="49">
        <v>2.5956999999999999</v>
      </c>
      <c r="C240" s="49">
        <v>2.8714</v>
      </c>
      <c r="D240" s="49">
        <v>1.3836999999999999</v>
      </c>
      <c r="E240" s="49">
        <v>1.7044999999999999</v>
      </c>
      <c r="F240" s="49">
        <v>3.6726999999999999</v>
      </c>
      <c r="G240" s="49">
        <v>3.9085999999999999</v>
      </c>
      <c r="H240" s="49">
        <v>2.8187000000000002</v>
      </c>
      <c r="I240" s="49">
        <v>3.0924999999999998</v>
      </c>
      <c r="J240" s="49">
        <v>1.9004000000000001</v>
      </c>
      <c r="K240" s="49">
        <v>2.2149000000000001</v>
      </c>
      <c r="L240" s="49">
        <v>3.5293999999999999</v>
      </c>
      <c r="M240" s="49">
        <v>3.7717999999999998</v>
      </c>
      <c r="N240" s="49">
        <v>0.87429999999999997</v>
      </c>
      <c r="O240" s="49">
        <v>1.1655</v>
      </c>
      <c r="P240" s="49">
        <v>-0.98640000000000005</v>
      </c>
      <c r="Q240" s="49">
        <v>-0.63749999999999996</v>
      </c>
      <c r="R240" s="49">
        <v>6.0557999999999996</v>
      </c>
      <c r="S240" s="49">
        <v>6.1848000000000001</v>
      </c>
      <c r="T240" s="49">
        <v>3.6450999999999998</v>
      </c>
      <c r="U240" s="49">
        <v>3.9087000000000001</v>
      </c>
      <c r="V240" s="49">
        <v>2.8372999999999999</v>
      </c>
      <c r="W240" s="49">
        <v>3.1063000000000001</v>
      </c>
      <c r="X240" s="49">
        <v>4.1097999999999999</v>
      </c>
      <c r="Y240" s="49">
        <v>4.3701999999999996</v>
      </c>
      <c r="Z240" s="49">
        <v>1.1459999999999999</v>
      </c>
      <c r="AA240" s="49">
        <v>1.4404999999999999</v>
      </c>
      <c r="AB240" s="49">
        <v>0.70799999999999996</v>
      </c>
      <c r="AC240" s="49">
        <v>1.0801000000000001</v>
      </c>
      <c r="AD240" s="49">
        <v>1.7505999999999999</v>
      </c>
      <c r="AE240" s="49">
        <v>1.9366000000000001</v>
      </c>
      <c r="AH240" s="16">
        <f t="shared" si="21"/>
        <v>19990930</v>
      </c>
      <c r="AI240" s="16">
        <f t="shared" si="22"/>
        <v>2.8714</v>
      </c>
      <c r="AJ240" s="16">
        <f t="shared" si="23"/>
        <v>-8.3792000000000009</v>
      </c>
      <c r="AK240" s="16">
        <f t="shared" si="24"/>
        <v>-0.43940000000000001</v>
      </c>
      <c r="AL240" s="16">
        <v>0.09</v>
      </c>
      <c r="AM240" s="17">
        <f t="shared" si="25"/>
        <v>2.8639000000000001</v>
      </c>
      <c r="AN240" s="17">
        <f t="shared" si="26"/>
        <v>-8.3792000000000009</v>
      </c>
      <c r="AO240" s="17">
        <f t="shared" si="27"/>
        <v>-0.43940000000000001</v>
      </c>
    </row>
    <row r="241" spans="1:41">
      <c r="A241" s="49">
        <v>19991031</v>
      </c>
      <c r="B241" s="49">
        <v>2.323</v>
      </c>
      <c r="C241" s="49">
        <v>2.3243999999999998</v>
      </c>
      <c r="D241" s="49">
        <v>-0.38490000000000002</v>
      </c>
      <c r="E241" s="49">
        <v>-0.38250000000000001</v>
      </c>
      <c r="F241" s="49">
        <v>4.6741000000000001</v>
      </c>
      <c r="G241" s="49">
        <v>4.6748000000000003</v>
      </c>
      <c r="H241" s="49">
        <v>2.9333999999999998</v>
      </c>
      <c r="I241" s="49">
        <v>2.9340999999999999</v>
      </c>
      <c r="J241" s="49">
        <v>0.3836</v>
      </c>
      <c r="K241" s="49">
        <v>0.38440000000000002</v>
      </c>
      <c r="L241" s="49">
        <v>4.8745000000000003</v>
      </c>
      <c r="M241" s="49">
        <v>4.875</v>
      </c>
      <c r="N241" s="49">
        <v>-2.4782000000000002</v>
      </c>
      <c r="O241" s="49">
        <v>-2.4704000000000002</v>
      </c>
      <c r="P241" s="49">
        <v>-4.0109000000000004</v>
      </c>
      <c r="Q241" s="49">
        <v>-4.0011999999999999</v>
      </c>
      <c r="R241" s="49">
        <v>1.4708000000000001</v>
      </c>
      <c r="S241" s="49">
        <v>1.4735</v>
      </c>
      <c r="T241" s="49">
        <v>3.3386</v>
      </c>
      <c r="U241" s="49">
        <v>3.3386</v>
      </c>
      <c r="V241" s="49">
        <v>-0.16750000000000001</v>
      </c>
      <c r="W241" s="49">
        <v>-0.16750000000000001</v>
      </c>
      <c r="X241" s="49">
        <v>5.3285</v>
      </c>
      <c r="Y241" s="49">
        <v>5.3285</v>
      </c>
      <c r="Z241" s="49">
        <v>2.0950000000000002</v>
      </c>
      <c r="AA241" s="49">
        <v>2.097</v>
      </c>
      <c r="AB241" s="49">
        <v>1.0991</v>
      </c>
      <c r="AC241" s="49">
        <v>1.1009</v>
      </c>
      <c r="AD241" s="49">
        <v>3.4561000000000002</v>
      </c>
      <c r="AE241" s="49">
        <v>3.4584000000000001</v>
      </c>
      <c r="AH241" s="16">
        <f t="shared" si="21"/>
        <v>19991031</v>
      </c>
      <c r="AI241" s="16">
        <f t="shared" si="22"/>
        <v>2.3243999999999998</v>
      </c>
      <c r="AJ241" s="16">
        <f t="shared" si="23"/>
        <v>-9.9652999999999992</v>
      </c>
      <c r="AK241" s="16">
        <f t="shared" si="24"/>
        <v>-7.7871000000000006</v>
      </c>
      <c r="AL241" s="16">
        <v>0.1</v>
      </c>
      <c r="AM241" s="17">
        <f t="shared" si="25"/>
        <v>2.3160666666666665</v>
      </c>
      <c r="AN241" s="17">
        <f t="shared" si="26"/>
        <v>-9.9652999999999992</v>
      </c>
      <c r="AO241" s="17">
        <f t="shared" si="27"/>
        <v>-7.7871000000000006</v>
      </c>
    </row>
    <row r="242" spans="1:41">
      <c r="A242" s="49">
        <v>19991130</v>
      </c>
      <c r="B242" s="49">
        <v>4.3859000000000004</v>
      </c>
      <c r="C242" s="49">
        <v>4.3893000000000004</v>
      </c>
      <c r="D242" s="49">
        <v>-0.44940000000000002</v>
      </c>
      <c r="E242" s="49">
        <v>-0.44359999999999999</v>
      </c>
      <c r="F242" s="49">
        <v>8.3813999999999993</v>
      </c>
      <c r="G242" s="49">
        <v>8.3827999999999996</v>
      </c>
      <c r="H242" s="49">
        <v>4.9302999999999999</v>
      </c>
      <c r="I242" s="49">
        <v>4.9332000000000003</v>
      </c>
      <c r="J242" s="49">
        <v>0.4289</v>
      </c>
      <c r="K242" s="49">
        <v>0.43490000000000001</v>
      </c>
      <c r="L242" s="49">
        <v>8.2098999999999993</v>
      </c>
      <c r="M242" s="49">
        <v>8.2103000000000002</v>
      </c>
      <c r="N242" s="49">
        <v>-0.11849999999999999</v>
      </c>
      <c r="O242" s="49">
        <v>-0.1105</v>
      </c>
      <c r="P242" s="49">
        <v>-4.7713000000000001</v>
      </c>
      <c r="Q242" s="49">
        <v>-4.7663000000000002</v>
      </c>
      <c r="R242" s="49">
        <v>11.2003</v>
      </c>
      <c r="S242" s="49">
        <v>11.217000000000001</v>
      </c>
      <c r="T242" s="49">
        <v>7.4843000000000002</v>
      </c>
      <c r="U242" s="49">
        <v>7.4898999999999996</v>
      </c>
      <c r="V242" s="49">
        <v>5.7526000000000002</v>
      </c>
      <c r="W242" s="49">
        <v>5.7698999999999998</v>
      </c>
      <c r="X242" s="49">
        <v>8.4158000000000008</v>
      </c>
      <c r="Y242" s="49">
        <v>8.4149999999999991</v>
      </c>
      <c r="Z242" s="49">
        <v>-0.41880000000000001</v>
      </c>
      <c r="AA242" s="49">
        <v>-0.42120000000000002</v>
      </c>
      <c r="AB242" s="49">
        <v>-6.3922999999999996</v>
      </c>
      <c r="AC242" s="49">
        <v>-6.3987999999999996</v>
      </c>
      <c r="AD242" s="49">
        <v>7.5541999999999998</v>
      </c>
      <c r="AE242" s="49">
        <v>7.5583999999999998</v>
      </c>
      <c r="AH242" s="16">
        <f t="shared" si="21"/>
        <v>19991130</v>
      </c>
      <c r="AI242" s="16">
        <f t="shared" si="22"/>
        <v>4.3893000000000004</v>
      </c>
      <c r="AJ242" s="16">
        <f t="shared" si="23"/>
        <v>-23.758700000000001</v>
      </c>
      <c r="AK242" s="16">
        <f t="shared" si="24"/>
        <v>-2.1945000000000006</v>
      </c>
      <c r="AL242" s="16">
        <v>0.35</v>
      </c>
      <c r="AM242" s="17">
        <f t="shared" si="25"/>
        <v>4.3601333333333336</v>
      </c>
      <c r="AN242" s="17">
        <f t="shared" si="26"/>
        <v>-23.758700000000001</v>
      </c>
      <c r="AO242" s="17">
        <f t="shared" si="27"/>
        <v>-2.1945000000000006</v>
      </c>
    </row>
    <row r="243" spans="1:41">
      <c r="A243" s="49">
        <v>19991231</v>
      </c>
      <c r="B243" s="49">
        <v>6.2370000000000001</v>
      </c>
      <c r="C243" s="49">
        <v>6.2564000000000002</v>
      </c>
      <c r="D243" s="49">
        <v>0.30740000000000001</v>
      </c>
      <c r="E243" s="49">
        <v>0.32779999999999998</v>
      </c>
      <c r="F243" s="49">
        <v>10.746</v>
      </c>
      <c r="G243" s="49">
        <v>10.764900000000001</v>
      </c>
      <c r="H243" s="49">
        <v>7.2359999999999998</v>
      </c>
      <c r="I243" s="49">
        <v>7.2538</v>
      </c>
      <c r="J243" s="49">
        <v>1.3640000000000001</v>
      </c>
      <c r="K243" s="49">
        <v>1.3801000000000001</v>
      </c>
      <c r="L243" s="49">
        <v>11.2127</v>
      </c>
      <c r="M243" s="49">
        <v>11.2317</v>
      </c>
      <c r="N243" s="49">
        <v>-2.4377</v>
      </c>
      <c r="O243" s="49">
        <v>-2.4032</v>
      </c>
      <c r="P243" s="49">
        <v>-5.1669999999999998</v>
      </c>
      <c r="Q243" s="49">
        <v>-5.1241000000000003</v>
      </c>
      <c r="R243" s="49">
        <v>3.274</v>
      </c>
      <c r="S243" s="49">
        <v>3.2915000000000001</v>
      </c>
      <c r="T243" s="49">
        <v>9.3622999999999994</v>
      </c>
      <c r="U243" s="49">
        <v>9.3770000000000007</v>
      </c>
      <c r="V243" s="49">
        <v>5.8727</v>
      </c>
      <c r="W243" s="49">
        <v>5.8785999999999996</v>
      </c>
      <c r="X243" s="49">
        <v>11.193099999999999</v>
      </c>
      <c r="Y243" s="49">
        <v>11.2126</v>
      </c>
      <c r="Z243" s="49">
        <v>2.4121000000000001</v>
      </c>
      <c r="AA243" s="49">
        <v>2.4365999999999999</v>
      </c>
      <c r="AB243" s="49">
        <v>-5.1550000000000002</v>
      </c>
      <c r="AC243" s="49">
        <v>-5.1252000000000004</v>
      </c>
      <c r="AD243" s="49">
        <v>11.2791</v>
      </c>
      <c r="AE243" s="49">
        <v>11.296900000000001</v>
      </c>
      <c r="AH243" s="16">
        <f t="shared" si="21"/>
        <v>19991231</v>
      </c>
      <c r="AI243" s="16">
        <f t="shared" si="22"/>
        <v>6.2564000000000002</v>
      </c>
      <c r="AJ243" s="16">
        <f t="shared" si="23"/>
        <v>-18.267200000000003</v>
      </c>
      <c r="AK243" s="16">
        <f t="shared" si="24"/>
        <v>-14.444400000000002</v>
      </c>
      <c r="AL243" s="16">
        <v>0.5</v>
      </c>
      <c r="AM243" s="17">
        <f t="shared" si="25"/>
        <v>6.2147333333333332</v>
      </c>
      <c r="AN243" s="17">
        <f t="shared" si="26"/>
        <v>-18.267200000000003</v>
      </c>
      <c r="AO243" s="17">
        <f t="shared" si="27"/>
        <v>-14.444400000000002</v>
      </c>
    </row>
    <row r="244" spans="1:41">
      <c r="A244" s="49">
        <v>20000131</v>
      </c>
      <c r="B244" s="49">
        <v>-0.61150000000000004</v>
      </c>
      <c r="C244" s="49">
        <v>-0.60699999999999998</v>
      </c>
      <c r="D244" s="49">
        <v>2.6171000000000002</v>
      </c>
      <c r="E244" s="49">
        <v>2.6259000000000001</v>
      </c>
      <c r="F244" s="49">
        <v>-3.3536999999999999</v>
      </c>
      <c r="G244" s="49">
        <v>-3.3531</v>
      </c>
      <c r="H244" s="49">
        <v>-1.0416000000000001</v>
      </c>
      <c r="I244" s="49">
        <v>-1.0375000000000001</v>
      </c>
      <c r="J244" s="49">
        <v>2.3447</v>
      </c>
      <c r="K244" s="49">
        <v>2.3534999999999999</v>
      </c>
      <c r="L244" s="49">
        <v>-3.6217999999999999</v>
      </c>
      <c r="M244" s="49">
        <v>-3.6213000000000002</v>
      </c>
      <c r="N244" s="49">
        <v>4.2888000000000002</v>
      </c>
      <c r="O244" s="49">
        <v>4.2962999999999996</v>
      </c>
      <c r="P244" s="49">
        <v>4.3722000000000003</v>
      </c>
      <c r="Q244" s="49">
        <v>4.3807</v>
      </c>
      <c r="R244" s="49">
        <v>4.0176999999999996</v>
      </c>
      <c r="S244" s="49">
        <v>4.0218999999999996</v>
      </c>
      <c r="T244" s="49">
        <v>-2.9432999999999998</v>
      </c>
      <c r="U244" s="49">
        <v>-2.9432999999999998</v>
      </c>
      <c r="V244" s="49">
        <v>0.1171</v>
      </c>
      <c r="W244" s="49">
        <v>0.1171</v>
      </c>
      <c r="X244" s="49">
        <v>-4.7614999999999998</v>
      </c>
      <c r="Y244" s="49">
        <v>-4.7614999999999998</v>
      </c>
      <c r="Z244" s="49">
        <v>4.4336000000000002</v>
      </c>
      <c r="AA244" s="49">
        <v>4.4497</v>
      </c>
      <c r="AB244" s="49">
        <v>6.2949000000000002</v>
      </c>
      <c r="AC244" s="49">
        <v>6.3192000000000004</v>
      </c>
      <c r="AD244" s="49">
        <v>1.5809</v>
      </c>
      <c r="AE244" s="49">
        <v>1.5839000000000001</v>
      </c>
      <c r="AH244" s="16">
        <f t="shared" si="21"/>
        <v>20000131</v>
      </c>
      <c r="AI244" s="16">
        <f t="shared" si="22"/>
        <v>-0.60699999999999998</v>
      </c>
      <c r="AJ244" s="16">
        <f t="shared" si="23"/>
        <v>6.3336000000000006</v>
      </c>
      <c r="AK244" s="16">
        <f t="shared" si="24"/>
        <v>9.6704000000000008</v>
      </c>
      <c r="AL244" s="16">
        <v>0.61</v>
      </c>
      <c r="AM244" s="17">
        <f t="shared" si="25"/>
        <v>-0.65783333333333327</v>
      </c>
      <c r="AN244" s="17">
        <f t="shared" si="26"/>
        <v>6.3336000000000006</v>
      </c>
      <c r="AO244" s="17">
        <f t="shared" si="27"/>
        <v>9.6704000000000008</v>
      </c>
    </row>
    <row r="245" spans="1:41">
      <c r="A245" s="49">
        <v>20000229</v>
      </c>
      <c r="B245" s="49">
        <v>1.0834999999999999</v>
      </c>
      <c r="C245" s="49">
        <v>1.0966</v>
      </c>
      <c r="D245" s="49">
        <v>-5.0648</v>
      </c>
      <c r="E245" s="49">
        <v>-5.0442999999999998</v>
      </c>
      <c r="F245" s="49">
        <v>6.6247999999999996</v>
      </c>
      <c r="G245" s="49">
        <v>6.6311999999999998</v>
      </c>
      <c r="H245" s="49">
        <v>1.1615</v>
      </c>
      <c r="I245" s="49">
        <v>1.1724000000000001</v>
      </c>
      <c r="J245" s="49">
        <v>-5.6265000000000001</v>
      </c>
      <c r="K245" s="49">
        <v>-5.6085000000000003</v>
      </c>
      <c r="L245" s="49">
        <v>6.6501999999999999</v>
      </c>
      <c r="M245" s="49">
        <v>6.6551</v>
      </c>
      <c r="N245" s="49">
        <v>0.24060000000000001</v>
      </c>
      <c r="O245" s="49">
        <v>0.27900000000000003</v>
      </c>
      <c r="P245" s="49">
        <v>-1.518</v>
      </c>
      <c r="Q245" s="49">
        <v>-1.4815</v>
      </c>
      <c r="R245" s="49">
        <v>5.9751000000000003</v>
      </c>
      <c r="S245" s="49">
        <v>6.0198999999999998</v>
      </c>
      <c r="T245" s="49">
        <v>2.4384999999999999</v>
      </c>
      <c r="U245" s="49">
        <v>2.4413</v>
      </c>
      <c r="V245" s="49">
        <v>-4.8102</v>
      </c>
      <c r="W245" s="49">
        <v>-4.8032000000000004</v>
      </c>
      <c r="X245" s="49">
        <v>6.9612999999999996</v>
      </c>
      <c r="Y245" s="49">
        <v>6.9614000000000003</v>
      </c>
      <c r="Z245" s="49">
        <v>-2.2538999999999998</v>
      </c>
      <c r="AA245" s="49">
        <v>-2.2214999999999998</v>
      </c>
      <c r="AB245" s="49">
        <v>-6.9897999999999998</v>
      </c>
      <c r="AC245" s="49">
        <v>-6.9532999999999996</v>
      </c>
      <c r="AD245" s="49">
        <v>5.3167999999999997</v>
      </c>
      <c r="AE245" s="49">
        <v>5.3423999999999996</v>
      </c>
      <c r="AH245" s="16">
        <f t="shared" si="21"/>
        <v>20000229</v>
      </c>
      <c r="AI245" s="16">
        <f t="shared" si="22"/>
        <v>1.0966</v>
      </c>
      <c r="AJ245" s="16">
        <f t="shared" si="23"/>
        <v>-19.765000000000001</v>
      </c>
      <c r="AK245" s="16">
        <f t="shared" si="24"/>
        <v>3.4917999999999996</v>
      </c>
      <c r="AL245" s="16">
        <v>0.48</v>
      </c>
      <c r="AM245" s="17">
        <f t="shared" si="25"/>
        <v>1.0566</v>
      </c>
      <c r="AN245" s="17">
        <f t="shared" si="26"/>
        <v>-19.765000000000001</v>
      </c>
      <c r="AO245" s="17">
        <f t="shared" si="27"/>
        <v>3.4917999999999996</v>
      </c>
    </row>
    <row r="246" spans="1:41">
      <c r="A246" s="49">
        <v>20000331</v>
      </c>
      <c r="B246" s="49">
        <v>-0.39950000000000002</v>
      </c>
      <c r="C246" s="49">
        <v>-0.11990000000000001</v>
      </c>
      <c r="D246" s="49">
        <v>5.3575999999999997</v>
      </c>
      <c r="E246" s="49">
        <v>5.8235000000000001</v>
      </c>
      <c r="F246" s="49">
        <v>-5.0180999999999996</v>
      </c>
      <c r="G246" s="49">
        <v>-4.8906000000000001</v>
      </c>
      <c r="H246" s="49">
        <v>-0.60519999999999996</v>
      </c>
      <c r="I246" s="49">
        <v>-0.35010000000000002</v>
      </c>
      <c r="J246" s="49">
        <v>5.601</v>
      </c>
      <c r="K246" s="49">
        <v>6.0366</v>
      </c>
      <c r="L246" s="49">
        <v>-5.0430999999999999</v>
      </c>
      <c r="M246" s="49">
        <v>-4.9195000000000002</v>
      </c>
      <c r="N246" s="49">
        <v>1.8258000000000001</v>
      </c>
      <c r="O246" s="49">
        <v>2.3725999999999998</v>
      </c>
      <c r="P246" s="49">
        <v>3.8731</v>
      </c>
      <c r="Q246" s="49">
        <v>4.5232999999999999</v>
      </c>
      <c r="R246" s="49">
        <v>-4.3794000000000004</v>
      </c>
      <c r="S246" s="49">
        <v>-4.1520999999999999</v>
      </c>
      <c r="T246" s="49">
        <v>-0.62139999999999995</v>
      </c>
      <c r="U246" s="49">
        <v>-0.41389999999999999</v>
      </c>
      <c r="V246" s="49">
        <v>6.1166999999999998</v>
      </c>
      <c r="W246" s="49">
        <v>6.4813000000000001</v>
      </c>
      <c r="X246" s="49">
        <v>-4.3606999999999996</v>
      </c>
      <c r="Y246" s="49">
        <v>-4.242</v>
      </c>
      <c r="Z246" s="49">
        <v>-0.56289999999999996</v>
      </c>
      <c r="AA246" s="49">
        <v>-0.17419999999999999</v>
      </c>
      <c r="AB246" s="49">
        <v>4.7154999999999996</v>
      </c>
      <c r="AC246" s="49">
        <v>5.2724000000000002</v>
      </c>
      <c r="AD246" s="49">
        <v>-8.0035000000000007</v>
      </c>
      <c r="AE246" s="49">
        <v>-7.8585000000000003</v>
      </c>
      <c r="AH246" s="16">
        <f t="shared" si="21"/>
        <v>20000331</v>
      </c>
      <c r="AI246" s="16">
        <f t="shared" si="22"/>
        <v>-0.11990000000000001</v>
      </c>
      <c r="AJ246" s="16">
        <f t="shared" si="23"/>
        <v>19.631499999999999</v>
      </c>
      <c r="AK246" s="16">
        <f t="shared" si="24"/>
        <v>-0.74589999999999979</v>
      </c>
      <c r="AL246" s="16">
        <v>0.19</v>
      </c>
      <c r="AM246" s="17">
        <f t="shared" si="25"/>
        <v>-0.13573333333333334</v>
      </c>
      <c r="AN246" s="17">
        <f t="shared" si="26"/>
        <v>19.631499999999999</v>
      </c>
      <c r="AO246" s="17">
        <f t="shared" si="27"/>
        <v>-0.74589999999999979</v>
      </c>
    </row>
    <row r="247" spans="1:41">
      <c r="A247" s="49">
        <v>20000430</v>
      </c>
      <c r="B247" s="49">
        <v>-2.9159999999999999</v>
      </c>
      <c r="C247" s="49">
        <v>-2.9157999999999999</v>
      </c>
      <c r="D247" s="49">
        <v>-1.0754999999999999</v>
      </c>
      <c r="E247" s="49">
        <v>-1.0758000000000001</v>
      </c>
      <c r="F247" s="49">
        <v>-4.5533000000000001</v>
      </c>
      <c r="G247" s="49">
        <v>-4.5526</v>
      </c>
      <c r="H247" s="49">
        <v>-2.6909000000000001</v>
      </c>
      <c r="I247" s="49">
        <v>-2.6905999999999999</v>
      </c>
      <c r="J247" s="49">
        <v>-0.42720000000000002</v>
      </c>
      <c r="K247" s="49">
        <v>-0.42720000000000002</v>
      </c>
      <c r="L247" s="49">
        <v>-4.4928999999999997</v>
      </c>
      <c r="M247" s="49">
        <v>-4.4923000000000002</v>
      </c>
      <c r="N247" s="49">
        <v>-5.3262</v>
      </c>
      <c r="O247" s="49">
        <v>-5.3273000000000001</v>
      </c>
      <c r="P247" s="49">
        <v>-5.0933000000000002</v>
      </c>
      <c r="Q247" s="49">
        <v>-5.0956000000000001</v>
      </c>
      <c r="R247" s="49">
        <v>-6.0903</v>
      </c>
      <c r="S247" s="49">
        <v>-6.0875000000000004</v>
      </c>
      <c r="T247" s="49">
        <v>-3.4386999999999999</v>
      </c>
      <c r="U247" s="49">
        <v>-3.4386999999999999</v>
      </c>
      <c r="V247" s="49">
        <v>-0.86870000000000003</v>
      </c>
      <c r="W247" s="49">
        <v>-0.86870000000000003</v>
      </c>
      <c r="X247" s="49">
        <v>-5.0225999999999997</v>
      </c>
      <c r="Y247" s="49">
        <v>-5.0225999999999997</v>
      </c>
      <c r="Z247" s="49">
        <v>-0.60509999999999997</v>
      </c>
      <c r="AA247" s="49">
        <v>-0.60389999999999999</v>
      </c>
      <c r="AB247" s="49">
        <v>0.33460000000000001</v>
      </c>
      <c r="AC247" s="49">
        <v>0.33460000000000001</v>
      </c>
      <c r="AD247" s="49">
        <v>-2.113</v>
      </c>
      <c r="AE247" s="49">
        <v>-2.1099000000000001</v>
      </c>
      <c r="AH247" s="16">
        <f t="shared" si="21"/>
        <v>20000430</v>
      </c>
      <c r="AI247" s="16">
        <f t="shared" si="22"/>
        <v>-2.9157999999999999</v>
      </c>
      <c r="AJ247" s="16">
        <f t="shared" si="23"/>
        <v>5.0570000000000004</v>
      </c>
      <c r="AK247" s="16">
        <f t="shared" si="24"/>
        <v>-6.2635999999999994</v>
      </c>
      <c r="AL247" s="16">
        <v>0.15</v>
      </c>
      <c r="AM247" s="17">
        <f t="shared" si="25"/>
        <v>-2.9283000000000001</v>
      </c>
      <c r="AN247" s="17">
        <f t="shared" si="26"/>
        <v>5.0570000000000004</v>
      </c>
      <c r="AO247" s="17">
        <f t="shared" si="27"/>
        <v>-6.2635999999999994</v>
      </c>
    </row>
    <row r="248" spans="1:41">
      <c r="A248" s="49">
        <v>20000531</v>
      </c>
      <c r="B248" s="49">
        <v>-6.2157</v>
      </c>
      <c r="C248" s="49">
        <v>-6.1913999999999998</v>
      </c>
      <c r="D248" s="49">
        <v>0.38629999999999998</v>
      </c>
      <c r="E248" s="49">
        <v>0.3972</v>
      </c>
      <c r="F248" s="49">
        <v>-12.2827</v>
      </c>
      <c r="G248" s="49">
        <v>-12.2479</v>
      </c>
      <c r="H248" s="49">
        <v>-7.0229999999999997</v>
      </c>
      <c r="I248" s="49">
        <v>-7.0004999999999997</v>
      </c>
      <c r="J248" s="49">
        <v>-0.25080000000000002</v>
      </c>
      <c r="K248" s="49">
        <v>-0.24560000000000001</v>
      </c>
      <c r="L248" s="49">
        <v>-12.625299999999999</v>
      </c>
      <c r="M248" s="49">
        <v>-12.590299999999999</v>
      </c>
      <c r="N248" s="49">
        <v>2.6745000000000001</v>
      </c>
      <c r="O248" s="49">
        <v>2.7191000000000001</v>
      </c>
      <c r="P248" s="49">
        <v>4.5274000000000001</v>
      </c>
      <c r="Q248" s="49">
        <v>4.5777000000000001</v>
      </c>
      <c r="R248" s="49">
        <v>-3.4222999999999999</v>
      </c>
      <c r="S248" s="49">
        <v>-3.3948999999999998</v>
      </c>
      <c r="T248" s="49">
        <v>-9.4547000000000008</v>
      </c>
      <c r="U248" s="49">
        <v>-9.4265000000000008</v>
      </c>
      <c r="V248" s="49">
        <v>-3.0996999999999999</v>
      </c>
      <c r="W248" s="49">
        <v>-3.0951</v>
      </c>
      <c r="X248" s="49">
        <v>-13.525399999999999</v>
      </c>
      <c r="Y248" s="49">
        <v>-13.4839</v>
      </c>
      <c r="Z248" s="49">
        <v>-0.42620000000000002</v>
      </c>
      <c r="AA248" s="49">
        <v>-0.42070000000000002</v>
      </c>
      <c r="AB248" s="49">
        <v>4.6029999999999998</v>
      </c>
      <c r="AC248" s="49">
        <v>4.6090999999999998</v>
      </c>
      <c r="AD248" s="49">
        <v>-8.6905999999999999</v>
      </c>
      <c r="AE248" s="49">
        <v>-8.6859999999999999</v>
      </c>
      <c r="AH248" s="16">
        <f t="shared" si="21"/>
        <v>20000531</v>
      </c>
      <c r="AI248" s="16">
        <f t="shared" si="22"/>
        <v>-6.1913999999999998</v>
      </c>
      <c r="AJ248" s="16">
        <f t="shared" si="23"/>
        <v>20.317299999999999</v>
      </c>
      <c r="AK248" s="16">
        <f t="shared" si="24"/>
        <v>14.018699999999999</v>
      </c>
      <c r="AL248" s="16">
        <v>0.22</v>
      </c>
      <c r="AM248" s="17">
        <f t="shared" si="25"/>
        <v>-6.2097333333333333</v>
      </c>
      <c r="AN248" s="17">
        <f t="shared" si="26"/>
        <v>20.317299999999999</v>
      </c>
      <c r="AO248" s="17">
        <f t="shared" si="27"/>
        <v>14.018699999999999</v>
      </c>
    </row>
    <row r="249" spans="1:41">
      <c r="A249" s="49">
        <v>20000630</v>
      </c>
      <c r="B249" s="49">
        <v>5.1852999999999998</v>
      </c>
      <c r="C249" s="49">
        <v>5.2420999999999998</v>
      </c>
      <c r="D249" s="49">
        <v>7.0236000000000001</v>
      </c>
      <c r="E249" s="49">
        <v>7.1102999999999996</v>
      </c>
      <c r="F249" s="49">
        <v>3.2524000000000002</v>
      </c>
      <c r="G249" s="49">
        <v>3.2787999999999999</v>
      </c>
      <c r="H249" s="49">
        <v>4.7374000000000001</v>
      </c>
      <c r="I249" s="49">
        <v>4.7846000000000002</v>
      </c>
      <c r="J249" s="49">
        <v>6.3235999999999999</v>
      </c>
      <c r="K249" s="49">
        <v>6.3937999999999997</v>
      </c>
      <c r="L249" s="49">
        <v>3.2399</v>
      </c>
      <c r="M249" s="49">
        <v>3.2658999999999998</v>
      </c>
      <c r="N249" s="49">
        <v>9.6483000000000008</v>
      </c>
      <c r="O249" s="49">
        <v>9.8048999999999999</v>
      </c>
      <c r="P249" s="49">
        <v>11.3643</v>
      </c>
      <c r="Q249" s="49">
        <v>11.558299999999999</v>
      </c>
      <c r="R249" s="49">
        <v>3.5457000000000001</v>
      </c>
      <c r="S249" s="49">
        <v>3.5785</v>
      </c>
      <c r="T249" s="49">
        <v>3.5891000000000002</v>
      </c>
      <c r="U249" s="49">
        <v>3.6194000000000002</v>
      </c>
      <c r="V249" s="49">
        <v>4.8033999999999999</v>
      </c>
      <c r="W249" s="49">
        <v>4.8544</v>
      </c>
      <c r="X249" s="49">
        <v>2.7181000000000002</v>
      </c>
      <c r="Y249" s="49">
        <v>2.7338</v>
      </c>
      <c r="Z249" s="49">
        <v>7.5678999999999998</v>
      </c>
      <c r="AA249" s="49">
        <v>7.6581999999999999</v>
      </c>
      <c r="AB249" s="49">
        <v>8.7202000000000002</v>
      </c>
      <c r="AC249" s="49">
        <v>8.8216999999999999</v>
      </c>
      <c r="AD249" s="49">
        <v>5.3986000000000001</v>
      </c>
      <c r="AE249" s="49">
        <v>5.4684999999999997</v>
      </c>
      <c r="AH249" s="16">
        <f t="shared" si="21"/>
        <v>20000630</v>
      </c>
      <c r="AI249" s="16">
        <f t="shared" si="22"/>
        <v>5.2420999999999998</v>
      </c>
      <c r="AJ249" s="16">
        <f t="shared" si="23"/>
        <v>11.107699999999999</v>
      </c>
      <c r="AK249" s="16">
        <f t="shared" si="24"/>
        <v>5.4771000000000001</v>
      </c>
      <c r="AL249" s="16">
        <v>0.49</v>
      </c>
      <c r="AM249" s="17">
        <f t="shared" si="25"/>
        <v>5.2012666666666663</v>
      </c>
      <c r="AN249" s="17">
        <f t="shared" si="26"/>
        <v>11.107699999999999</v>
      </c>
      <c r="AO249" s="17">
        <f t="shared" si="27"/>
        <v>5.4771000000000001</v>
      </c>
    </row>
    <row r="250" spans="1:41">
      <c r="A250" s="49">
        <v>20000731</v>
      </c>
      <c r="B250" s="49">
        <v>-8.4642999999999997</v>
      </c>
      <c r="C250" s="49">
        <v>-8.4613999999999994</v>
      </c>
      <c r="D250" s="49">
        <v>-7.1512000000000002</v>
      </c>
      <c r="E250" s="49">
        <v>-7.1462000000000003</v>
      </c>
      <c r="F250" s="49">
        <v>-9.8958999999999993</v>
      </c>
      <c r="G250" s="49">
        <v>-9.8953000000000007</v>
      </c>
      <c r="H250" s="49">
        <v>-8.3942999999999994</v>
      </c>
      <c r="I250" s="49">
        <v>-8.3920999999999992</v>
      </c>
      <c r="J250" s="49">
        <v>-6.9321000000000002</v>
      </c>
      <c r="K250" s="49">
        <v>-6.9282000000000004</v>
      </c>
      <c r="L250" s="49">
        <v>-9.8152000000000008</v>
      </c>
      <c r="M250" s="49">
        <v>-9.8148</v>
      </c>
      <c r="N250" s="49">
        <v>-9.1274999999999995</v>
      </c>
      <c r="O250" s="49">
        <v>-9.1172000000000004</v>
      </c>
      <c r="P250" s="49">
        <v>-8.4397000000000002</v>
      </c>
      <c r="Q250" s="49">
        <v>-8.4282000000000004</v>
      </c>
      <c r="R250" s="49">
        <v>-11.7752</v>
      </c>
      <c r="S250" s="49">
        <v>-11.769600000000001</v>
      </c>
      <c r="T250" s="49">
        <v>-8.5396999999999998</v>
      </c>
      <c r="U250" s="49">
        <v>-8.5396999999999998</v>
      </c>
      <c r="V250" s="49">
        <v>-7.5827999999999998</v>
      </c>
      <c r="W250" s="49">
        <v>-7.5827999999999998</v>
      </c>
      <c r="X250" s="49">
        <v>-9.24</v>
      </c>
      <c r="Y250" s="49">
        <v>-9.24</v>
      </c>
      <c r="Z250" s="49">
        <v>-8.0489999999999995</v>
      </c>
      <c r="AA250" s="49">
        <v>-8.0418000000000003</v>
      </c>
      <c r="AB250" s="49">
        <v>-5.9419000000000004</v>
      </c>
      <c r="AC250" s="49">
        <v>-5.9320000000000004</v>
      </c>
      <c r="AD250" s="49">
        <v>-12.1365</v>
      </c>
      <c r="AE250" s="49">
        <v>-12.134499999999999</v>
      </c>
      <c r="AH250" s="16">
        <f t="shared" si="21"/>
        <v>20000731</v>
      </c>
      <c r="AI250" s="16">
        <f t="shared" si="22"/>
        <v>-8.4613999999999994</v>
      </c>
      <c r="AJ250" s="16">
        <f t="shared" si="23"/>
        <v>6.2279999999999998</v>
      </c>
      <c r="AK250" s="16">
        <f t="shared" si="24"/>
        <v>-3.4547999999999988</v>
      </c>
      <c r="AL250" s="16">
        <v>0.2</v>
      </c>
      <c r="AM250" s="17">
        <f t="shared" si="25"/>
        <v>-8.4780666666666669</v>
      </c>
      <c r="AN250" s="17">
        <f t="shared" si="26"/>
        <v>6.2279999999999998</v>
      </c>
      <c r="AO250" s="17">
        <f t="shared" si="27"/>
        <v>-3.4547999999999988</v>
      </c>
    </row>
    <row r="251" spans="1:41">
      <c r="A251" s="49">
        <v>20000831</v>
      </c>
      <c r="B251" s="49">
        <v>3.8980999999999999</v>
      </c>
      <c r="C251" s="49">
        <v>3.9176000000000002</v>
      </c>
      <c r="D251" s="49">
        <v>2.0531999999999999</v>
      </c>
      <c r="E251" s="49">
        <v>2.0746000000000002</v>
      </c>
      <c r="F251" s="49">
        <v>5.9706000000000001</v>
      </c>
      <c r="G251" s="49">
        <v>5.9878</v>
      </c>
      <c r="H251" s="49">
        <v>3.7339000000000002</v>
      </c>
      <c r="I251" s="49">
        <v>3.7517</v>
      </c>
      <c r="J251" s="49">
        <v>1.5465</v>
      </c>
      <c r="K251" s="49">
        <v>1.5654999999999999</v>
      </c>
      <c r="L251" s="49">
        <v>5.9272</v>
      </c>
      <c r="M251" s="49">
        <v>5.9436</v>
      </c>
      <c r="N251" s="49">
        <v>5.4638</v>
      </c>
      <c r="O251" s="49">
        <v>5.4997999999999996</v>
      </c>
      <c r="P251" s="49">
        <v>5.0780000000000003</v>
      </c>
      <c r="Q251" s="49">
        <v>5.1143000000000001</v>
      </c>
      <c r="R251" s="49">
        <v>7.0057</v>
      </c>
      <c r="S251" s="49">
        <v>7.0404999999999998</v>
      </c>
      <c r="T251" s="49">
        <v>3.8974000000000002</v>
      </c>
      <c r="U251" s="49">
        <v>3.9089999999999998</v>
      </c>
      <c r="V251" s="49">
        <v>1.0596000000000001</v>
      </c>
      <c r="W251" s="49">
        <v>1.075</v>
      </c>
      <c r="X251" s="49">
        <v>6.0114999999999998</v>
      </c>
      <c r="Y251" s="49">
        <v>6.0202999999999998</v>
      </c>
      <c r="Z251" s="49">
        <v>3.3475999999999999</v>
      </c>
      <c r="AA251" s="49">
        <v>3.3797999999999999</v>
      </c>
      <c r="AB251" s="49">
        <v>2.2746</v>
      </c>
      <c r="AC251" s="49">
        <v>2.2991000000000001</v>
      </c>
      <c r="AD251" s="49">
        <v>5.5757000000000003</v>
      </c>
      <c r="AE251" s="49">
        <v>5.6234000000000002</v>
      </c>
      <c r="AH251" s="16">
        <f t="shared" si="21"/>
        <v>20000831</v>
      </c>
      <c r="AI251" s="16">
        <f t="shared" si="22"/>
        <v>3.9176000000000002</v>
      </c>
      <c r="AJ251" s="16">
        <f t="shared" si="23"/>
        <v>-6.3042999999999996</v>
      </c>
      <c r="AK251" s="16">
        <f t="shared" si="24"/>
        <v>4.6456999999999997</v>
      </c>
      <c r="AL251" s="16">
        <v>0.19</v>
      </c>
      <c r="AM251" s="17">
        <f t="shared" si="25"/>
        <v>3.901766666666667</v>
      </c>
      <c r="AN251" s="17">
        <f t="shared" si="26"/>
        <v>-6.3042999999999996</v>
      </c>
      <c r="AO251" s="17">
        <f t="shared" si="27"/>
        <v>4.6456999999999997</v>
      </c>
    </row>
    <row r="252" spans="1:41">
      <c r="A252" s="49">
        <v>20000930</v>
      </c>
      <c r="B252" s="49">
        <v>-3.3948</v>
      </c>
      <c r="C252" s="49">
        <v>-3.1208999999999998</v>
      </c>
      <c r="D252" s="49">
        <v>-1.8939999999999999</v>
      </c>
      <c r="E252" s="49">
        <v>-1.5223</v>
      </c>
      <c r="F252" s="49">
        <v>-4.9884000000000004</v>
      </c>
      <c r="G252" s="49">
        <v>-4.8167999999999997</v>
      </c>
      <c r="H252" s="49">
        <v>-3.3285</v>
      </c>
      <c r="I252" s="49">
        <v>-3.0630999999999999</v>
      </c>
      <c r="J252" s="49">
        <v>-1.647</v>
      </c>
      <c r="K252" s="49">
        <v>-1.2813000000000001</v>
      </c>
      <c r="L252" s="49">
        <v>-4.9074999999999998</v>
      </c>
      <c r="M252" s="49">
        <v>-4.7350000000000003</v>
      </c>
      <c r="N252" s="49">
        <v>-4.0198999999999998</v>
      </c>
      <c r="O252" s="49">
        <v>-3.6667999999999998</v>
      </c>
      <c r="P252" s="49">
        <v>-3.2883</v>
      </c>
      <c r="Q252" s="49">
        <v>-2.8835000000000002</v>
      </c>
      <c r="R252" s="49">
        <v>-6.8940999999999999</v>
      </c>
      <c r="S252" s="49">
        <v>-6.7428999999999997</v>
      </c>
      <c r="T252" s="49">
        <v>-4.2133000000000003</v>
      </c>
      <c r="U252" s="49">
        <v>-3.968</v>
      </c>
      <c r="V252" s="49">
        <v>-2.5470000000000002</v>
      </c>
      <c r="W252" s="49">
        <v>-2.1989000000000001</v>
      </c>
      <c r="X252" s="49">
        <v>-5.3410000000000002</v>
      </c>
      <c r="Y252" s="49">
        <v>-5.1650999999999998</v>
      </c>
      <c r="Z252" s="49">
        <v>-1.2513000000000001</v>
      </c>
      <c r="AA252" s="49">
        <v>-0.93799999999999994</v>
      </c>
      <c r="AB252" s="49">
        <v>-0.33610000000000001</v>
      </c>
      <c r="AC252" s="49">
        <v>5.5500000000000001E-2</v>
      </c>
      <c r="AD252" s="49">
        <v>-3.0945999999999998</v>
      </c>
      <c r="AE252" s="49">
        <v>-2.9365999999999999</v>
      </c>
      <c r="AH252" s="16">
        <f t="shared" si="21"/>
        <v>20000930</v>
      </c>
      <c r="AI252" s="16">
        <f t="shared" si="22"/>
        <v>-3.1208999999999998</v>
      </c>
      <c r="AJ252" s="16">
        <f t="shared" si="23"/>
        <v>7.3131000000000004</v>
      </c>
      <c r="AK252" s="16">
        <f t="shared" si="24"/>
        <v>-3.6101000000000001</v>
      </c>
      <c r="AL252" s="16">
        <v>0.4</v>
      </c>
      <c r="AM252" s="17">
        <f t="shared" si="25"/>
        <v>-3.154233333333333</v>
      </c>
      <c r="AN252" s="17">
        <f t="shared" si="26"/>
        <v>7.3131000000000004</v>
      </c>
      <c r="AO252" s="17">
        <f t="shared" si="27"/>
        <v>-3.6101000000000001</v>
      </c>
    </row>
    <row r="253" spans="1:41">
      <c r="A253" s="49">
        <v>20001031</v>
      </c>
      <c r="B253" s="49">
        <v>-6.2214</v>
      </c>
      <c r="C253" s="49">
        <v>-6.2201000000000004</v>
      </c>
      <c r="D253" s="49">
        <v>-2.6509999999999998</v>
      </c>
      <c r="E253" s="49">
        <v>-2.6490999999999998</v>
      </c>
      <c r="F253" s="49">
        <v>-10.2195</v>
      </c>
      <c r="G253" s="49">
        <v>-10.2188</v>
      </c>
      <c r="H253" s="49">
        <v>-5.9511000000000003</v>
      </c>
      <c r="I253" s="49">
        <v>-5.9504000000000001</v>
      </c>
      <c r="J253" s="49">
        <v>-1.7867999999999999</v>
      </c>
      <c r="K253" s="49">
        <v>-1.7862</v>
      </c>
      <c r="L253" s="49">
        <v>-10.101800000000001</v>
      </c>
      <c r="M253" s="49">
        <v>-10.101100000000001</v>
      </c>
      <c r="N253" s="49">
        <v>-8.7773000000000003</v>
      </c>
      <c r="O253" s="49">
        <v>-8.7695000000000007</v>
      </c>
      <c r="P253" s="49">
        <v>-7.7293000000000003</v>
      </c>
      <c r="Q253" s="49">
        <v>-7.7202000000000002</v>
      </c>
      <c r="R253" s="49">
        <v>-13.0557</v>
      </c>
      <c r="S253" s="49">
        <v>-13.052899999999999</v>
      </c>
      <c r="T253" s="49">
        <v>-6.3441000000000001</v>
      </c>
      <c r="U253" s="49">
        <v>-6.3441000000000001</v>
      </c>
      <c r="V253" s="49">
        <v>-0.75209999999999999</v>
      </c>
      <c r="W253" s="49">
        <v>-0.75209999999999999</v>
      </c>
      <c r="X253" s="49">
        <v>-10.444800000000001</v>
      </c>
      <c r="Y253" s="49">
        <v>-10.444800000000001</v>
      </c>
      <c r="Z253" s="49">
        <v>-5.0434999999999999</v>
      </c>
      <c r="AA253" s="49">
        <v>-5.0412999999999997</v>
      </c>
      <c r="AB253" s="49">
        <v>-3.2835000000000001</v>
      </c>
      <c r="AC253" s="49">
        <v>-3.282</v>
      </c>
      <c r="AD253" s="49">
        <v>-8.6967999999999996</v>
      </c>
      <c r="AE253" s="49">
        <v>-8.6934000000000005</v>
      </c>
      <c r="AH253" s="16">
        <f t="shared" si="21"/>
        <v>20001031</v>
      </c>
      <c r="AI253" s="16">
        <f t="shared" si="22"/>
        <v>-6.2201000000000004</v>
      </c>
      <c r="AJ253" s="16">
        <f t="shared" si="23"/>
        <v>13.647600000000001</v>
      </c>
      <c r="AK253" s="16">
        <f t="shared" si="24"/>
        <v>-8.8857999999999997</v>
      </c>
      <c r="AL253" s="16">
        <v>0.5</v>
      </c>
      <c r="AM253" s="17">
        <f t="shared" si="25"/>
        <v>-6.2617666666666674</v>
      </c>
      <c r="AN253" s="17">
        <f t="shared" si="26"/>
        <v>13.647600000000001</v>
      </c>
      <c r="AO253" s="17">
        <f t="shared" si="27"/>
        <v>-8.8857999999999997</v>
      </c>
    </row>
    <row r="254" spans="1:41">
      <c r="A254" s="49">
        <v>20001130</v>
      </c>
      <c r="B254" s="49">
        <v>-1.0072000000000001</v>
      </c>
      <c r="C254" s="49">
        <v>-1.0013000000000001</v>
      </c>
      <c r="D254" s="49">
        <v>-0.81899999999999995</v>
      </c>
      <c r="E254" s="49">
        <v>-0.80740000000000001</v>
      </c>
      <c r="F254" s="49">
        <v>-1.2343</v>
      </c>
      <c r="G254" s="49">
        <v>-1.2354000000000001</v>
      </c>
      <c r="H254" s="49">
        <v>-1.3498000000000001</v>
      </c>
      <c r="I254" s="49">
        <v>-1.3448</v>
      </c>
      <c r="J254" s="49">
        <v>-1.5072000000000001</v>
      </c>
      <c r="K254" s="49">
        <v>-1.4961</v>
      </c>
      <c r="L254" s="49">
        <v>-1.1772</v>
      </c>
      <c r="M254" s="49">
        <v>-1.1788000000000001</v>
      </c>
      <c r="N254" s="49">
        <v>2.3359000000000001</v>
      </c>
      <c r="O254" s="49">
        <v>2.3502999999999998</v>
      </c>
      <c r="P254" s="49">
        <v>3.4904999999999999</v>
      </c>
      <c r="Q254" s="49">
        <v>3.5053999999999998</v>
      </c>
      <c r="R254" s="49">
        <v>-2.6528999999999998</v>
      </c>
      <c r="S254" s="49">
        <v>-2.6408999999999998</v>
      </c>
      <c r="T254" s="49">
        <v>-2.3309000000000002</v>
      </c>
      <c r="U254" s="49">
        <v>-2.3264999999999998</v>
      </c>
      <c r="V254" s="49">
        <v>-4.2234999999999996</v>
      </c>
      <c r="W254" s="49">
        <v>-4.2077999999999998</v>
      </c>
      <c r="X254" s="49">
        <v>-0.79330000000000001</v>
      </c>
      <c r="Y254" s="49">
        <v>-0.7984</v>
      </c>
      <c r="Z254" s="49">
        <v>0.88270000000000004</v>
      </c>
      <c r="AA254" s="49">
        <v>0.88900000000000001</v>
      </c>
      <c r="AB254" s="49">
        <v>2.5213999999999999</v>
      </c>
      <c r="AC254" s="49">
        <v>2.5249000000000001</v>
      </c>
      <c r="AD254" s="49">
        <v>-2.7202000000000002</v>
      </c>
      <c r="AE254" s="49">
        <v>-2.7082000000000002</v>
      </c>
      <c r="AH254" s="16">
        <f t="shared" si="21"/>
        <v>20001130</v>
      </c>
      <c r="AI254" s="16">
        <f t="shared" si="22"/>
        <v>-1.0013000000000001</v>
      </c>
      <c r="AJ254" s="16">
        <f t="shared" si="23"/>
        <v>5.8290000000000006</v>
      </c>
      <c r="AK254" s="16">
        <f t="shared" si="24"/>
        <v>3.5394000000000001</v>
      </c>
      <c r="AL254" s="16">
        <v>0.62</v>
      </c>
      <c r="AM254" s="17">
        <f t="shared" si="25"/>
        <v>-1.0529666666666668</v>
      </c>
      <c r="AN254" s="17">
        <f t="shared" si="26"/>
        <v>5.8290000000000006</v>
      </c>
      <c r="AO254" s="17">
        <f t="shared" si="27"/>
        <v>3.5394000000000001</v>
      </c>
    </row>
    <row r="255" spans="1:41">
      <c r="A255" s="49">
        <v>20001231</v>
      </c>
      <c r="B255" s="49">
        <v>-4.7927</v>
      </c>
      <c r="C255" s="49">
        <v>-4.7701000000000002</v>
      </c>
      <c r="D255" s="49">
        <v>-2.1852</v>
      </c>
      <c r="E255" s="49">
        <v>-2.1566999999999998</v>
      </c>
      <c r="F255" s="49">
        <v>-7.9678000000000004</v>
      </c>
      <c r="G255" s="49">
        <v>-7.9524999999999997</v>
      </c>
      <c r="H255" s="49">
        <v>-4.7516999999999996</v>
      </c>
      <c r="I255" s="49">
        <v>-4.7336999999999998</v>
      </c>
      <c r="J255" s="49">
        <v>-1.7703</v>
      </c>
      <c r="K255" s="49">
        <v>-1.7494000000000001</v>
      </c>
      <c r="L255" s="49">
        <v>-7.9837999999999996</v>
      </c>
      <c r="M255" s="49">
        <v>-7.9687999999999999</v>
      </c>
      <c r="N255" s="49">
        <v>-5.1776</v>
      </c>
      <c r="O255" s="49">
        <v>-5.1124000000000001</v>
      </c>
      <c r="P255" s="49">
        <v>-4.6578999999999997</v>
      </c>
      <c r="Q255" s="49">
        <v>-4.5839999999999996</v>
      </c>
      <c r="R255" s="49">
        <v>-7.5656999999999996</v>
      </c>
      <c r="S255" s="49">
        <v>-7.5404999999999998</v>
      </c>
      <c r="T255" s="49">
        <v>-5.5618999999999996</v>
      </c>
      <c r="U255" s="49">
        <v>-5.5446999999999997</v>
      </c>
      <c r="V255" s="49">
        <v>-1.5219</v>
      </c>
      <c r="W255" s="49">
        <v>-1.4982</v>
      </c>
      <c r="X255" s="49">
        <v>-8.7263999999999999</v>
      </c>
      <c r="Y255" s="49">
        <v>-8.7140000000000004</v>
      </c>
      <c r="Z255" s="49">
        <v>-2.9661</v>
      </c>
      <c r="AA255" s="49">
        <v>-2.9464999999999999</v>
      </c>
      <c r="AB255" s="49">
        <v>-2.1145</v>
      </c>
      <c r="AC255" s="49">
        <v>-2.0975000000000001</v>
      </c>
      <c r="AD255" s="49">
        <v>-4.9394999999999998</v>
      </c>
      <c r="AE255" s="49">
        <v>-4.9138000000000002</v>
      </c>
      <c r="AH255" s="16">
        <f t="shared" si="21"/>
        <v>20001231</v>
      </c>
      <c r="AI255" s="16">
        <f t="shared" si="22"/>
        <v>-4.7701000000000002</v>
      </c>
      <c r="AJ255" s="16">
        <f t="shared" si="23"/>
        <v>9.1759000000000004</v>
      </c>
      <c r="AK255" s="16">
        <f t="shared" si="24"/>
        <v>-2.4062999999999999</v>
      </c>
      <c r="AL255" s="16">
        <v>0.96</v>
      </c>
      <c r="AM255" s="17">
        <f t="shared" si="25"/>
        <v>-4.8501000000000003</v>
      </c>
      <c r="AN255" s="17">
        <f t="shared" si="26"/>
        <v>9.1759000000000004</v>
      </c>
      <c r="AO255" s="17">
        <f t="shared" si="27"/>
        <v>-2.4062999999999999</v>
      </c>
    </row>
    <row r="256" spans="1:41">
      <c r="A256" s="49">
        <v>20010131</v>
      </c>
      <c r="B256" s="49">
        <v>1.1175999999999999</v>
      </c>
      <c r="C256" s="49">
        <v>1.1229</v>
      </c>
      <c r="D256" s="49">
        <v>0.3977</v>
      </c>
      <c r="E256" s="49">
        <v>0.40810000000000002</v>
      </c>
      <c r="F256" s="49">
        <v>1.7910999999999999</v>
      </c>
      <c r="G256" s="49">
        <v>1.7916000000000001</v>
      </c>
      <c r="H256" s="49">
        <v>1.0815999999999999</v>
      </c>
      <c r="I256" s="49">
        <v>1.0868</v>
      </c>
      <c r="J256" s="49">
        <v>0.27239999999999998</v>
      </c>
      <c r="K256" s="49">
        <v>0.28339999999999999</v>
      </c>
      <c r="L256" s="49">
        <v>1.7634000000000001</v>
      </c>
      <c r="M256" s="49">
        <v>1.7637</v>
      </c>
      <c r="N256" s="49">
        <v>1.4891000000000001</v>
      </c>
      <c r="O256" s="49">
        <v>1.4957</v>
      </c>
      <c r="P256" s="49">
        <v>1.1910000000000001</v>
      </c>
      <c r="Q256" s="49">
        <v>1.1973</v>
      </c>
      <c r="R256" s="49">
        <v>2.399</v>
      </c>
      <c r="S256" s="49">
        <v>2.4064000000000001</v>
      </c>
      <c r="T256" s="49">
        <v>1.6896</v>
      </c>
      <c r="U256" s="49">
        <v>1.6896</v>
      </c>
      <c r="V256" s="49">
        <v>1.0365</v>
      </c>
      <c r="W256" s="49">
        <v>1.0365</v>
      </c>
      <c r="X256" s="49">
        <v>2.0880000000000001</v>
      </c>
      <c r="Y256" s="49">
        <v>2.0880000000000001</v>
      </c>
      <c r="Z256" s="49">
        <v>-0.33479999999999999</v>
      </c>
      <c r="AA256" s="49">
        <v>-0.31759999999999999</v>
      </c>
      <c r="AB256" s="49">
        <v>-0.7823</v>
      </c>
      <c r="AC256" s="49">
        <v>-0.75600000000000001</v>
      </c>
      <c r="AD256" s="49">
        <v>0.45960000000000001</v>
      </c>
      <c r="AE256" s="49">
        <v>0.46079999999999999</v>
      </c>
      <c r="AH256" s="16">
        <f t="shared" si="21"/>
        <v>20010131</v>
      </c>
      <c r="AI256" s="16">
        <f t="shared" si="22"/>
        <v>1.1229</v>
      </c>
      <c r="AJ256" s="16">
        <f t="shared" si="23"/>
        <v>-2.6894</v>
      </c>
      <c r="AK256" s="16">
        <f t="shared" si="24"/>
        <v>1.5566</v>
      </c>
      <c r="AL256" s="16">
        <v>0.75</v>
      </c>
      <c r="AM256" s="17">
        <f t="shared" si="25"/>
        <v>1.0604</v>
      </c>
      <c r="AN256" s="17">
        <f t="shared" si="26"/>
        <v>-2.6894</v>
      </c>
      <c r="AO256" s="17">
        <f t="shared" si="27"/>
        <v>1.5566</v>
      </c>
    </row>
    <row r="257" spans="1:41">
      <c r="A257" s="49">
        <v>20010228</v>
      </c>
      <c r="B257" s="49">
        <v>-4.2576999999999998</v>
      </c>
      <c r="C257" s="49">
        <v>-4.2419000000000002</v>
      </c>
      <c r="D257" s="49">
        <v>-1.5633999999999999</v>
      </c>
      <c r="E257" s="49">
        <v>-1.5471999999999999</v>
      </c>
      <c r="F257" s="49">
        <v>-6.7385000000000002</v>
      </c>
      <c r="G257" s="49">
        <v>-6.7230999999999996</v>
      </c>
      <c r="H257" s="49">
        <v>-4.8247999999999998</v>
      </c>
      <c r="I257" s="49">
        <v>-4.8125999999999998</v>
      </c>
      <c r="J257" s="49">
        <v>-2.2240000000000002</v>
      </c>
      <c r="K257" s="49">
        <v>-2.2145000000000001</v>
      </c>
      <c r="L257" s="49">
        <v>-6.9806999999999997</v>
      </c>
      <c r="M257" s="49">
        <v>-6.9661999999999997</v>
      </c>
      <c r="N257" s="49">
        <v>1.6419999999999999</v>
      </c>
      <c r="O257" s="49">
        <v>1.6950000000000001</v>
      </c>
      <c r="P257" s="49">
        <v>2.5830000000000002</v>
      </c>
      <c r="Q257" s="49">
        <v>2.6419000000000001</v>
      </c>
      <c r="R257" s="49">
        <v>-1.2010000000000001</v>
      </c>
      <c r="S257" s="49">
        <v>-1.1652</v>
      </c>
      <c r="T257" s="49">
        <v>-5.9702000000000002</v>
      </c>
      <c r="U257" s="49">
        <v>-5.9600999999999997</v>
      </c>
      <c r="V257" s="49">
        <v>-4.2797000000000001</v>
      </c>
      <c r="W257" s="49">
        <v>-4.2773000000000003</v>
      </c>
      <c r="X257" s="49">
        <v>-6.9885000000000002</v>
      </c>
      <c r="Y257" s="49">
        <v>-6.9737</v>
      </c>
      <c r="Z257" s="49">
        <v>-2.0998000000000001</v>
      </c>
      <c r="AA257" s="49">
        <v>-2.0825</v>
      </c>
      <c r="AB257" s="49">
        <v>0.66690000000000005</v>
      </c>
      <c r="AC257" s="49">
        <v>0.68640000000000001</v>
      </c>
      <c r="AD257" s="49">
        <v>-6.9488000000000003</v>
      </c>
      <c r="AE257" s="49">
        <v>-6.9355000000000002</v>
      </c>
      <c r="AH257" s="16">
        <f t="shared" si="21"/>
        <v>20010228</v>
      </c>
      <c r="AI257" s="16">
        <f t="shared" si="22"/>
        <v>-4.2419000000000002</v>
      </c>
      <c r="AJ257" s="16">
        <f t="shared" si="23"/>
        <v>8.5587999999999997</v>
      </c>
      <c r="AK257" s="16">
        <f t="shared" si="24"/>
        <v>10.657399999999999</v>
      </c>
      <c r="AL257" s="16">
        <v>0.45</v>
      </c>
      <c r="AM257" s="17">
        <f t="shared" si="25"/>
        <v>-4.2793999999999999</v>
      </c>
      <c r="AN257" s="17">
        <f t="shared" si="26"/>
        <v>8.5587999999999997</v>
      </c>
      <c r="AO257" s="17">
        <f t="shared" si="27"/>
        <v>10.657399999999999</v>
      </c>
    </row>
    <row r="258" spans="1:41">
      <c r="A258" s="49">
        <v>20010331</v>
      </c>
      <c r="B258" s="49">
        <v>3.0838000000000001</v>
      </c>
      <c r="C258" s="49">
        <v>3.5272000000000001</v>
      </c>
      <c r="D258" s="49">
        <v>1.7791999999999999</v>
      </c>
      <c r="E258" s="49">
        <v>2.3917999999999999</v>
      </c>
      <c r="F258" s="49">
        <v>4.3735999999999997</v>
      </c>
      <c r="G258" s="49">
        <v>4.6612999999999998</v>
      </c>
      <c r="H258" s="49">
        <v>3.0659000000000001</v>
      </c>
      <c r="I258" s="49">
        <v>3.4691000000000001</v>
      </c>
      <c r="J258" s="49">
        <v>1.4433</v>
      </c>
      <c r="K258" s="49">
        <v>1.9907999999999999</v>
      </c>
      <c r="L258" s="49">
        <v>4.5042999999999997</v>
      </c>
      <c r="M258" s="49">
        <v>4.7893999999999997</v>
      </c>
      <c r="N258" s="49">
        <v>3.1943999999999999</v>
      </c>
      <c r="O258" s="49">
        <v>4.0303000000000004</v>
      </c>
      <c r="P258" s="49">
        <v>3.73</v>
      </c>
      <c r="Q258" s="49">
        <v>4.7213000000000003</v>
      </c>
      <c r="R258" s="49">
        <v>1.5069999999999999</v>
      </c>
      <c r="S258" s="49">
        <v>1.8516999999999999</v>
      </c>
      <c r="T258" s="49">
        <v>2.9338000000000002</v>
      </c>
      <c r="U258" s="49">
        <v>3.2858999999999998</v>
      </c>
      <c r="V258" s="49">
        <v>0.60229999999999995</v>
      </c>
      <c r="W258" s="49">
        <v>1.099</v>
      </c>
      <c r="X258" s="49">
        <v>4.4123000000000001</v>
      </c>
      <c r="Y258" s="49">
        <v>4.6816000000000004</v>
      </c>
      <c r="Z258" s="49">
        <v>3.3559999999999999</v>
      </c>
      <c r="AA258" s="49">
        <v>3.8776000000000002</v>
      </c>
      <c r="AB258" s="49">
        <v>2.5589</v>
      </c>
      <c r="AC258" s="49">
        <v>3.1728000000000001</v>
      </c>
      <c r="AD258" s="49">
        <v>4.8559999999999999</v>
      </c>
      <c r="AE258" s="49">
        <v>5.2073999999999998</v>
      </c>
      <c r="AH258" s="16">
        <f t="shared" si="21"/>
        <v>20010331</v>
      </c>
      <c r="AI258" s="16">
        <f t="shared" si="22"/>
        <v>3.5272000000000001</v>
      </c>
      <c r="AJ258" s="16">
        <f t="shared" si="23"/>
        <v>7.1000000000000618E-2</v>
      </c>
      <c r="AK258" s="16">
        <f t="shared" si="24"/>
        <v>-0.20719999999999938</v>
      </c>
      <c r="AL258" s="16">
        <v>0.32</v>
      </c>
      <c r="AM258" s="17">
        <f t="shared" si="25"/>
        <v>3.5005333333333333</v>
      </c>
      <c r="AN258" s="17">
        <f t="shared" si="26"/>
        <v>7.1000000000000618E-2</v>
      </c>
      <c r="AO258" s="17">
        <f t="shared" si="27"/>
        <v>-0.20719999999999938</v>
      </c>
    </row>
    <row r="259" spans="1:41">
      <c r="A259" s="49">
        <v>20010430</v>
      </c>
      <c r="B259" s="49">
        <v>6.5808999999999997</v>
      </c>
      <c r="C259" s="49">
        <v>6.5833000000000004</v>
      </c>
      <c r="D259" s="49">
        <v>7.8000999999999996</v>
      </c>
      <c r="E259" s="49">
        <v>7.8041999999999998</v>
      </c>
      <c r="F259" s="49">
        <v>5.4242999999999997</v>
      </c>
      <c r="G259" s="49">
        <v>5.4253</v>
      </c>
      <c r="H259" s="49">
        <v>6.3606999999999996</v>
      </c>
      <c r="I259" s="49">
        <v>6.3620999999999999</v>
      </c>
      <c r="J259" s="49">
        <v>7.4104000000000001</v>
      </c>
      <c r="K259" s="49">
        <v>7.4124999999999996</v>
      </c>
      <c r="L259" s="49">
        <v>5.4705000000000004</v>
      </c>
      <c r="M259" s="49">
        <v>5.4714</v>
      </c>
      <c r="N259" s="49">
        <v>8.7258999999999993</v>
      </c>
      <c r="O259" s="49">
        <v>8.7388999999999992</v>
      </c>
      <c r="P259" s="49">
        <v>10.080500000000001</v>
      </c>
      <c r="Q259" s="49">
        <v>10.0968</v>
      </c>
      <c r="R259" s="49">
        <v>4.3898000000000001</v>
      </c>
      <c r="S259" s="49">
        <v>4.3925000000000001</v>
      </c>
      <c r="T259" s="49">
        <v>5.2690999999999999</v>
      </c>
      <c r="U259" s="49">
        <v>5.2690999999999999</v>
      </c>
      <c r="V259" s="49">
        <v>5.3997000000000002</v>
      </c>
      <c r="W259" s="49">
        <v>5.3997000000000002</v>
      </c>
      <c r="X259" s="49">
        <v>5.1906999999999996</v>
      </c>
      <c r="Y259" s="49">
        <v>5.1906999999999996</v>
      </c>
      <c r="Z259" s="49">
        <v>8.8994</v>
      </c>
      <c r="AA259" s="49">
        <v>8.9040999999999997</v>
      </c>
      <c r="AB259" s="49">
        <v>10.1579</v>
      </c>
      <c r="AC259" s="49">
        <v>10.162699999999999</v>
      </c>
      <c r="AD259" s="49">
        <v>6.6090999999999998</v>
      </c>
      <c r="AE259" s="49">
        <v>6.6135999999999999</v>
      </c>
      <c r="AH259" s="16">
        <f t="shared" si="21"/>
        <v>20010430</v>
      </c>
      <c r="AI259" s="16">
        <f t="shared" si="22"/>
        <v>6.5833000000000004</v>
      </c>
      <c r="AJ259" s="16">
        <f t="shared" si="23"/>
        <v>7.6453999999999995</v>
      </c>
      <c r="AK259" s="16">
        <f t="shared" si="24"/>
        <v>1.6053999999999995</v>
      </c>
      <c r="AL259" s="16">
        <v>0.3</v>
      </c>
      <c r="AM259" s="17">
        <f t="shared" si="25"/>
        <v>6.5583</v>
      </c>
      <c r="AN259" s="17">
        <f t="shared" si="26"/>
        <v>7.6453999999999995</v>
      </c>
      <c r="AO259" s="17">
        <f t="shared" si="27"/>
        <v>1.6053999999999995</v>
      </c>
    </row>
    <row r="260" spans="1:41">
      <c r="A260" s="49">
        <v>20010531</v>
      </c>
      <c r="B260" s="49">
        <v>-3.6703999999999999</v>
      </c>
      <c r="C260" s="49">
        <v>-3.6631</v>
      </c>
      <c r="D260" s="49">
        <v>-3.8801999999999999</v>
      </c>
      <c r="E260" s="49">
        <v>-3.8732000000000002</v>
      </c>
      <c r="F260" s="49">
        <v>-3.4655</v>
      </c>
      <c r="G260" s="49">
        <v>-3.4579</v>
      </c>
      <c r="H260" s="49">
        <v>-3.8511000000000002</v>
      </c>
      <c r="I260" s="49">
        <v>-3.8437000000000001</v>
      </c>
      <c r="J260" s="49">
        <v>-4.0960999999999999</v>
      </c>
      <c r="K260" s="49">
        <v>-4.0885999999999996</v>
      </c>
      <c r="L260" s="49">
        <v>-3.6383000000000001</v>
      </c>
      <c r="M260" s="49">
        <v>-3.6309999999999998</v>
      </c>
      <c r="N260" s="49">
        <v>-1.9342999999999999</v>
      </c>
      <c r="O260" s="49">
        <v>-1.9277</v>
      </c>
      <c r="P260" s="49">
        <v>-2.6358999999999999</v>
      </c>
      <c r="Q260" s="49">
        <v>-2.6320999999999999</v>
      </c>
      <c r="R260" s="49">
        <v>0.43080000000000002</v>
      </c>
      <c r="S260" s="49">
        <v>0.44719999999999999</v>
      </c>
      <c r="T260" s="49">
        <v>-3.8466</v>
      </c>
      <c r="U260" s="49">
        <v>-3.8418999999999999</v>
      </c>
      <c r="V260" s="49">
        <v>-4.0696000000000003</v>
      </c>
      <c r="W260" s="49">
        <v>-4.0670999999999999</v>
      </c>
      <c r="X260" s="49">
        <v>-3.7094</v>
      </c>
      <c r="Y260" s="49">
        <v>-3.7033</v>
      </c>
      <c r="Z260" s="49">
        <v>-3.8603999999999998</v>
      </c>
      <c r="AA260" s="49">
        <v>-3.8471000000000002</v>
      </c>
      <c r="AB260" s="49">
        <v>-4.1306000000000003</v>
      </c>
      <c r="AC260" s="49">
        <v>-4.1166999999999998</v>
      </c>
      <c r="AD260" s="49">
        <v>-3.3509000000000002</v>
      </c>
      <c r="AE260" s="49">
        <v>-3.3386999999999998</v>
      </c>
      <c r="AH260" s="16">
        <f t="shared" ref="AH260:AH319" si="28">+A260</f>
        <v>20010531</v>
      </c>
      <c r="AI260" s="16">
        <f t="shared" ref="AI260:AI319" si="29">+C260</f>
        <v>-3.6631</v>
      </c>
      <c r="AJ260" s="16">
        <f t="shared" ref="AJ260:AJ319" si="30">+(K260-M260)+(Q260-S260)</f>
        <v>-3.5368999999999997</v>
      </c>
      <c r="AK260" s="16">
        <f t="shared" ref="AK260:AK319" si="31">(S260+Q260)-(M260+K260)</f>
        <v>5.5347</v>
      </c>
      <c r="AL260" s="16">
        <v>0.11</v>
      </c>
      <c r="AM260" s="17">
        <f t="shared" si="25"/>
        <v>-3.6722666666666668</v>
      </c>
      <c r="AN260" s="17">
        <f t="shared" si="26"/>
        <v>-3.5368999999999997</v>
      </c>
      <c r="AO260" s="17">
        <f t="shared" si="27"/>
        <v>5.5347</v>
      </c>
    </row>
    <row r="261" spans="1:41">
      <c r="A261" s="49">
        <v>20010630</v>
      </c>
      <c r="B261" s="49">
        <v>-0.83809999999999996</v>
      </c>
      <c r="C261" s="49">
        <v>-0.79759999999999998</v>
      </c>
      <c r="D261" s="49">
        <v>1.2545999999999999</v>
      </c>
      <c r="E261" s="49">
        <v>1.3059000000000001</v>
      </c>
      <c r="F261" s="49">
        <v>-2.8572000000000002</v>
      </c>
      <c r="G261" s="49">
        <v>-2.827</v>
      </c>
      <c r="H261" s="49">
        <v>-1.1813</v>
      </c>
      <c r="I261" s="49">
        <v>-1.135</v>
      </c>
      <c r="J261" s="49">
        <v>0.81389999999999996</v>
      </c>
      <c r="K261" s="49">
        <v>0.88009999999999999</v>
      </c>
      <c r="L261" s="49">
        <v>-2.8938999999999999</v>
      </c>
      <c r="M261" s="49">
        <v>-2.8641000000000001</v>
      </c>
      <c r="N261" s="49">
        <v>2.3980000000000001</v>
      </c>
      <c r="O261" s="49">
        <v>2.3803000000000001</v>
      </c>
      <c r="P261" s="49">
        <v>3.7606999999999999</v>
      </c>
      <c r="Q261" s="49">
        <v>3.7254</v>
      </c>
      <c r="R261" s="49">
        <v>-2.0653999999999999</v>
      </c>
      <c r="S261" s="49">
        <v>-2.0291000000000001</v>
      </c>
      <c r="T261" s="49">
        <v>-1.8777999999999999</v>
      </c>
      <c r="U261" s="49">
        <v>-1.8324</v>
      </c>
      <c r="V261" s="49">
        <v>-3.4299999999999997E-2</v>
      </c>
      <c r="W261" s="49">
        <v>4.2799999999999998E-2</v>
      </c>
      <c r="X261" s="49">
        <v>-2.9984000000000002</v>
      </c>
      <c r="Y261" s="49">
        <v>-2.9718</v>
      </c>
      <c r="Z261" s="49">
        <v>0.38679999999999998</v>
      </c>
      <c r="AA261" s="49">
        <v>0.43530000000000002</v>
      </c>
      <c r="AB261" s="49">
        <v>1.9238</v>
      </c>
      <c r="AC261" s="49">
        <v>1.9753000000000001</v>
      </c>
      <c r="AD261" s="49">
        <v>-2.4752999999999998</v>
      </c>
      <c r="AE261" s="49">
        <v>-2.4323999999999999</v>
      </c>
      <c r="AH261" s="16">
        <f t="shared" si="28"/>
        <v>20010630</v>
      </c>
      <c r="AI261" s="16">
        <f t="shared" si="29"/>
        <v>-0.79759999999999998</v>
      </c>
      <c r="AJ261" s="16">
        <f t="shared" si="30"/>
        <v>9.4986999999999995</v>
      </c>
      <c r="AK261" s="16">
        <f t="shared" si="31"/>
        <v>3.6802999999999999</v>
      </c>
      <c r="AL261" s="16">
        <v>0.45</v>
      </c>
      <c r="AM261" s="17">
        <f t="shared" ref="AM261:AM319" si="32">+AI261-AL261/12</f>
        <v>-0.83509999999999995</v>
      </c>
      <c r="AN261" s="17">
        <f t="shared" ref="AN261:AN319" si="33">+AJ261</f>
        <v>9.4986999999999995</v>
      </c>
      <c r="AO261" s="17">
        <f t="shared" ref="AO261:AO319" si="34">+AK261</f>
        <v>3.6802999999999999</v>
      </c>
    </row>
    <row r="262" spans="1:41">
      <c r="A262" s="49">
        <v>20010731</v>
      </c>
      <c r="B262" s="49">
        <v>-8.2661999999999995</v>
      </c>
      <c r="C262" s="49">
        <v>-8.2636000000000003</v>
      </c>
      <c r="D262" s="49">
        <v>-6.6890000000000001</v>
      </c>
      <c r="E262" s="49">
        <v>-6.6840000000000002</v>
      </c>
      <c r="F262" s="49">
        <v>-9.8536999999999999</v>
      </c>
      <c r="G262" s="49">
        <v>-9.8534000000000006</v>
      </c>
      <c r="H262" s="49">
        <v>-8.3907000000000007</v>
      </c>
      <c r="I262" s="49">
        <v>-8.3882999999999992</v>
      </c>
      <c r="J262" s="49">
        <v>-6.7079000000000004</v>
      </c>
      <c r="K262" s="49">
        <v>-6.7028999999999996</v>
      </c>
      <c r="L262" s="49">
        <v>-9.8908000000000005</v>
      </c>
      <c r="M262" s="49">
        <v>-9.8907000000000007</v>
      </c>
      <c r="N262" s="49">
        <v>-7.1325000000000003</v>
      </c>
      <c r="O262" s="49">
        <v>-7.1269999999999998</v>
      </c>
      <c r="P262" s="49">
        <v>-6.5834999999999999</v>
      </c>
      <c r="Q262" s="49">
        <v>-6.5781999999999998</v>
      </c>
      <c r="R262" s="49">
        <v>-9.0498999999999992</v>
      </c>
      <c r="S262" s="49">
        <v>-9.0439000000000007</v>
      </c>
      <c r="T262" s="49">
        <v>-9.3811999999999998</v>
      </c>
      <c r="U262" s="49">
        <v>-9.3811999999999998</v>
      </c>
      <c r="V262" s="49">
        <v>-8.2698</v>
      </c>
      <c r="W262" s="49">
        <v>-8.2698</v>
      </c>
      <c r="X262" s="49">
        <v>-10.077999999999999</v>
      </c>
      <c r="Y262" s="49">
        <v>-10.077999999999999</v>
      </c>
      <c r="Z262" s="49">
        <v>-6.2125000000000004</v>
      </c>
      <c r="AA262" s="49">
        <v>-6.2049000000000003</v>
      </c>
      <c r="AB262" s="49">
        <v>-4.7031000000000001</v>
      </c>
      <c r="AC262" s="49">
        <v>-4.6917</v>
      </c>
      <c r="AD262" s="49">
        <v>-9.1460000000000008</v>
      </c>
      <c r="AE262" s="49">
        <v>-9.1456</v>
      </c>
      <c r="AH262" s="16">
        <f t="shared" si="28"/>
        <v>20010731</v>
      </c>
      <c r="AI262" s="16">
        <f t="shared" si="29"/>
        <v>-8.2636000000000003</v>
      </c>
      <c r="AJ262" s="16">
        <f t="shared" si="30"/>
        <v>5.653500000000002</v>
      </c>
      <c r="AK262" s="16">
        <f t="shared" si="31"/>
        <v>0.97150000000000247</v>
      </c>
      <c r="AL262" s="16">
        <v>0.05</v>
      </c>
      <c r="AM262" s="17">
        <f t="shared" si="32"/>
        <v>-8.2677666666666667</v>
      </c>
      <c r="AN262" s="17">
        <f t="shared" si="33"/>
        <v>5.653500000000002</v>
      </c>
      <c r="AO262" s="17">
        <f t="shared" si="34"/>
        <v>0.97150000000000247</v>
      </c>
    </row>
    <row r="263" spans="1:41">
      <c r="A263" s="49">
        <v>20010831</v>
      </c>
      <c r="B263" s="49">
        <v>-6.9490999999999996</v>
      </c>
      <c r="C263" s="49">
        <v>-6.9379999999999997</v>
      </c>
      <c r="D263" s="49">
        <v>-3.0362</v>
      </c>
      <c r="E263" s="49">
        <v>-3.0282</v>
      </c>
      <c r="F263" s="49">
        <v>-11.025700000000001</v>
      </c>
      <c r="G263" s="49">
        <v>-11.0114</v>
      </c>
      <c r="H263" s="49">
        <v>-7.3342999999999998</v>
      </c>
      <c r="I263" s="49">
        <v>-7.3244999999999996</v>
      </c>
      <c r="J263" s="49">
        <v>-3.1676000000000002</v>
      </c>
      <c r="K263" s="49">
        <v>-3.1631999999999998</v>
      </c>
      <c r="L263" s="49">
        <v>-11.1792</v>
      </c>
      <c r="M263" s="49">
        <v>-11.1646</v>
      </c>
      <c r="N263" s="49">
        <v>-3.4941</v>
      </c>
      <c r="O263" s="49">
        <v>-3.4712000000000001</v>
      </c>
      <c r="P263" s="49">
        <v>-2.3129</v>
      </c>
      <c r="Q263" s="49">
        <v>-2.2852000000000001</v>
      </c>
      <c r="R263" s="49">
        <v>-7.7367999999999997</v>
      </c>
      <c r="S263" s="49">
        <v>-7.73</v>
      </c>
      <c r="T263" s="49">
        <v>-8.2681000000000004</v>
      </c>
      <c r="U263" s="49">
        <v>-8.2593999999999994</v>
      </c>
      <c r="V263" s="49">
        <v>-2.6230000000000002</v>
      </c>
      <c r="W263" s="49">
        <v>-2.6230000000000002</v>
      </c>
      <c r="X263" s="49">
        <v>-11.879</v>
      </c>
      <c r="Y263" s="49">
        <v>-11.864800000000001</v>
      </c>
      <c r="Z263" s="49">
        <v>-5.3494000000000002</v>
      </c>
      <c r="AA263" s="49">
        <v>-5.3372999999999999</v>
      </c>
      <c r="AB263" s="49">
        <v>-3.8409</v>
      </c>
      <c r="AC263" s="49">
        <v>-3.8309000000000002</v>
      </c>
      <c r="AD263" s="49">
        <v>-8.4242000000000008</v>
      </c>
      <c r="AE263" s="49">
        <v>-8.4076000000000004</v>
      </c>
      <c r="AH263" s="16">
        <f t="shared" si="28"/>
        <v>20010831</v>
      </c>
      <c r="AI263" s="16">
        <f t="shared" si="29"/>
        <v>-6.9379999999999997</v>
      </c>
      <c r="AJ263" s="16">
        <f t="shared" si="30"/>
        <v>13.446200000000001</v>
      </c>
      <c r="AK263" s="16">
        <f t="shared" si="31"/>
        <v>4.3125999999999998</v>
      </c>
      <c r="AL263" s="16">
        <v>0.05</v>
      </c>
      <c r="AM263" s="17">
        <f t="shared" si="32"/>
        <v>-6.9421666666666662</v>
      </c>
      <c r="AN263" s="17">
        <f t="shared" si="33"/>
        <v>13.446200000000001</v>
      </c>
      <c r="AO263" s="17">
        <f t="shared" si="34"/>
        <v>4.3125999999999998</v>
      </c>
    </row>
    <row r="264" spans="1:41">
      <c r="A264" s="49">
        <v>20010930</v>
      </c>
      <c r="B264" s="49">
        <v>-8.0625</v>
      </c>
      <c r="C264" s="49">
        <v>-7.7530999999999999</v>
      </c>
      <c r="D264" s="49">
        <v>-9.3172999999999995</v>
      </c>
      <c r="E264" s="49">
        <v>-8.9497</v>
      </c>
      <c r="F264" s="49">
        <v>-6.6403999999999996</v>
      </c>
      <c r="G264" s="49">
        <v>-6.3963999999999999</v>
      </c>
      <c r="H264" s="49">
        <v>-8.0799000000000003</v>
      </c>
      <c r="I264" s="49">
        <v>-7.7614999999999998</v>
      </c>
      <c r="J264" s="49">
        <v>-9.5297000000000001</v>
      </c>
      <c r="K264" s="49">
        <v>-9.1362000000000005</v>
      </c>
      <c r="L264" s="49">
        <v>-6.6243999999999996</v>
      </c>
      <c r="M264" s="49">
        <v>-6.3807999999999998</v>
      </c>
      <c r="N264" s="49">
        <v>-7.9077000000000002</v>
      </c>
      <c r="O264" s="49">
        <v>-7.6765999999999996</v>
      </c>
      <c r="P264" s="49">
        <v>-8.1546000000000003</v>
      </c>
      <c r="Q264" s="49">
        <v>-7.9287999999999998</v>
      </c>
      <c r="R264" s="49">
        <v>-6.9699</v>
      </c>
      <c r="S264" s="49">
        <v>-6.7184999999999997</v>
      </c>
      <c r="T264" s="49">
        <v>-8.1534999999999993</v>
      </c>
      <c r="U264" s="49">
        <v>-7.8342999999999998</v>
      </c>
      <c r="V264" s="49">
        <v>-10.925700000000001</v>
      </c>
      <c r="W264" s="49">
        <v>-10.5025</v>
      </c>
      <c r="X264" s="49">
        <v>-6.194</v>
      </c>
      <c r="Y264" s="49">
        <v>-5.9490999999999996</v>
      </c>
      <c r="Z264" s="49">
        <v>-7.9164000000000003</v>
      </c>
      <c r="AA264" s="49">
        <v>-7.5994999999999999</v>
      </c>
      <c r="AB264" s="49">
        <v>-7.7553000000000001</v>
      </c>
      <c r="AC264" s="49">
        <v>-7.4010999999999996</v>
      </c>
      <c r="AD264" s="49">
        <v>-8.2530000000000001</v>
      </c>
      <c r="AE264" s="49">
        <v>-8.0142000000000007</v>
      </c>
      <c r="AH264" s="16">
        <f t="shared" si="28"/>
        <v>20010930</v>
      </c>
      <c r="AI264" s="16">
        <f t="shared" si="29"/>
        <v>-7.7530999999999999</v>
      </c>
      <c r="AJ264" s="16">
        <f t="shared" si="30"/>
        <v>-3.9657000000000009</v>
      </c>
      <c r="AK264" s="16">
        <f t="shared" si="31"/>
        <v>0.86969999999999992</v>
      </c>
      <c r="AL264" s="16">
        <v>0.03</v>
      </c>
      <c r="AM264" s="17">
        <f t="shared" si="32"/>
        <v>-7.7556000000000003</v>
      </c>
      <c r="AN264" s="17">
        <f t="shared" si="33"/>
        <v>-3.9657000000000009</v>
      </c>
      <c r="AO264" s="17">
        <f t="shared" si="34"/>
        <v>0.86969999999999992</v>
      </c>
    </row>
    <row r="265" spans="1:41">
      <c r="A265" s="49">
        <v>20011031</v>
      </c>
      <c r="B265" s="49">
        <v>3.6787999999999998</v>
      </c>
      <c r="C265" s="49">
        <v>3.6798999999999999</v>
      </c>
      <c r="D265" s="49">
        <v>1.9012</v>
      </c>
      <c r="E265" s="49">
        <v>1.9021999999999999</v>
      </c>
      <c r="F265" s="49">
        <v>5.6412000000000004</v>
      </c>
      <c r="G265" s="49">
        <v>5.6424000000000003</v>
      </c>
      <c r="H265" s="49">
        <v>3.5562</v>
      </c>
      <c r="I265" s="49">
        <v>3.5566</v>
      </c>
      <c r="J265" s="49">
        <v>1.5167999999999999</v>
      </c>
      <c r="K265" s="49">
        <v>1.5167999999999999</v>
      </c>
      <c r="L265" s="49">
        <v>5.5457000000000001</v>
      </c>
      <c r="M265" s="49">
        <v>5.5465</v>
      </c>
      <c r="N265" s="49">
        <v>4.7302999999999997</v>
      </c>
      <c r="O265" s="49">
        <v>4.7374000000000001</v>
      </c>
      <c r="P265" s="49">
        <v>3.9649000000000001</v>
      </c>
      <c r="Q265" s="49">
        <v>3.9718</v>
      </c>
      <c r="R265" s="49">
        <v>7.6090999999999998</v>
      </c>
      <c r="S265" s="49">
        <v>7.6170999999999998</v>
      </c>
      <c r="T265" s="49">
        <v>3.3748999999999998</v>
      </c>
      <c r="U265" s="49">
        <v>3.3748999999999998</v>
      </c>
      <c r="V265" s="49">
        <v>0.53459999999999996</v>
      </c>
      <c r="W265" s="49">
        <v>0.53459999999999996</v>
      </c>
      <c r="X265" s="49">
        <v>5.2827999999999999</v>
      </c>
      <c r="Y265" s="49">
        <v>5.2827999999999999</v>
      </c>
      <c r="Z265" s="49">
        <v>3.9262999999999999</v>
      </c>
      <c r="AA265" s="49">
        <v>3.9276</v>
      </c>
      <c r="AB265" s="49">
        <v>2.6993999999999998</v>
      </c>
      <c r="AC265" s="49">
        <v>2.6993999999999998</v>
      </c>
      <c r="AD265" s="49">
        <v>6.5601000000000003</v>
      </c>
      <c r="AE265" s="49">
        <v>6.5643000000000002</v>
      </c>
      <c r="AH265" s="16">
        <f t="shared" si="28"/>
        <v>20011031</v>
      </c>
      <c r="AI265" s="16">
        <f t="shared" si="29"/>
        <v>3.6798999999999999</v>
      </c>
      <c r="AJ265" s="16">
        <f t="shared" si="30"/>
        <v>-7.6749999999999998</v>
      </c>
      <c r="AK265" s="16">
        <f t="shared" si="31"/>
        <v>4.525599999999999</v>
      </c>
      <c r="AL265" s="16">
        <v>1.4999999999999999E-2</v>
      </c>
      <c r="AM265" s="17">
        <f t="shared" si="32"/>
        <v>3.6786499999999998</v>
      </c>
      <c r="AN265" s="17">
        <f t="shared" si="33"/>
        <v>-7.6749999999999998</v>
      </c>
      <c r="AO265" s="17">
        <f t="shared" si="34"/>
        <v>4.525599999999999</v>
      </c>
    </row>
    <row r="266" spans="1:41">
      <c r="A266" s="49">
        <v>20011130</v>
      </c>
      <c r="B266" s="49">
        <v>9.5500000000000002E-2</v>
      </c>
      <c r="C266" s="49">
        <v>9.4399999999999998E-2</v>
      </c>
      <c r="D266" s="49">
        <v>-3.5068999999999999</v>
      </c>
      <c r="E266" s="49">
        <v>-3.5045000000000002</v>
      </c>
      <c r="F266" s="49">
        <v>3.9340999999999999</v>
      </c>
      <c r="G266" s="49">
        <v>3.9289999999999998</v>
      </c>
      <c r="H266" s="49">
        <v>0.67220000000000002</v>
      </c>
      <c r="I266" s="49">
        <v>0.6694</v>
      </c>
      <c r="J266" s="49">
        <v>-3.2341000000000002</v>
      </c>
      <c r="K266" s="49">
        <v>-3.2338</v>
      </c>
      <c r="L266" s="49">
        <v>4.3407999999999998</v>
      </c>
      <c r="M266" s="49">
        <v>4.3349000000000002</v>
      </c>
      <c r="N266" s="49">
        <v>-4.7962999999999996</v>
      </c>
      <c r="O266" s="49">
        <v>-4.7836999999999996</v>
      </c>
      <c r="P266" s="49">
        <v>-4.9364999999999997</v>
      </c>
      <c r="Q266" s="49">
        <v>-4.9234</v>
      </c>
      <c r="R266" s="49">
        <v>-4.2878999999999996</v>
      </c>
      <c r="S266" s="49">
        <v>-4.2769000000000004</v>
      </c>
      <c r="T266" s="49">
        <v>2.3616000000000001</v>
      </c>
      <c r="U266" s="49">
        <v>2.3523999999999998</v>
      </c>
      <c r="V266" s="49">
        <v>-2.2890000000000001</v>
      </c>
      <c r="W266" s="49">
        <v>-2.2968000000000002</v>
      </c>
      <c r="X266" s="49">
        <v>5.3448000000000002</v>
      </c>
      <c r="Y266" s="49">
        <v>5.3346</v>
      </c>
      <c r="Z266" s="49">
        <v>-2.7673000000000001</v>
      </c>
      <c r="AA266" s="49">
        <v>-2.7574999999999998</v>
      </c>
      <c r="AB266" s="49">
        <v>-4.3486000000000002</v>
      </c>
      <c r="AC266" s="49">
        <v>-4.3388999999999998</v>
      </c>
      <c r="AD266" s="49">
        <v>0.51270000000000004</v>
      </c>
      <c r="AE266" s="49">
        <v>0.52259999999999995</v>
      </c>
      <c r="AH266" s="16">
        <f t="shared" si="28"/>
        <v>20011130</v>
      </c>
      <c r="AI266" s="16">
        <f t="shared" si="29"/>
        <v>9.4399999999999998E-2</v>
      </c>
      <c r="AJ266" s="16">
        <f t="shared" si="30"/>
        <v>-8.2151999999999994</v>
      </c>
      <c r="AK266" s="16">
        <f t="shared" si="31"/>
        <v>-10.301400000000001</v>
      </c>
      <c r="AL266" s="16">
        <v>2.4E-2</v>
      </c>
      <c r="AM266" s="17">
        <f t="shared" si="32"/>
        <v>9.2399999999999996E-2</v>
      </c>
      <c r="AN266" s="17">
        <f t="shared" si="33"/>
        <v>-8.2151999999999994</v>
      </c>
      <c r="AO266" s="17">
        <f t="shared" si="34"/>
        <v>-10.301400000000001</v>
      </c>
    </row>
    <row r="267" spans="1:41">
      <c r="A267" s="49">
        <v>20011231</v>
      </c>
      <c r="B267" s="49">
        <v>-1.3089</v>
      </c>
      <c r="C267" s="49">
        <v>-1.2969999999999999</v>
      </c>
      <c r="D267" s="49">
        <v>-1.7143999999999999</v>
      </c>
      <c r="E267" s="49">
        <v>-1.702</v>
      </c>
      <c r="F267" s="49">
        <v>-0.90969999999999995</v>
      </c>
      <c r="G267" s="49">
        <v>-0.89829999999999999</v>
      </c>
      <c r="H267" s="49">
        <v>-0.91439999999999999</v>
      </c>
      <c r="I267" s="49">
        <v>-0.90329999999999999</v>
      </c>
      <c r="J267" s="49">
        <v>-1.1833</v>
      </c>
      <c r="K267" s="49">
        <v>-1.1783999999999999</v>
      </c>
      <c r="L267" s="49">
        <v>-0.68279999999999996</v>
      </c>
      <c r="M267" s="49">
        <v>-0.66620000000000001</v>
      </c>
      <c r="N267" s="49">
        <v>-4.8475000000000001</v>
      </c>
      <c r="O267" s="49">
        <v>-4.8276000000000003</v>
      </c>
      <c r="P267" s="49">
        <v>-4.5496999999999996</v>
      </c>
      <c r="Q267" s="49">
        <v>-4.4973999999999998</v>
      </c>
      <c r="R267" s="49">
        <v>-5.9196999999999997</v>
      </c>
      <c r="S267" s="49">
        <v>-6.0153999999999996</v>
      </c>
      <c r="T267" s="49">
        <v>-0.74629999999999996</v>
      </c>
      <c r="U267" s="49">
        <v>-0.7409</v>
      </c>
      <c r="V267" s="49">
        <v>-1.5427</v>
      </c>
      <c r="W267" s="49">
        <v>-1.5541</v>
      </c>
      <c r="X267" s="49">
        <v>-0.27239999999999998</v>
      </c>
      <c r="Y267" s="49">
        <v>-0.25690000000000002</v>
      </c>
      <c r="Z267" s="49">
        <v>-1.2770999999999999</v>
      </c>
      <c r="AA267" s="49">
        <v>-1.2538</v>
      </c>
      <c r="AB267" s="49">
        <v>-0.75</v>
      </c>
      <c r="AC267" s="49">
        <v>-0.72540000000000004</v>
      </c>
      <c r="AD267" s="49">
        <v>-2.3226</v>
      </c>
      <c r="AE267" s="49">
        <v>-2.3016000000000001</v>
      </c>
      <c r="AH267" s="16">
        <f t="shared" si="28"/>
        <v>20011231</v>
      </c>
      <c r="AI267" s="16">
        <f t="shared" si="29"/>
        <v>-1.2969999999999999</v>
      </c>
      <c r="AJ267" s="16">
        <f t="shared" si="30"/>
        <v>1.0057999999999998</v>
      </c>
      <c r="AK267" s="16">
        <f t="shared" si="31"/>
        <v>-8.6681999999999988</v>
      </c>
      <c r="AL267" s="16">
        <v>6.6000000000000003E-2</v>
      </c>
      <c r="AM267" s="17">
        <f t="shared" si="32"/>
        <v>-1.3025</v>
      </c>
      <c r="AN267" s="17">
        <f t="shared" si="33"/>
        <v>1.0057999999999998</v>
      </c>
      <c r="AO267" s="17">
        <f t="shared" si="34"/>
        <v>-8.6681999999999988</v>
      </c>
    </row>
    <row r="268" spans="1:41">
      <c r="A268" s="49">
        <v>20020131</v>
      </c>
      <c r="B268" s="49">
        <v>-5.5743</v>
      </c>
      <c r="C268" s="49">
        <v>-5.5681000000000003</v>
      </c>
      <c r="D268" s="49">
        <v>-4.8079000000000001</v>
      </c>
      <c r="E268" s="49">
        <v>-4.7960000000000003</v>
      </c>
      <c r="F268" s="49">
        <v>-6.3262999999999998</v>
      </c>
      <c r="G268" s="49">
        <v>-6.3254999999999999</v>
      </c>
      <c r="H268" s="49">
        <v>-5.7573999999999996</v>
      </c>
      <c r="I268" s="49">
        <v>-5.7512999999999996</v>
      </c>
      <c r="J268" s="49">
        <v>-5.0206999999999997</v>
      </c>
      <c r="K268" s="49">
        <v>-5.008</v>
      </c>
      <c r="L268" s="49">
        <v>-6.3955000000000002</v>
      </c>
      <c r="M268" s="49">
        <v>-6.3951000000000002</v>
      </c>
      <c r="N268" s="49">
        <v>-3.8666</v>
      </c>
      <c r="O268" s="49">
        <v>-3.8589000000000002</v>
      </c>
      <c r="P268" s="49">
        <v>-3.6343000000000001</v>
      </c>
      <c r="Q268" s="49">
        <v>-3.6269</v>
      </c>
      <c r="R268" s="49">
        <v>-4.7149000000000001</v>
      </c>
      <c r="S268" s="49">
        <v>-4.7058</v>
      </c>
      <c r="T268" s="49">
        <v>-6.3109000000000002</v>
      </c>
      <c r="U268" s="49">
        <v>-6.3109000000000002</v>
      </c>
      <c r="V268" s="49">
        <v>-5.6757</v>
      </c>
      <c r="W268" s="49">
        <v>-5.6757</v>
      </c>
      <c r="X268" s="49">
        <v>-6.6840000000000002</v>
      </c>
      <c r="Y268" s="49">
        <v>-6.6840000000000002</v>
      </c>
      <c r="Z268" s="49">
        <v>-4.5636999999999999</v>
      </c>
      <c r="AA268" s="49">
        <v>-4.5444000000000004</v>
      </c>
      <c r="AB268" s="49">
        <v>-4.2370000000000001</v>
      </c>
      <c r="AC268" s="49">
        <v>-4.2088999999999999</v>
      </c>
      <c r="AD268" s="49">
        <v>-5.2183999999999999</v>
      </c>
      <c r="AE268" s="49">
        <v>-5.2165999999999997</v>
      </c>
      <c r="AH268" s="16">
        <f t="shared" si="28"/>
        <v>20020131</v>
      </c>
      <c r="AI268" s="16">
        <f t="shared" si="29"/>
        <v>-5.5681000000000003</v>
      </c>
      <c r="AJ268" s="16">
        <f t="shared" si="30"/>
        <v>2.4660000000000002</v>
      </c>
      <c r="AK268" s="16">
        <f t="shared" si="31"/>
        <v>3.0704000000000011</v>
      </c>
      <c r="AL268" s="16">
        <v>8.5999999999999993E-2</v>
      </c>
      <c r="AM268" s="17">
        <f t="shared" si="32"/>
        <v>-5.5752666666666668</v>
      </c>
      <c r="AN268" s="17">
        <f t="shared" si="33"/>
        <v>2.4660000000000002</v>
      </c>
      <c r="AO268" s="17">
        <f t="shared" si="34"/>
        <v>3.0704000000000011</v>
      </c>
    </row>
    <row r="269" spans="1:41">
      <c r="A269" s="49">
        <v>20020228</v>
      </c>
      <c r="B269" s="49">
        <v>4.3695000000000004</v>
      </c>
      <c r="C269" s="49">
        <v>4.3932000000000002</v>
      </c>
      <c r="D269" s="49">
        <v>4.7637</v>
      </c>
      <c r="E269" s="49">
        <v>4.7836999999999996</v>
      </c>
      <c r="F269" s="49">
        <v>3.9752000000000001</v>
      </c>
      <c r="G269" s="49">
        <v>4.0026000000000002</v>
      </c>
      <c r="H269" s="49">
        <v>4.0707000000000004</v>
      </c>
      <c r="I269" s="49">
        <v>4.0898000000000003</v>
      </c>
      <c r="J269" s="49">
        <v>3.9586999999999999</v>
      </c>
      <c r="K269" s="49">
        <v>3.9685999999999999</v>
      </c>
      <c r="L269" s="49">
        <v>4.1616999999999997</v>
      </c>
      <c r="M269" s="49">
        <v>4.1882000000000001</v>
      </c>
      <c r="N269" s="49">
        <v>5.8869999999999996</v>
      </c>
      <c r="O269" s="49">
        <v>5.9340000000000002</v>
      </c>
      <c r="P269" s="49">
        <v>7.1153000000000004</v>
      </c>
      <c r="Q269" s="49">
        <v>7.1646999999999998</v>
      </c>
      <c r="R269" s="49">
        <v>1.6349</v>
      </c>
      <c r="S269" s="49">
        <v>1.6735</v>
      </c>
      <c r="T269" s="49">
        <v>3.9028999999999998</v>
      </c>
      <c r="U269" s="49">
        <v>3.9180000000000001</v>
      </c>
      <c r="V269" s="49">
        <v>3.6331000000000002</v>
      </c>
      <c r="W269" s="49">
        <v>3.6331000000000002</v>
      </c>
      <c r="X269" s="49">
        <v>4.0434999999999999</v>
      </c>
      <c r="Y269" s="49">
        <v>4.0663999999999998</v>
      </c>
      <c r="Z269" s="49">
        <v>4.2980999999999998</v>
      </c>
      <c r="AA269" s="49">
        <v>4.3228</v>
      </c>
      <c r="AB269" s="49">
        <v>4.2150999999999996</v>
      </c>
      <c r="AC269" s="49">
        <v>4.2329999999999997</v>
      </c>
      <c r="AD269" s="49">
        <v>4.4161000000000001</v>
      </c>
      <c r="AE269" s="49">
        <v>4.4504999999999999</v>
      </c>
      <c r="AH269" s="16">
        <f t="shared" si="28"/>
        <v>20020228</v>
      </c>
      <c r="AI269" s="16">
        <f t="shared" si="29"/>
        <v>4.3932000000000002</v>
      </c>
      <c r="AJ269" s="16">
        <f t="shared" si="30"/>
        <v>5.2715999999999994</v>
      </c>
      <c r="AK269" s="16">
        <f t="shared" si="31"/>
        <v>0.68140000000000001</v>
      </c>
      <c r="AL269" s="16">
        <v>0.04</v>
      </c>
      <c r="AM269" s="17">
        <f t="shared" si="32"/>
        <v>4.3898666666666672</v>
      </c>
      <c r="AN269" s="17">
        <f t="shared" si="33"/>
        <v>5.2715999999999994</v>
      </c>
      <c r="AO269" s="17">
        <f t="shared" si="34"/>
        <v>0.68140000000000001</v>
      </c>
    </row>
    <row r="270" spans="1:41">
      <c r="A270" s="49">
        <v>20020331</v>
      </c>
      <c r="B270" s="49">
        <v>4.2324000000000002</v>
      </c>
      <c r="C270" s="49">
        <v>4.7641</v>
      </c>
      <c r="D270" s="49">
        <v>3.6415999999999999</v>
      </c>
      <c r="E270" s="49">
        <v>4.3202999999999996</v>
      </c>
      <c r="F270" s="49">
        <v>4.8292999999999999</v>
      </c>
      <c r="G270" s="49">
        <v>5.2122000000000002</v>
      </c>
      <c r="H270" s="49">
        <v>4.5187999999999997</v>
      </c>
      <c r="I270" s="49">
        <v>5.0026999999999999</v>
      </c>
      <c r="J270" s="49">
        <v>4.1391999999999998</v>
      </c>
      <c r="K270" s="49">
        <v>4.7563000000000004</v>
      </c>
      <c r="L270" s="49">
        <v>4.8243999999999998</v>
      </c>
      <c r="M270" s="49">
        <v>5.2009999999999996</v>
      </c>
      <c r="N270" s="49">
        <v>2.8022</v>
      </c>
      <c r="O270" s="49">
        <v>3.5714999999999999</v>
      </c>
      <c r="P270" s="49">
        <v>2.23</v>
      </c>
      <c r="Q270" s="49">
        <v>3.0819000000000001</v>
      </c>
      <c r="R270" s="49">
        <v>4.8918999999999997</v>
      </c>
      <c r="S270" s="49">
        <v>5.3555999999999999</v>
      </c>
      <c r="T270" s="49">
        <v>5.3478000000000003</v>
      </c>
      <c r="U270" s="49">
        <v>5.8010000000000002</v>
      </c>
      <c r="V270" s="49">
        <v>5.5277000000000003</v>
      </c>
      <c r="W270" s="49">
        <v>6.1120000000000001</v>
      </c>
      <c r="X270" s="49">
        <v>5.2545999999999999</v>
      </c>
      <c r="Y270" s="49">
        <v>5.6398999999999999</v>
      </c>
      <c r="Z270" s="49">
        <v>3.4024000000000001</v>
      </c>
      <c r="AA270" s="49">
        <v>3.9276</v>
      </c>
      <c r="AB270" s="49">
        <v>3.0512999999999999</v>
      </c>
      <c r="AC270" s="49">
        <v>3.6941000000000002</v>
      </c>
      <c r="AD270" s="49">
        <v>3.9009</v>
      </c>
      <c r="AE270" s="49">
        <v>4.2591000000000001</v>
      </c>
      <c r="AH270" s="16">
        <f t="shared" si="28"/>
        <v>20020331</v>
      </c>
      <c r="AI270" s="16">
        <f t="shared" si="29"/>
        <v>4.7641</v>
      </c>
      <c r="AJ270" s="16">
        <f t="shared" si="30"/>
        <v>-2.718399999999999</v>
      </c>
      <c r="AK270" s="16">
        <f t="shared" si="31"/>
        <v>-1.5198</v>
      </c>
      <c r="AL270" s="16">
        <v>0.19</v>
      </c>
      <c r="AM270" s="17">
        <f t="shared" si="32"/>
        <v>4.7482666666666669</v>
      </c>
      <c r="AN270" s="17">
        <f t="shared" si="33"/>
        <v>-2.718399999999999</v>
      </c>
      <c r="AO270" s="17">
        <f t="shared" si="34"/>
        <v>-1.5198</v>
      </c>
    </row>
    <row r="271" spans="1:41">
      <c r="A271" s="49">
        <v>20020430</v>
      </c>
      <c r="B271" s="49">
        <v>2.1957</v>
      </c>
      <c r="C271" s="49">
        <v>2.1960999999999999</v>
      </c>
      <c r="D271" s="49">
        <v>1.8090999999999999</v>
      </c>
      <c r="E271" s="49">
        <v>1.8091999999999999</v>
      </c>
      <c r="F271" s="49">
        <v>2.5830000000000002</v>
      </c>
      <c r="G271" s="49">
        <v>2.5836999999999999</v>
      </c>
      <c r="H271" s="49">
        <v>2.1299000000000001</v>
      </c>
      <c r="I271" s="49">
        <v>2.1301999999999999</v>
      </c>
      <c r="J271" s="49">
        <v>1.6209</v>
      </c>
      <c r="K271" s="49">
        <v>1.6209</v>
      </c>
      <c r="L271" s="49">
        <v>2.5381</v>
      </c>
      <c r="M271" s="49">
        <v>2.5387</v>
      </c>
      <c r="N271" s="49">
        <v>2.5278999999999998</v>
      </c>
      <c r="O271" s="49">
        <v>2.5286</v>
      </c>
      <c r="P271" s="49">
        <v>2.3508</v>
      </c>
      <c r="Q271" s="49">
        <v>2.3513999999999999</v>
      </c>
      <c r="R271" s="49">
        <v>3.1593</v>
      </c>
      <c r="S271" s="49">
        <v>3.1608000000000001</v>
      </c>
      <c r="T271" s="49">
        <v>1.4874000000000001</v>
      </c>
      <c r="U271" s="49">
        <v>1.4874000000000001</v>
      </c>
      <c r="V271" s="49">
        <v>0.83099999999999996</v>
      </c>
      <c r="W271" s="49">
        <v>0.83099999999999996</v>
      </c>
      <c r="X271" s="49">
        <v>1.8317000000000001</v>
      </c>
      <c r="Y271" s="49">
        <v>1.8317000000000001</v>
      </c>
      <c r="Z271" s="49">
        <v>3.0171999999999999</v>
      </c>
      <c r="AA271" s="49">
        <v>3.0179999999999998</v>
      </c>
      <c r="AB271" s="49">
        <v>2.2616000000000001</v>
      </c>
      <c r="AC271" s="49">
        <v>2.2616000000000001</v>
      </c>
      <c r="AD271" s="49">
        <v>4.077</v>
      </c>
      <c r="AE271" s="49">
        <v>4.0789</v>
      </c>
      <c r="AH271" s="16">
        <f t="shared" si="28"/>
        <v>20020430</v>
      </c>
      <c r="AI271" s="16">
        <f t="shared" si="29"/>
        <v>2.1960999999999999</v>
      </c>
      <c r="AJ271" s="16">
        <f t="shared" si="30"/>
        <v>-1.7272000000000001</v>
      </c>
      <c r="AK271" s="16">
        <f t="shared" si="31"/>
        <v>1.3525999999999998</v>
      </c>
      <c r="AL271" s="16">
        <v>0.15</v>
      </c>
      <c r="AM271" s="17">
        <f t="shared" si="32"/>
        <v>2.1835999999999998</v>
      </c>
      <c r="AN271" s="17">
        <f t="shared" si="33"/>
        <v>-1.7272000000000001</v>
      </c>
      <c r="AO271" s="17">
        <f t="shared" si="34"/>
        <v>1.3525999999999998</v>
      </c>
    </row>
    <row r="272" spans="1:41">
      <c r="A272" s="49">
        <v>20020531</v>
      </c>
      <c r="B272" s="49">
        <v>3.5789</v>
      </c>
      <c r="C272" s="49">
        <v>3.5678000000000001</v>
      </c>
      <c r="D272" s="49">
        <v>5.5408999999999997</v>
      </c>
      <c r="E272" s="49">
        <v>5.5202999999999998</v>
      </c>
      <c r="F272" s="49">
        <v>1.6379999999999999</v>
      </c>
      <c r="G272" s="49">
        <v>1.6357999999999999</v>
      </c>
      <c r="H272" s="49">
        <v>3.0659999999999998</v>
      </c>
      <c r="I272" s="49">
        <v>3.0528</v>
      </c>
      <c r="J272" s="49">
        <v>5.2798999999999996</v>
      </c>
      <c r="K272" s="49">
        <v>5.2542999999999997</v>
      </c>
      <c r="L272" s="49">
        <v>1.3164</v>
      </c>
      <c r="M272" s="49">
        <v>1.3127</v>
      </c>
      <c r="N272" s="49">
        <v>6.1698000000000004</v>
      </c>
      <c r="O272" s="49">
        <v>6.1688999999999998</v>
      </c>
      <c r="P272" s="49">
        <v>6.2873999999999999</v>
      </c>
      <c r="Q272" s="49">
        <v>6.2811000000000003</v>
      </c>
      <c r="R272" s="49">
        <v>5.7535999999999996</v>
      </c>
      <c r="S272" s="49">
        <v>5.7714999999999996</v>
      </c>
      <c r="T272" s="49">
        <v>2.5207999999999999</v>
      </c>
      <c r="U272" s="49">
        <v>2.4964</v>
      </c>
      <c r="V272" s="49">
        <v>5.2051999999999996</v>
      </c>
      <c r="W272" s="49">
        <v>5.1547000000000001</v>
      </c>
      <c r="X272" s="49">
        <v>1.1346000000000001</v>
      </c>
      <c r="Y272" s="49">
        <v>1.1232</v>
      </c>
      <c r="Z272" s="49">
        <v>3.8098999999999998</v>
      </c>
      <c r="AA272" s="49">
        <v>3.8123999999999998</v>
      </c>
      <c r="AB272" s="49">
        <v>5.3399000000000001</v>
      </c>
      <c r="AC272" s="49">
        <v>5.3345000000000002</v>
      </c>
      <c r="AD272" s="49">
        <v>1.7050000000000001</v>
      </c>
      <c r="AE272" s="49">
        <v>1.718</v>
      </c>
      <c r="AH272" s="16">
        <f t="shared" si="28"/>
        <v>20020531</v>
      </c>
      <c r="AI272" s="16">
        <f t="shared" si="29"/>
        <v>3.5678000000000001</v>
      </c>
      <c r="AJ272" s="16">
        <f t="shared" si="30"/>
        <v>4.4512</v>
      </c>
      <c r="AK272" s="16">
        <f t="shared" si="31"/>
        <v>5.4855999999999998</v>
      </c>
      <c r="AL272" s="16">
        <v>2.8000000000000001E-2</v>
      </c>
      <c r="AM272" s="17">
        <f t="shared" si="32"/>
        <v>3.5654666666666666</v>
      </c>
      <c r="AN272" s="17">
        <f t="shared" si="33"/>
        <v>4.4512</v>
      </c>
      <c r="AO272" s="17">
        <f t="shared" si="34"/>
        <v>5.4855999999999998</v>
      </c>
    </row>
    <row r="273" spans="1:41">
      <c r="A273" s="49">
        <v>20020630</v>
      </c>
      <c r="B273" s="49">
        <v>-8.1923999999999992</v>
      </c>
      <c r="C273" s="49">
        <v>-8.1944999999999997</v>
      </c>
      <c r="D273" s="49">
        <v>-8.1065000000000005</v>
      </c>
      <c r="E273" s="49">
        <v>-8.1126000000000005</v>
      </c>
      <c r="F273" s="49">
        <v>-8.2806999999999995</v>
      </c>
      <c r="G273" s="49">
        <v>-8.2787000000000006</v>
      </c>
      <c r="H273" s="49">
        <v>-8.4679000000000002</v>
      </c>
      <c r="I273" s="49">
        <v>-8.4626000000000001</v>
      </c>
      <c r="J273" s="49">
        <v>-8.5208999999999993</v>
      </c>
      <c r="K273" s="49">
        <v>-8.5116999999999994</v>
      </c>
      <c r="L273" s="49">
        <v>-8.4243000000000006</v>
      </c>
      <c r="M273" s="49">
        <v>-8.4222000000000001</v>
      </c>
      <c r="N273" s="49">
        <v>-6.8444000000000003</v>
      </c>
      <c r="O273" s="49">
        <v>-6.8834999999999997</v>
      </c>
      <c r="P273" s="49">
        <v>-6.9349999999999996</v>
      </c>
      <c r="Q273" s="49">
        <v>-6.9851999999999999</v>
      </c>
      <c r="R273" s="49">
        <v>-6.5225</v>
      </c>
      <c r="S273" s="49">
        <v>-6.5214999999999996</v>
      </c>
      <c r="T273" s="49">
        <v>-8.9347999999999992</v>
      </c>
      <c r="U273" s="49">
        <v>-8.9231999999999996</v>
      </c>
      <c r="V273" s="49">
        <v>-9.7835000000000001</v>
      </c>
      <c r="W273" s="49">
        <v>-9.7776999999999994</v>
      </c>
      <c r="X273" s="49">
        <v>-8.4789999999999992</v>
      </c>
      <c r="Y273" s="49">
        <v>-8.4642999999999997</v>
      </c>
      <c r="Z273" s="49">
        <v>-7.8380000000000001</v>
      </c>
      <c r="AA273" s="49">
        <v>-7.8411999999999997</v>
      </c>
      <c r="AB273" s="49">
        <v>-7.5084</v>
      </c>
      <c r="AC273" s="49">
        <v>-7.4965000000000002</v>
      </c>
      <c r="AD273" s="49">
        <v>-8.3076000000000008</v>
      </c>
      <c r="AE273" s="49">
        <v>-8.3323</v>
      </c>
      <c r="AH273" s="16">
        <f t="shared" si="28"/>
        <v>20020630</v>
      </c>
      <c r="AI273" s="16">
        <f t="shared" si="29"/>
        <v>-8.1944999999999997</v>
      </c>
      <c r="AJ273" s="16">
        <f t="shared" si="30"/>
        <v>-0.55319999999999947</v>
      </c>
      <c r="AK273" s="16">
        <f t="shared" si="31"/>
        <v>3.4272000000000027</v>
      </c>
      <c r="AL273" s="16">
        <v>6.3E-2</v>
      </c>
      <c r="AM273" s="17">
        <f t="shared" si="32"/>
        <v>-8.1997499999999999</v>
      </c>
      <c r="AN273" s="17">
        <f t="shared" si="33"/>
        <v>-0.55319999999999947</v>
      </c>
      <c r="AO273" s="17">
        <f t="shared" si="34"/>
        <v>3.4272000000000027</v>
      </c>
    </row>
    <row r="274" spans="1:41">
      <c r="A274" s="49">
        <v>20020731</v>
      </c>
      <c r="B274" s="49">
        <v>-6.1646999999999998</v>
      </c>
      <c r="C274" s="49">
        <v>-6.1619000000000002</v>
      </c>
      <c r="D274" s="49">
        <v>-4.57</v>
      </c>
      <c r="E274" s="49">
        <v>-4.5646000000000004</v>
      </c>
      <c r="F274" s="49">
        <v>-7.8064999999999998</v>
      </c>
      <c r="G274" s="49">
        <v>-7.8063000000000002</v>
      </c>
      <c r="H274" s="49">
        <v>-6.8754</v>
      </c>
      <c r="I274" s="49">
        <v>-6.8727</v>
      </c>
      <c r="J274" s="49">
        <v>-5.4009999999999998</v>
      </c>
      <c r="K274" s="49">
        <v>-5.3951000000000002</v>
      </c>
      <c r="L274" s="49">
        <v>-8.0846999999999998</v>
      </c>
      <c r="M274" s="49">
        <v>-8.0846999999999998</v>
      </c>
      <c r="N274" s="49">
        <v>-2.7429999999999999</v>
      </c>
      <c r="O274" s="49">
        <v>-2.7395999999999998</v>
      </c>
      <c r="P274" s="49">
        <v>-2.2574000000000001</v>
      </c>
      <c r="Q274" s="49">
        <v>-2.2534999999999998</v>
      </c>
      <c r="R274" s="49">
        <v>-4.4642999999999997</v>
      </c>
      <c r="S274" s="49">
        <v>-4.4626999999999999</v>
      </c>
      <c r="T274" s="49">
        <v>-7.1856999999999998</v>
      </c>
      <c r="U274" s="49">
        <v>-7.1856999999999998</v>
      </c>
      <c r="V274" s="49">
        <v>-4.9413</v>
      </c>
      <c r="W274" s="49">
        <v>-4.9413</v>
      </c>
      <c r="X274" s="49">
        <v>-8.3734999999999999</v>
      </c>
      <c r="Y274" s="49">
        <v>-8.3734999999999999</v>
      </c>
      <c r="Z274" s="49">
        <v>-6.4635999999999996</v>
      </c>
      <c r="AA274" s="49">
        <v>-6.4573999999999998</v>
      </c>
      <c r="AB274" s="49">
        <v>-5.7592999999999996</v>
      </c>
      <c r="AC274" s="49">
        <v>-5.7488999999999999</v>
      </c>
      <c r="AD274" s="49">
        <v>-7.4744000000000002</v>
      </c>
      <c r="AE274" s="49">
        <v>-7.4744000000000002</v>
      </c>
      <c r="AH274" s="16">
        <f t="shared" si="28"/>
        <v>20020731</v>
      </c>
      <c r="AI274" s="16">
        <f t="shared" si="29"/>
        <v>-6.1619000000000002</v>
      </c>
      <c r="AJ274" s="16">
        <f t="shared" si="30"/>
        <v>4.8987999999999996</v>
      </c>
      <c r="AK274" s="16">
        <f t="shared" si="31"/>
        <v>6.7636000000000012</v>
      </c>
      <c r="AL274" s="16">
        <v>6.6000000000000003E-2</v>
      </c>
      <c r="AM274" s="17">
        <f t="shared" si="32"/>
        <v>-6.1673999999999998</v>
      </c>
      <c r="AN274" s="17">
        <f t="shared" si="33"/>
        <v>4.8987999999999996</v>
      </c>
      <c r="AO274" s="17">
        <f t="shared" si="34"/>
        <v>6.7636000000000012</v>
      </c>
    </row>
    <row r="275" spans="1:41">
      <c r="A275" s="49">
        <v>20020831</v>
      </c>
      <c r="B275" s="49">
        <v>-2.2589000000000001</v>
      </c>
      <c r="C275" s="49">
        <v>-2.2437999999999998</v>
      </c>
      <c r="D275" s="49">
        <v>-2.4478</v>
      </c>
      <c r="E275" s="49">
        <v>-2.4348000000000001</v>
      </c>
      <c r="F275" s="49">
        <v>-2.0573000000000001</v>
      </c>
      <c r="G275" s="49">
        <v>-2.0400999999999998</v>
      </c>
      <c r="H275" s="49">
        <v>-2.1737000000000002</v>
      </c>
      <c r="I275" s="49">
        <v>-2.1583999999999999</v>
      </c>
      <c r="J275" s="49">
        <v>-2.581</v>
      </c>
      <c r="K275" s="49">
        <v>-2.5676999999999999</v>
      </c>
      <c r="L275" s="49">
        <v>-1.8292999999999999</v>
      </c>
      <c r="M275" s="49">
        <v>-1.8123</v>
      </c>
      <c r="N275" s="49">
        <v>-2.6515</v>
      </c>
      <c r="O275" s="49">
        <v>-2.6377000000000002</v>
      </c>
      <c r="P275" s="49">
        <v>-2.0891000000000002</v>
      </c>
      <c r="Q275" s="49">
        <v>-2.077</v>
      </c>
      <c r="R275" s="49">
        <v>-4.6904000000000003</v>
      </c>
      <c r="S275" s="49">
        <v>-4.6707999999999998</v>
      </c>
      <c r="T275" s="49">
        <v>-2.0091000000000001</v>
      </c>
      <c r="U275" s="49">
        <v>-1.9977</v>
      </c>
      <c r="V275" s="49">
        <v>-2.9182000000000001</v>
      </c>
      <c r="W275" s="49">
        <v>-2.9182000000000001</v>
      </c>
      <c r="X275" s="49">
        <v>-1.5099</v>
      </c>
      <c r="Y275" s="49">
        <v>-1.4923</v>
      </c>
      <c r="Z275" s="49">
        <v>-2.3908999999999998</v>
      </c>
      <c r="AA275" s="49">
        <v>-2.3702999999999999</v>
      </c>
      <c r="AB275" s="49">
        <v>-2.3159000000000001</v>
      </c>
      <c r="AC275" s="49">
        <v>-2.2919</v>
      </c>
      <c r="AD275" s="49">
        <v>-2.5011000000000001</v>
      </c>
      <c r="AE275" s="49">
        <v>-2.4855</v>
      </c>
      <c r="AH275" s="16">
        <f t="shared" si="28"/>
        <v>20020831</v>
      </c>
      <c r="AI275" s="16">
        <f t="shared" si="29"/>
        <v>-2.2437999999999998</v>
      </c>
      <c r="AJ275" s="16">
        <f t="shared" si="30"/>
        <v>1.8384</v>
      </c>
      <c r="AK275" s="16">
        <f t="shared" si="31"/>
        <v>-2.3677999999999999</v>
      </c>
      <c r="AL275" s="16">
        <v>2.5000000000000001E-2</v>
      </c>
      <c r="AM275" s="17">
        <f t="shared" si="32"/>
        <v>-2.245883333333333</v>
      </c>
      <c r="AN275" s="17">
        <f t="shared" si="33"/>
        <v>1.8384</v>
      </c>
      <c r="AO275" s="17">
        <f t="shared" si="34"/>
        <v>-2.3677999999999999</v>
      </c>
    </row>
    <row r="276" spans="1:41">
      <c r="A276" s="49">
        <v>20020930</v>
      </c>
      <c r="B276" s="49">
        <v>-2.1395</v>
      </c>
      <c r="C276" s="49">
        <v>-1.8113999999999999</v>
      </c>
      <c r="D276" s="49">
        <v>-0.50619999999999998</v>
      </c>
      <c r="E276" s="49">
        <v>-0.10390000000000001</v>
      </c>
      <c r="F276" s="49">
        <v>-3.8673000000000002</v>
      </c>
      <c r="G276" s="49">
        <v>-3.6177999999999999</v>
      </c>
      <c r="H276" s="49">
        <v>-2.4260000000000002</v>
      </c>
      <c r="I276" s="49">
        <v>-2.0672999999999999</v>
      </c>
      <c r="J276" s="49">
        <v>-0.80010000000000003</v>
      </c>
      <c r="K276" s="49">
        <v>-0.32190000000000002</v>
      </c>
      <c r="L276" s="49">
        <v>-3.7835999999999999</v>
      </c>
      <c r="M276" s="49">
        <v>-3.5245000000000002</v>
      </c>
      <c r="N276" s="49">
        <v>-0.81069999999999998</v>
      </c>
      <c r="O276" s="49">
        <v>-0.62290000000000001</v>
      </c>
      <c r="P276" s="49">
        <v>0.28000000000000003</v>
      </c>
      <c r="Q276" s="49">
        <v>0.48110000000000003</v>
      </c>
      <c r="R276" s="49">
        <v>-4.8643999999999998</v>
      </c>
      <c r="S276" s="49">
        <v>-4.7259000000000002</v>
      </c>
      <c r="T276" s="49">
        <v>-2.8106</v>
      </c>
      <c r="U276" s="49">
        <v>-2.4910000000000001</v>
      </c>
      <c r="V276" s="49">
        <v>-1.4631000000000001</v>
      </c>
      <c r="W276" s="49">
        <v>-1.0172000000000001</v>
      </c>
      <c r="X276" s="49">
        <v>-3.5398999999999998</v>
      </c>
      <c r="Y276" s="49">
        <v>-3.2884000000000002</v>
      </c>
      <c r="Z276" s="49">
        <v>-1.9198</v>
      </c>
      <c r="AA276" s="49">
        <v>-1.5095000000000001</v>
      </c>
      <c r="AB276" s="49">
        <v>-0.28179999999999999</v>
      </c>
      <c r="AC276" s="49">
        <v>0.22170000000000001</v>
      </c>
      <c r="AD276" s="49">
        <v>-4.2938000000000001</v>
      </c>
      <c r="AE276" s="49">
        <v>-4.0189000000000004</v>
      </c>
      <c r="AH276" s="16">
        <f t="shared" si="28"/>
        <v>20020930</v>
      </c>
      <c r="AI276" s="16">
        <f t="shared" si="29"/>
        <v>-1.8113999999999999</v>
      </c>
      <c r="AJ276" s="16">
        <f t="shared" si="30"/>
        <v>8.4096000000000011</v>
      </c>
      <c r="AK276" s="16">
        <f t="shared" si="31"/>
        <v>-0.39840000000000053</v>
      </c>
      <c r="AL276" s="16">
        <v>0.03</v>
      </c>
      <c r="AM276" s="17">
        <f t="shared" si="32"/>
        <v>-1.8138999999999998</v>
      </c>
      <c r="AN276" s="17">
        <f t="shared" si="33"/>
        <v>8.4096000000000011</v>
      </c>
      <c r="AO276" s="17">
        <f t="shared" si="34"/>
        <v>-0.39840000000000053</v>
      </c>
    </row>
    <row r="277" spans="1:41">
      <c r="A277" s="49">
        <v>20021031</v>
      </c>
      <c r="B277" s="49">
        <v>-6.0961999999999996</v>
      </c>
      <c r="C277" s="49">
        <v>-6.0983999999999998</v>
      </c>
      <c r="D277" s="49">
        <v>-7.1877000000000004</v>
      </c>
      <c r="E277" s="49">
        <v>-7.1928000000000001</v>
      </c>
      <c r="F277" s="49">
        <v>-4.9066999999999998</v>
      </c>
      <c r="G277" s="49">
        <v>-4.9055999999999997</v>
      </c>
      <c r="H277" s="49">
        <v>-5.9847999999999999</v>
      </c>
      <c r="I277" s="49">
        <v>-5.9884000000000004</v>
      </c>
      <c r="J277" s="49">
        <v>-7.6074999999999999</v>
      </c>
      <c r="K277" s="49">
        <v>-7.6159999999999997</v>
      </c>
      <c r="L277" s="49">
        <v>-4.5922999999999998</v>
      </c>
      <c r="M277" s="49">
        <v>-4.5914999999999999</v>
      </c>
      <c r="N277" s="49">
        <v>-6.6078999999999999</v>
      </c>
      <c r="O277" s="49">
        <v>-6.6036000000000001</v>
      </c>
      <c r="P277" s="49">
        <v>-6.0697000000000001</v>
      </c>
      <c r="Q277" s="49">
        <v>-6.0655000000000001</v>
      </c>
      <c r="R277" s="49">
        <v>-8.6943000000000001</v>
      </c>
      <c r="S277" s="49">
        <v>-8.6898</v>
      </c>
      <c r="T277" s="49">
        <v>-5.165</v>
      </c>
      <c r="U277" s="49">
        <v>-5.165</v>
      </c>
      <c r="V277" s="49">
        <v>-8.7753999999999994</v>
      </c>
      <c r="W277" s="49">
        <v>-8.7753999999999994</v>
      </c>
      <c r="X277" s="49">
        <v>-3.1688999999999998</v>
      </c>
      <c r="Y277" s="49">
        <v>-3.1688999999999998</v>
      </c>
      <c r="Z277" s="49">
        <v>-7.0549999999999997</v>
      </c>
      <c r="AA277" s="49">
        <v>-7.0632000000000001</v>
      </c>
      <c r="AB277" s="49">
        <v>-6.7027000000000001</v>
      </c>
      <c r="AC277" s="49">
        <v>-6.718</v>
      </c>
      <c r="AD277" s="49">
        <v>-7.5833000000000004</v>
      </c>
      <c r="AE277" s="49">
        <v>-7.5808999999999997</v>
      </c>
      <c r="AH277" s="16">
        <f t="shared" si="28"/>
        <v>20021031</v>
      </c>
      <c r="AI277" s="16">
        <f t="shared" si="29"/>
        <v>-6.0983999999999998</v>
      </c>
      <c r="AJ277" s="16">
        <f t="shared" si="30"/>
        <v>-0.40019999999999989</v>
      </c>
      <c r="AK277" s="16">
        <f t="shared" si="31"/>
        <v>-2.5478000000000005</v>
      </c>
      <c r="AL277" s="16">
        <v>3.5999999999999997E-2</v>
      </c>
      <c r="AM277" s="17">
        <f t="shared" si="32"/>
        <v>-6.1013999999999999</v>
      </c>
      <c r="AN277" s="17">
        <f t="shared" si="33"/>
        <v>-0.40019999999999989</v>
      </c>
      <c r="AO277" s="17">
        <f t="shared" si="34"/>
        <v>-2.5478000000000005</v>
      </c>
    </row>
    <row r="278" spans="1:41">
      <c r="A278" s="49">
        <v>20021130</v>
      </c>
      <c r="B278" s="49">
        <v>3.3405</v>
      </c>
      <c r="C278" s="49">
        <v>3.3410000000000002</v>
      </c>
      <c r="D278" s="49">
        <v>1.8268</v>
      </c>
      <c r="E278" s="49">
        <v>1.8312999999999999</v>
      </c>
      <c r="F278" s="49">
        <v>4.9511000000000003</v>
      </c>
      <c r="G278" s="49">
        <v>4.9473000000000003</v>
      </c>
      <c r="H278" s="49">
        <v>4.1547999999999998</v>
      </c>
      <c r="I278" s="49">
        <v>4.1513</v>
      </c>
      <c r="J278" s="49">
        <v>2.8428</v>
      </c>
      <c r="K278" s="49">
        <v>2.8420999999999998</v>
      </c>
      <c r="L278" s="49">
        <v>5.2449000000000003</v>
      </c>
      <c r="M278" s="49">
        <v>5.2392000000000003</v>
      </c>
      <c r="N278" s="49">
        <v>-0.41410000000000002</v>
      </c>
      <c r="O278" s="49">
        <v>-0.39610000000000001</v>
      </c>
      <c r="P278" s="49">
        <v>-0.83150000000000002</v>
      </c>
      <c r="Q278" s="49">
        <v>-0.81379999999999997</v>
      </c>
      <c r="R278" s="49">
        <v>1.2535000000000001</v>
      </c>
      <c r="S278" s="49">
        <v>1.2728999999999999</v>
      </c>
      <c r="T278" s="49">
        <v>4.077</v>
      </c>
      <c r="U278" s="49">
        <v>4.0641999999999996</v>
      </c>
      <c r="V278" s="49">
        <v>2.5548999999999999</v>
      </c>
      <c r="W278" s="49">
        <v>2.5388000000000002</v>
      </c>
      <c r="X278" s="49">
        <v>4.8696999999999999</v>
      </c>
      <c r="Y278" s="49">
        <v>4.8586</v>
      </c>
      <c r="Z278" s="49">
        <v>4.2582000000000004</v>
      </c>
      <c r="AA278" s="49">
        <v>4.2672999999999996</v>
      </c>
      <c r="AB278" s="49">
        <v>3.0609000000000002</v>
      </c>
      <c r="AC278" s="49">
        <v>3.0718999999999999</v>
      </c>
      <c r="AD278" s="49">
        <v>6.0709</v>
      </c>
      <c r="AE278" s="49">
        <v>6.0770999999999997</v>
      </c>
      <c r="AH278" s="16">
        <f t="shared" si="28"/>
        <v>20021130</v>
      </c>
      <c r="AI278" s="16">
        <f t="shared" si="29"/>
        <v>3.3410000000000002</v>
      </c>
      <c r="AJ278" s="16">
        <f t="shared" si="30"/>
        <v>-4.4838000000000005</v>
      </c>
      <c r="AK278" s="16">
        <f t="shared" si="31"/>
        <v>-7.6222000000000003</v>
      </c>
      <c r="AL278" s="16">
        <v>0.02</v>
      </c>
      <c r="AM278" s="17">
        <f t="shared" si="32"/>
        <v>3.3393333333333337</v>
      </c>
      <c r="AN278" s="17">
        <f t="shared" si="33"/>
        <v>-4.4838000000000005</v>
      </c>
      <c r="AO278" s="17">
        <f t="shared" si="34"/>
        <v>-7.6222000000000003</v>
      </c>
    </row>
    <row r="279" spans="1:41">
      <c r="A279" s="49">
        <v>20021231</v>
      </c>
      <c r="B279" s="49">
        <v>-5.3684000000000003</v>
      </c>
      <c r="C279" s="49">
        <v>-5.3296999999999999</v>
      </c>
      <c r="D279" s="49">
        <v>-4.1866000000000003</v>
      </c>
      <c r="E279" s="49">
        <v>-4.1551</v>
      </c>
      <c r="F279" s="49">
        <v>-6.4890999999999996</v>
      </c>
      <c r="G279" s="49">
        <v>-6.4436999999999998</v>
      </c>
      <c r="H279" s="49">
        <v>-5.5621999999999998</v>
      </c>
      <c r="I279" s="49">
        <v>-5.5301</v>
      </c>
      <c r="J279" s="49">
        <v>-4.2686000000000002</v>
      </c>
      <c r="K279" s="49">
        <v>-4.2526999999999999</v>
      </c>
      <c r="L279" s="49">
        <v>-6.5750999999999999</v>
      </c>
      <c r="M279" s="49">
        <v>-6.5305</v>
      </c>
      <c r="N279" s="49">
        <v>-4.3311000000000002</v>
      </c>
      <c r="O279" s="49">
        <v>-4.2560000000000002</v>
      </c>
      <c r="P279" s="49">
        <v>-3.9262000000000001</v>
      </c>
      <c r="Q279" s="49">
        <v>-3.8445</v>
      </c>
      <c r="R279" s="49">
        <v>-5.4912999999999998</v>
      </c>
      <c r="S279" s="49">
        <v>-5.4352</v>
      </c>
      <c r="T279" s="49">
        <v>-6.5506000000000002</v>
      </c>
      <c r="U279" s="49">
        <v>-6.5026999999999999</v>
      </c>
      <c r="V279" s="49">
        <v>-5.9036999999999997</v>
      </c>
      <c r="W279" s="49">
        <v>-5.8804999999999996</v>
      </c>
      <c r="X279" s="49">
        <v>-6.9318</v>
      </c>
      <c r="Y279" s="49">
        <v>-6.8693999999999997</v>
      </c>
      <c r="Z279" s="49">
        <v>-4.1853999999999996</v>
      </c>
      <c r="AA279" s="49">
        <v>-4.1759000000000004</v>
      </c>
      <c r="AB279" s="49">
        <v>-2.6886000000000001</v>
      </c>
      <c r="AC279" s="49">
        <v>-2.6804000000000001</v>
      </c>
      <c r="AD279" s="49">
        <v>-5.9035000000000002</v>
      </c>
      <c r="AE279" s="49">
        <v>-5.8926999999999996</v>
      </c>
      <c r="AH279" s="16">
        <f t="shared" si="28"/>
        <v>20021231</v>
      </c>
      <c r="AI279" s="16">
        <f t="shared" si="29"/>
        <v>-5.3296999999999999</v>
      </c>
      <c r="AJ279" s="16">
        <f t="shared" si="30"/>
        <v>3.8685</v>
      </c>
      <c r="AK279" s="16">
        <f t="shared" si="31"/>
        <v>1.5035000000000007</v>
      </c>
      <c r="AL279" s="16">
        <v>5.8999999999999997E-2</v>
      </c>
      <c r="AM279" s="17">
        <f t="shared" si="32"/>
        <v>-5.3346166666666663</v>
      </c>
      <c r="AN279" s="17">
        <f t="shared" si="33"/>
        <v>3.8685</v>
      </c>
      <c r="AO279" s="17">
        <f t="shared" si="34"/>
        <v>1.5035000000000007</v>
      </c>
    </row>
    <row r="280" spans="1:41">
      <c r="A280" s="49">
        <v>20030131</v>
      </c>
      <c r="B280" s="49">
        <v>-2.6457000000000002</v>
      </c>
      <c r="C280" s="49">
        <v>-2.6383999999999999</v>
      </c>
      <c r="D280" s="49">
        <v>-1.1561999999999999</v>
      </c>
      <c r="E280" s="49">
        <v>-1.1415999999999999</v>
      </c>
      <c r="F280" s="49">
        <v>-4.0933000000000002</v>
      </c>
      <c r="G280" s="49">
        <v>-4.0929000000000002</v>
      </c>
      <c r="H280" s="49">
        <v>-2.9918</v>
      </c>
      <c r="I280" s="49">
        <v>-2.9841000000000002</v>
      </c>
      <c r="J280" s="49">
        <v>-1.4194</v>
      </c>
      <c r="K280" s="49">
        <v>-1.4018999999999999</v>
      </c>
      <c r="L280" s="49">
        <v>-4.2537000000000003</v>
      </c>
      <c r="M280" s="49">
        <v>-4.2538</v>
      </c>
      <c r="N280" s="49">
        <v>-0.81689999999999996</v>
      </c>
      <c r="O280" s="49">
        <v>-0.81140000000000001</v>
      </c>
      <c r="P280" s="49">
        <v>-0.3241</v>
      </c>
      <c r="Q280" s="49">
        <v>-0.31869999999999998</v>
      </c>
      <c r="R280" s="49">
        <v>-2.2522000000000002</v>
      </c>
      <c r="S280" s="49">
        <v>-2.2467999999999999</v>
      </c>
      <c r="T280" s="49">
        <v>-4.0467000000000004</v>
      </c>
      <c r="U280" s="49">
        <v>-4.0467000000000004</v>
      </c>
      <c r="V280" s="49">
        <v>-2.6964999999999999</v>
      </c>
      <c r="W280" s="49">
        <v>-2.6964999999999999</v>
      </c>
      <c r="X280" s="49">
        <v>-4.8510999999999997</v>
      </c>
      <c r="Y280" s="49">
        <v>-4.851</v>
      </c>
      <c r="Z280" s="49">
        <v>-1.5588</v>
      </c>
      <c r="AA280" s="49">
        <v>-1.5407</v>
      </c>
      <c r="AB280" s="49">
        <v>-0.22670000000000001</v>
      </c>
      <c r="AC280" s="49">
        <v>-0.19289999999999999</v>
      </c>
      <c r="AD280" s="49">
        <v>-3.1412</v>
      </c>
      <c r="AE280" s="49">
        <v>-3.1415000000000002</v>
      </c>
      <c r="AH280" s="16">
        <f t="shared" si="28"/>
        <v>20030131</v>
      </c>
      <c r="AI280" s="16">
        <f t="shared" si="29"/>
        <v>-2.6383999999999999</v>
      </c>
      <c r="AJ280" s="16">
        <f t="shared" si="30"/>
        <v>4.78</v>
      </c>
      <c r="AK280" s="16">
        <f t="shared" si="31"/>
        <v>3.0901999999999994</v>
      </c>
      <c r="AL280" s="16">
        <v>7.0000000000000007E-2</v>
      </c>
      <c r="AM280" s="17">
        <f t="shared" si="32"/>
        <v>-2.6442333333333332</v>
      </c>
      <c r="AN280" s="17">
        <f t="shared" si="33"/>
        <v>4.78</v>
      </c>
      <c r="AO280" s="17">
        <f t="shared" si="34"/>
        <v>3.0901999999999994</v>
      </c>
    </row>
    <row r="281" spans="1:41">
      <c r="A281" s="49">
        <v>20030228</v>
      </c>
      <c r="B281" s="49">
        <v>-0.26569999999999999</v>
      </c>
      <c r="C281" s="49">
        <v>-0.2392</v>
      </c>
      <c r="D281" s="49">
        <v>0.9032</v>
      </c>
      <c r="E281" s="49">
        <v>0.92569999999999997</v>
      </c>
      <c r="F281" s="49">
        <v>-1.4381999999999999</v>
      </c>
      <c r="G281" s="49">
        <v>-1.4077</v>
      </c>
      <c r="H281" s="49">
        <v>-0.87870000000000004</v>
      </c>
      <c r="I281" s="49">
        <v>-0.85660000000000003</v>
      </c>
      <c r="J281" s="49">
        <v>-9.6600000000000005E-2</v>
      </c>
      <c r="K281" s="49">
        <v>-8.3799999999999999E-2</v>
      </c>
      <c r="L281" s="49">
        <v>-1.5257000000000001</v>
      </c>
      <c r="M281" s="49">
        <v>-1.496</v>
      </c>
      <c r="N281" s="49">
        <v>2.9005000000000001</v>
      </c>
      <c r="O281" s="49">
        <v>2.9502999999999999</v>
      </c>
      <c r="P281" s="49">
        <v>4.0254000000000003</v>
      </c>
      <c r="Q281" s="49">
        <v>4.0785</v>
      </c>
      <c r="R281" s="49">
        <v>-0.4536</v>
      </c>
      <c r="S281" s="49">
        <v>-0.41370000000000001</v>
      </c>
      <c r="T281" s="49">
        <v>-1.5687</v>
      </c>
      <c r="U281" s="49">
        <v>-1.5485</v>
      </c>
      <c r="V281" s="49">
        <v>-0.6431</v>
      </c>
      <c r="W281" s="49">
        <v>-0.63570000000000004</v>
      </c>
      <c r="X281" s="49">
        <v>-2.133</v>
      </c>
      <c r="Y281" s="49">
        <v>-2.105</v>
      </c>
      <c r="Z281" s="49">
        <v>3.4599999999999999E-2</v>
      </c>
      <c r="AA281" s="49">
        <v>5.9200000000000003E-2</v>
      </c>
      <c r="AB281" s="49">
        <v>0.40100000000000002</v>
      </c>
      <c r="AC281" s="49">
        <v>0.41889999999999999</v>
      </c>
      <c r="AD281" s="49">
        <v>-0.41439999999999999</v>
      </c>
      <c r="AE281" s="49">
        <v>-0.38150000000000001</v>
      </c>
      <c r="AH281" s="16">
        <f t="shared" si="28"/>
        <v>20030228</v>
      </c>
      <c r="AI281" s="16">
        <f t="shared" si="29"/>
        <v>-0.2392</v>
      </c>
      <c r="AJ281" s="16">
        <f t="shared" si="30"/>
        <v>5.9044000000000008</v>
      </c>
      <c r="AK281" s="16">
        <f t="shared" si="31"/>
        <v>5.2446000000000002</v>
      </c>
      <c r="AL281" s="16">
        <v>0.01</v>
      </c>
      <c r="AM281" s="17">
        <f t="shared" si="32"/>
        <v>-0.24003333333333332</v>
      </c>
      <c r="AN281" s="17">
        <f t="shared" si="33"/>
        <v>5.9044000000000008</v>
      </c>
      <c r="AO281" s="17">
        <f t="shared" si="34"/>
        <v>5.2446000000000002</v>
      </c>
    </row>
    <row r="282" spans="1:41">
      <c r="A282" s="49">
        <v>20030331</v>
      </c>
      <c r="B282" s="49">
        <v>-4.0125000000000002</v>
      </c>
      <c r="C282" s="49">
        <v>-3.3620999999999999</v>
      </c>
      <c r="D282" s="49">
        <v>-3.8445</v>
      </c>
      <c r="E282" s="49">
        <v>-3.0545</v>
      </c>
      <c r="F282" s="49">
        <v>-4.1849999999999996</v>
      </c>
      <c r="G282" s="49">
        <v>-3.6764999999999999</v>
      </c>
      <c r="H282" s="49">
        <v>-4.6222000000000003</v>
      </c>
      <c r="I282" s="49">
        <v>-4.0045000000000002</v>
      </c>
      <c r="J282" s="49">
        <v>-4.8704000000000001</v>
      </c>
      <c r="K282" s="49">
        <v>-4.1177000000000001</v>
      </c>
      <c r="L282" s="49">
        <v>-4.4142000000000001</v>
      </c>
      <c r="M282" s="49">
        <v>-3.9089</v>
      </c>
      <c r="N282" s="49">
        <v>-0.9798</v>
      </c>
      <c r="O282" s="49">
        <v>-0.16270000000000001</v>
      </c>
      <c r="P282" s="49">
        <v>-0.77159999999999995</v>
      </c>
      <c r="Q282" s="49">
        <v>0.1321</v>
      </c>
      <c r="R282" s="49">
        <v>-1.6278999999999999</v>
      </c>
      <c r="S282" s="49">
        <v>-1.0828</v>
      </c>
      <c r="T282" s="49">
        <v>-5.2190000000000003</v>
      </c>
      <c r="U282" s="49">
        <v>-4.6555</v>
      </c>
      <c r="V282" s="49">
        <v>-6.4634999999999998</v>
      </c>
      <c r="W282" s="49">
        <v>-5.7598000000000003</v>
      </c>
      <c r="X282" s="49">
        <v>-4.4488000000000003</v>
      </c>
      <c r="Y282" s="49">
        <v>-3.9723000000000002</v>
      </c>
      <c r="Z282" s="49">
        <v>-3.8441000000000001</v>
      </c>
      <c r="AA282" s="49">
        <v>-3.1541999999999999</v>
      </c>
      <c r="AB282" s="49">
        <v>-3.4325000000000001</v>
      </c>
      <c r="AC282" s="49">
        <v>-2.6345000000000001</v>
      </c>
      <c r="AD282" s="49">
        <v>-4.3525999999999998</v>
      </c>
      <c r="AE282" s="49">
        <v>-3.7947000000000002</v>
      </c>
      <c r="AH282" s="16">
        <f t="shared" si="28"/>
        <v>20030331</v>
      </c>
      <c r="AI282" s="16">
        <f t="shared" si="29"/>
        <v>-3.3620999999999999</v>
      </c>
      <c r="AJ282" s="16">
        <f t="shared" si="30"/>
        <v>1.0061</v>
      </c>
      <c r="AK282" s="16">
        <f t="shared" si="31"/>
        <v>7.0758999999999999</v>
      </c>
      <c r="AL282" s="16">
        <v>2.1999999999999999E-2</v>
      </c>
      <c r="AM282" s="17">
        <f t="shared" si="32"/>
        <v>-3.3639333333333332</v>
      </c>
      <c r="AN282" s="17">
        <f t="shared" si="33"/>
        <v>1.0061</v>
      </c>
      <c r="AO282" s="17">
        <f t="shared" si="34"/>
        <v>7.0758999999999999</v>
      </c>
    </row>
    <row r="283" spans="1:41">
      <c r="A283" s="49">
        <v>20030430</v>
      </c>
      <c r="B283" s="49">
        <v>0.6008</v>
      </c>
      <c r="C283" s="49">
        <v>0.60119999999999996</v>
      </c>
      <c r="D283" s="49">
        <v>1.3095000000000001</v>
      </c>
      <c r="E283" s="49">
        <v>1.3095000000000001</v>
      </c>
      <c r="F283" s="49">
        <v>-0.1298</v>
      </c>
      <c r="G283" s="49">
        <v>-0.12889999999999999</v>
      </c>
      <c r="H283" s="49">
        <v>-8.9300000000000004E-2</v>
      </c>
      <c r="I283" s="49">
        <v>-8.8900000000000007E-2</v>
      </c>
      <c r="J283" s="49">
        <v>0.49559999999999998</v>
      </c>
      <c r="K283" s="49">
        <v>0.49559999999999998</v>
      </c>
      <c r="L283" s="49">
        <v>-0.57750000000000001</v>
      </c>
      <c r="M283" s="49">
        <v>-0.57669999999999999</v>
      </c>
      <c r="N283" s="49">
        <v>3.9056999999999999</v>
      </c>
      <c r="O283" s="49">
        <v>3.9058999999999999</v>
      </c>
      <c r="P283" s="49">
        <v>3.6459000000000001</v>
      </c>
      <c r="Q283" s="49">
        <v>3.6455000000000002</v>
      </c>
      <c r="R283" s="49">
        <v>4.7252000000000001</v>
      </c>
      <c r="S283" s="49">
        <v>4.7271999999999998</v>
      </c>
      <c r="T283" s="49">
        <v>-0.98899999999999999</v>
      </c>
      <c r="U283" s="49">
        <v>-0.98899999999999999</v>
      </c>
      <c r="V283" s="49">
        <v>-0.75280000000000002</v>
      </c>
      <c r="W283" s="49">
        <v>-0.75280000000000002</v>
      </c>
      <c r="X283" s="49">
        <v>-1.1316999999999999</v>
      </c>
      <c r="Y283" s="49">
        <v>-1.1316999999999999</v>
      </c>
      <c r="Z283" s="49">
        <v>1.0690999999999999</v>
      </c>
      <c r="AA283" s="49">
        <v>1.0702</v>
      </c>
      <c r="AB283" s="49">
        <v>1.5888</v>
      </c>
      <c r="AC283" s="49">
        <v>1.5888</v>
      </c>
      <c r="AD283" s="49">
        <v>0.4209</v>
      </c>
      <c r="AE283" s="49">
        <v>0.42320000000000002</v>
      </c>
      <c r="AH283" s="16">
        <f t="shared" si="28"/>
        <v>20030430</v>
      </c>
      <c r="AI283" s="16">
        <f t="shared" si="29"/>
        <v>0.60119999999999996</v>
      </c>
      <c r="AJ283" s="16">
        <f t="shared" si="30"/>
        <v>-9.3999999999996309E-3</v>
      </c>
      <c r="AK283" s="16">
        <f t="shared" si="31"/>
        <v>8.4537999999999993</v>
      </c>
      <c r="AL283" s="16">
        <v>0.04</v>
      </c>
      <c r="AM283" s="17">
        <f t="shared" si="32"/>
        <v>0.59786666666666666</v>
      </c>
      <c r="AN283" s="17">
        <f t="shared" si="33"/>
        <v>-9.3999999999996309E-3</v>
      </c>
      <c r="AO283" s="17">
        <f t="shared" si="34"/>
        <v>8.4537999999999993</v>
      </c>
    </row>
    <row r="284" spans="1:41">
      <c r="A284" s="49">
        <v>20030531</v>
      </c>
      <c r="B284" s="49">
        <v>4.9591000000000003</v>
      </c>
      <c r="C284" s="49">
        <v>4.9604999999999997</v>
      </c>
      <c r="D284" s="49">
        <v>4.2716000000000003</v>
      </c>
      <c r="E284" s="49">
        <v>4.2892999999999999</v>
      </c>
      <c r="F284" s="49">
        <v>5.6771000000000003</v>
      </c>
      <c r="G284" s="49">
        <v>5.6612999999999998</v>
      </c>
      <c r="H284" s="49">
        <v>4.9568000000000003</v>
      </c>
      <c r="I284" s="49">
        <v>4.9537000000000004</v>
      </c>
      <c r="J284" s="49">
        <v>3.9296000000000002</v>
      </c>
      <c r="K284" s="49">
        <v>3.9481000000000002</v>
      </c>
      <c r="L284" s="49">
        <v>5.8224</v>
      </c>
      <c r="M284" s="49">
        <v>5.8007999999999997</v>
      </c>
      <c r="N284" s="49">
        <v>4.9702999999999999</v>
      </c>
      <c r="O284" s="49">
        <v>4.992</v>
      </c>
      <c r="P284" s="49">
        <v>5.2228000000000003</v>
      </c>
      <c r="Q284" s="49">
        <v>5.2378</v>
      </c>
      <c r="R284" s="49">
        <v>4.1837999999999997</v>
      </c>
      <c r="S284" s="49">
        <v>4.2259000000000002</v>
      </c>
      <c r="T284" s="49">
        <v>5.2287999999999997</v>
      </c>
      <c r="U284" s="49">
        <v>5.2236000000000002</v>
      </c>
      <c r="V284" s="49">
        <v>4.5251000000000001</v>
      </c>
      <c r="W284" s="49">
        <v>4.5385</v>
      </c>
      <c r="X284" s="49">
        <v>5.6558000000000002</v>
      </c>
      <c r="Y284" s="49">
        <v>5.6391999999999998</v>
      </c>
      <c r="Z284" s="49">
        <v>4.6136999999999997</v>
      </c>
      <c r="AA284" s="49">
        <v>4.6132999999999997</v>
      </c>
      <c r="AB284" s="49">
        <v>3.4213</v>
      </c>
      <c r="AC284" s="49">
        <v>3.4441999999999999</v>
      </c>
      <c r="AD284" s="49">
        <v>6.1180000000000003</v>
      </c>
      <c r="AE284" s="49">
        <v>6.0875000000000004</v>
      </c>
      <c r="AH284" s="16">
        <f t="shared" si="28"/>
        <v>20030531</v>
      </c>
      <c r="AI284" s="16">
        <f t="shared" si="29"/>
        <v>4.9604999999999997</v>
      </c>
      <c r="AJ284" s="16">
        <f t="shared" si="30"/>
        <v>-0.84079999999999977</v>
      </c>
      <c r="AK284" s="16">
        <f t="shared" si="31"/>
        <v>-0.28519999999999968</v>
      </c>
      <c r="AL284" s="16">
        <v>3.2000000000000001E-2</v>
      </c>
      <c r="AM284" s="17">
        <f t="shared" si="32"/>
        <v>4.9578333333333333</v>
      </c>
      <c r="AN284" s="17">
        <f t="shared" si="33"/>
        <v>-0.84079999999999977</v>
      </c>
      <c r="AO284" s="17">
        <f t="shared" si="34"/>
        <v>-0.28519999999999968</v>
      </c>
    </row>
    <row r="285" spans="1:41">
      <c r="A285" s="49">
        <v>20030630</v>
      </c>
      <c r="B285" s="49">
        <v>7.9124999999999996</v>
      </c>
      <c r="C285" s="49">
        <v>7.9302999999999999</v>
      </c>
      <c r="D285" s="49">
        <v>8.6181000000000001</v>
      </c>
      <c r="E285" s="49">
        <v>8.6229999999999993</v>
      </c>
      <c r="F285" s="49">
        <v>7.1853999999999996</v>
      </c>
      <c r="G285" s="49">
        <v>7.2164999999999999</v>
      </c>
      <c r="H285" s="49">
        <v>7.7983000000000002</v>
      </c>
      <c r="I285" s="49">
        <v>7.8204000000000002</v>
      </c>
      <c r="J285" s="49">
        <v>8.4990000000000006</v>
      </c>
      <c r="K285" s="49">
        <v>8.5045000000000002</v>
      </c>
      <c r="L285" s="49">
        <v>7.2183000000000002</v>
      </c>
      <c r="M285" s="49">
        <v>7.2541000000000002</v>
      </c>
      <c r="N285" s="49">
        <v>8.4375</v>
      </c>
      <c r="O285" s="49">
        <v>8.4356000000000009</v>
      </c>
      <c r="P285" s="49">
        <v>8.9448000000000008</v>
      </c>
      <c r="Q285" s="49">
        <v>8.9480000000000004</v>
      </c>
      <c r="R285" s="49">
        <v>6.8406000000000002</v>
      </c>
      <c r="S285" s="49">
        <v>6.8228999999999997</v>
      </c>
      <c r="T285" s="49">
        <v>7.6810999999999998</v>
      </c>
      <c r="U285" s="49">
        <v>7.7180999999999997</v>
      </c>
      <c r="V285" s="49">
        <v>8.8478999999999992</v>
      </c>
      <c r="W285" s="49">
        <v>8.8704999999999998</v>
      </c>
      <c r="X285" s="49">
        <v>6.9806999999999997</v>
      </c>
      <c r="Y285" s="49">
        <v>7.0263</v>
      </c>
      <c r="Z285" s="49">
        <v>7.9469000000000003</v>
      </c>
      <c r="AA285" s="49">
        <v>7.9501999999999997</v>
      </c>
      <c r="AB285" s="49">
        <v>8.1979000000000006</v>
      </c>
      <c r="AC285" s="49">
        <v>8.1890000000000001</v>
      </c>
      <c r="AD285" s="49">
        <v>7.6382000000000003</v>
      </c>
      <c r="AE285" s="49">
        <v>7.6565000000000003</v>
      </c>
      <c r="AH285" s="16">
        <f t="shared" si="28"/>
        <v>20030630</v>
      </c>
      <c r="AI285" s="16">
        <f t="shared" si="29"/>
        <v>7.9302999999999999</v>
      </c>
      <c r="AJ285" s="16">
        <f t="shared" si="30"/>
        <v>3.3755000000000006</v>
      </c>
      <c r="AK285" s="16">
        <f t="shared" si="31"/>
        <v>1.2299999999999756E-2</v>
      </c>
      <c r="AL285" s="16">
        <v>7.0000000000000001E-3</v>
      </c>
      <c r="AM285" s="17">
        <f t="shared" si="32"/>
        <v>7.9297166666666667</v>
      </c>
      <c r="AN285" s="17">
        <f t="shared" si="33"/>
        <v>3.3755000000000006</v>
      </c>
      <c r="AO285" s="17">
        <f t="shared" si="34"/>
        <v>1.2299999999999756E-2</v>
      </c>
    </row>
    <row r="286" spans="1:41">
      <c r="A286" s="49">
        <v>20030731</v>
      </c>
      <c r="B286" s="49">
        <v>4.2252000000000001</v>
      </c>
      <c r="C286" s="49">
        <v>4.2282999999999999</v>
      </c>
      <c r="D286" s="49">
        <v>3.8824000000000001</v>
      </c>
      <c r="E286" s="49">
        <v>3.8883000000000001</v>
      </c>
      <c r="F286" s="49">
        <v>4.5824999999999996</v>
      </c>
      <c r="G286" s="49">
        <v>4.5826000000000002</v>
      </c>
      <c r="H286" s="49">
        <v>4.6509999999999998</v>
      </c>
      <c r="I286" s="49">
        <v>4.6539999999999999</v>
      </c>
      <c r="J286" s="49">
        <v>4.6666999999999996</v>
      </c>
      <c r="K286" s="49">
        <v>4.6730999999999998</v>
      </c>
      <c r="L286" s="49">
        <v>4.6378000000000004</v>
      </c>
      <c r="M286" s="49">
        <v>4.6379999999999999</v>
      </c>
      <c r="N286" s="49">
        <v>2.2814000000000001</v>
      </c>
      <c r="O286" s="49">
        <v>2.2848000000000002</v>
      </c>
      <c r="P286" s="49">
        <v>1.7446999999999999</v>
      </c>
      <c r="Q286" s="49">
        <v>1.7491000000000001</v>
      </c>
      <c r="R286" s="49">
        <v>4.0029000000000003</v>
      </c>
      <c r="S286" s="49">
        <v>4.0030000000000001</v>
      </c>
      <c r="T286" s="49">
        <v>4.7954999999999997</v>
      </c>
      <c r="U286" s="49">
        <v>4.7954999999999997</v>
      </c>
      <c r="V286" s="49">
        <v>5.7865000000000002</v>
      </c>
      <c r="W286" s="49">
        <v>5.7865000000000002</v>
      </c>
      <c r="X286" s="49">
        <v>4.1904000000000003</v>
      </c>
      <c r="Y286" s="49">
        <v>4.1904000000000003</v>
      </c>
      <c r="Z286" s="49">
        <v>4.4675000000000002</v>
      </c>
      <c r="AA286" s="49">
        <v>4.4743000000000004</v>
      </c>
      <c r="AB286" s="49">
        <v>3.6899000000000002</v>
      </c>
      <c r="AC286" s="49">
        <v>3.702</v>
      </c>
      <c r="AD286" s="49">
        <v>5.4238</v>
      </c>
      <c r="AE286" s="49">
        <v>5.4241000000000001</v>
      </c>
      <c r="AH286" s="16">
        <f t="shared" si="28"/>
        <v>20030731</v>
      </c>
      <c r="AI286" s="16">
        <f t="shared" si="29"/>
        <v>4.2282999999999999</v>
      </c>
      <c r="AJ286" s="16">
        <f t="shared" si="30"/>
        <v>-2.2187999999999999</v>
      </c>
      <c r="AK286" s="16">
        <f t="shared" si="31"/>
        <v>-3.5589999999999993</v>
      </c>
      <c r="AL286" s="16">
        <v>7.0000000000000001E-3</v>
      </c>
      <c r="AM286" s="17">
        <f t="shared" si="32"/>
        <v>4.2277166666666668</v>
      </c>
      <c r="AN286" s="17">
        <f t="shared" si="33"/>
        <v>-2.2187999999999999</v>
      </c>
      <c r="AO286" s="17">
        <f t="shared" si="34"/>
        <v>-3.5589999999999993</v>
      </c>
    </row>
    <row r="287" spans="1:41">
      <c r="A287" s="49">
        <v>20030831</v>
      </c>
      <c r="B287" s="49">
        <v>6.6292</v>
      </c>
      <c r="C287" s="49">
        <v>6.6426999999999996</v>
      </c>
      <c r="D287" s="49">
        <v>7.1821999999999999</v>
      </c>
      <c r="E287" s="49">
        <v>7.1909000000000001</v>
      </c>
      <c r="F287" s="49">
        <v>6.0568999999999997</v>
      </c>
      <c r="G287" s="49">
        <v>6.0753000000000004</v>
      </c>
      <c r="H287" s="49">
        <v>6.7824</v>
      </c>
      <c r="I287" s="49">
        <v>6.7957999999999998</v>
      </c>
      <c r="J287" s="49">
        <v>7.5675999999999997</v>
      </c>
      <c r="K287" s="49">
        <v>7.5749000000000004</v>
      </c>
      <c r="L287" s="49">
        <v>6.1269999999999998</v>
      </c>
      <c r="M287" s="49">
        <v>6.1452999999999998</v>
      </c>
      <c r="N287" s="49">
        <v>5.9029999999999996</v>
      </c>
      <c r="O287" s="49">
        <v>5.9173</v>
      </c>
      <c r="P287" s="49">
        <v>6.1001000000000003</v>
      </c>
      <c r="Q287" s="49">
        <v>6.1128</v>
      </c>
      <c r="R287" s="49">
        <v>5.2811000000000003</v>
      </c>
      <c r="S287" s="49">
        <v>5.3003</v>
      </c>
      <c r="T287" s="49">
        <v>6.1048999999999998</v>
      </c>
      <c r="U287" s="49">
        <v>6.1184000000000003</v>
      </c>
      <c r="V287" s="49">
        <v>7.3676000000000004</v>
      </c>
      <c r="W287" s="49">
        <v>7.3734999999999999</v>
      </c>
      <c r="X287" s="49">
        <v>5.3213999999999997</v>
      </c>
      <c r="Y287" s="49">
        <v>5.3395000000000001</v>
      </c>
      <c r="Z287" s="49">
        <v>7.6439000000000004</v>
      </c>
      <c r="AA287" s="49">
        <v>7.6571999999999996</v>
      </c>
      <c r="AB287" s="49">
        <v>7.7457000000000003</v>
      </c>
      <c r="AC287" s="49">
        <v>7.7542999999999997</v>
      </c>
      <c r="AD287" s="49">
        <v>7.5198999999999998</v>
      </c>
      <c r="AE287" s="49">
        <v>7.5388000000000002</v>
      </c>
      <c r="AH287" s="16">
        <f t="shared" si="28"/>
        <v>20030831</v>
      </c>
      <c r="AI287" s="16">
        <f t="shared" si="29"/>
        <v>6.6426999999999996</v>
      </c>
      <c r="AJ287" s="16">
        <f t="shared" si="30"/>
        <v>2.2421000000000006</v>
      </c>
      <c r="AK287" s="16">
        <f t="shared" si="31"/>
        <v>-2.3071000000000002</v>
      </c>
      <c r="AL287" s="16">
        <v>8.0000000000000002E-3</v>
      </c>
      <c r="AM287" s="17">
        <f t="shared" si="32"/>
        <v>6.642033333333333</v>
      </c>
      <c r="AN287" s="17">
        <f t="shared" si="33"/>
        <v>2.2421000000000006</v>
      </c>
      <c r="AO287" s="17">
        <f t="shared" si="34"/>
        <v>-2.3071000000000002</v>
      </c>
    </row>
    <row r="288" spans="1:41">
      <c r="A288" s="49">
        <v>20030930</v>
      </c>
      <c r="B288" s="49">
        <v>1.6716</v>
      </c>
      <c r="C288" s="49">
        <v>1.976</v>
      </c>
      <c r="D288" s="49">
        <v>2.9540000000000002</v>
      </c>
      <c r="E288" s="49">
        <v>3.3081999999999998</v>
      </c>
      <c r="F288" s="49">
        <v>0.3322</v>
      </c>
      <c r="G288" s="49">
        <v>0.58450000000000002</v>
      </c>
      <c r="H288" s="49">
        <v>1.3205</v>
      </c>
      <c r="I288" s="49">
        <v>1.6501999999999999</v>
      </c>
      <c r="J288" s="49">
        <v>2.8618999999999999</v>
      </c>
      <c r="K288" s="49">
        <v>3.2711000000000001</v>
      </c>
      <c r="L288" s="49">
        <v>1.9099999999999999E-2</v>
      </c>
      <c r="M288" s="49">
        <v>0.28160000000000002</v>
      </c>
      <c r="N288" s="49">
        <v>3.3401999999999998</v>
      </c>
      <c r="O288" s="49">
        <v>3.5224000000000002</v>
      </c>
      <c r="P288" s="49">
        <v>3.2157</v>
      </c>
      <c r="Q288" s="49">
        <v>3.4112</v>
      </c>
      <c r="R288" s="49">
        <v>3.7416999999999998</v>
      </c>
      <c r="S288" s="49">
        <v>3.8805999999999998</v>
      </c>
      <c r="T288" s="49">
        <v>-0.53029999999999999</v>
      </c>
      <c r="U288" s="49">
        <v>-0.16489999999999999</v>
      </c>
      <c r="V288" s="49">
        <v>0.86019999999999996</v>
      </c>
      <c r="W288" s="49">
        <v>1.3591</v>
      </c>
      <c r="X288" s="49">
        <v>-1.4109</v>
      </c>
      <c r="Y288" s="49">
        <v>-1.1297999999999999</v>
      </c>
      <c r="Z288" s="49">
        <v>3.6284999999999998</v>
      </c>
      <c r="AA288" s="49">
        <v>3.9134000000000002</v>
      </c>
      <c r="AB288" s="49">
        <v>4.6368</v>
      </c>
      <c r="AC288" s="49">
        <v>4.9664000000000001</v>
      </c>
      <c r="AD288" s="49">
        <v>2.4196</v>
      </c>
      <c r="AE288" s="49">
        <v>2.6507999999999998</v>
      </c>
      <c r="AH288" s="16">
        <f t="shared" si="28"/>
        <v>20030930</v>
      </c>
      <c r="AI288" s="16">
        <f t="shared" si="29"/>
        <v>1.976</v>
      </c>
      <c r="AJ288" s="16">
        <f t="shared" si="30"/>
        <v>2.5201000000000002</v>
      </c>
      <c r="AK288" s="16">
        <f t="shared" si="31"/>
        <v>3.7391000000000001</v>
      </c>
      <c r="AL288" s="16">
        <v>4.8000000000000001E-2</v>
      </c>
      <c r="AM288" s="17">
        <f t="shared" si="32"/>
        <v>1.972</v>
      </c>
      <c r="AN288" s="17">
        <f t="shared" si="33"/>
        <v>2.5201000000000002</v>
      </c>
      <c r="AO288" s="17">
        <f t="shared" si="34"/>
        <v>3.7391000000000001</v>
      </c>
    </row>
    <row r="289" spans="1:41">
      <c r="A289" s="49">
        <v>20031031</v>
      </c>
      <c r="B289" s="49">
        <v>2.8319000000000001</v>
      </c>
      <c r="C289" s="49">
        <v>2.8332000000000002</v>
      </c>
      <c r="D289" s="49">
        <v>3.5581</v>
      </c>
      <c r="E289" s="49">
        <v>3.5598000000000001</v>
      </c>
      <c r="F289" s="49">
        <v>2.0533000000000001</v>
      </c>
      <c r="G289" s="49">
        <v>2.0541999999999998</v>
      </c>
      <c r="H289" s="49">
        <v>2.5225</v>
      </c>
      <c r="I289" s="49">
        <v>2.5228000000000002</v>
      </c>
      <c r="J289" s="49">
        <v>3.6459000000000001</v>
      </c>
      <c r="K289" s="49">
        <v>3.6459000000000001</v>
      </c>
      <c r="L289" s="49">
        <v>1.5472999999999999</v>
      </c>
      <c r="M289" s="49">
        <v>1.548</v>
      </c>
      <c r="N289" s="49">
        <v>4.2668999999999997</v>
      </c>
      <c r="O289" s="49">
        <v>4.2724000000000002</v>
      </c>
      <c r="P289" s="49">
        <v>3.3062</v>
      </c>
      <c r="Q289" s="49">
        <v>3.3125</v>
      </c>
      <c r="R289" s="49">
        <v>7.3544999999999998</v>
      </c>
      <c r="S289" s="49">
        <v>7.3571999999999997</v>
      </c>
      <c r="T289" s="49">
        <v>0.70499999999999996</v>
      </c>
      <c r="U289" s="49">
        <v>0.70499999999999996</v>
      </c>
      <c r="V289" s="49">
        <v>2.7275</v>
      </c>
      <c r="W289" s="49">
        <v>2.7275</v>
      </c>
      <c r="X289" s="49">
        <v>-0.60429999999999995</v>
      </c>
      <c r="Y289" s="49">
        <v>-0.60429999999999995</v>
      </c>
      <c r="Z289" s="49">
        <v>4.6984000000000004</v>
      </c>
      <c r="AA289" s="49">
        <v>4.6992000000000003</v>
      </c>
      <c r="AB289" s="49">
        <v>4.431</v>
      </c>
      <c r="AC289" s="49">
        <v>4.431</v>
      </c>
      <c r="AD289" s="49">
        <v>5.0255999999999998</v>
      </c>
      <c r="AE289" s="49">
        <v>5.0274999999999999</v>
      </c>
      <c r="AH289" s="16">
        <f t="shared" si="28"/>
        <v>20031031</v>
      </c>
      <c r="AI289" s="16">
        <f t="shared" si="29"/>
        <v>2.8332000000000002</v>
      </c>
      <c r="AJ289" s="16">
        <f t="shared" si="30"/>
        <v>-1.9467999999999996</v>
      </c>
      <c r="AK289" s="16">
        <f t="shared" si="31"/>
        <v>5.4757999999999987</v>
      </c>
      <c r="AL289" s="16">
        <v>2.1999999999999999E-2</v>
      </c>
      <c r="AM289" s="17">
        <f t="shared" si="32"/>
        <v>2.8313666666666668</v>
      </c>
      <c r="AN289" s="17">
        <f t="shared" si="33"/>
        <v>-1.9467999999999996</v>
      </c>
      <c r="AO289" s="17">
        <f t="shared" si="34"/>
        <v>5.4757999999999987</v>
      </c>
    </row>
    <row r="290" spans="1:41">
      <c r="A290" s="49">
        <v>20031130</v>
      </c>
      <c r="B290" s="49">
        <v>-3.9018999999999999</v>
      </c>
      <c r="C290" s="49">
        <v>-3.8875999999999999</v>
      </c>
      <c r="D290" s="49">
        <v>-4.0944000000000003</v>
      </c>
      <c r="E290" s="49">
        <v>-4.0837000000000003</v>
      </c>
      <c r="F290" s="49">
        <v>-3.6924000000000001</v>
      </c>
      <c r="G290" s="49">
        <v>-3.6741999999999999</v>
      </c>
      <c r="H290" s="49">
        <v>-3.3306</v>
      </c>
      <c r="I290" s="49">
        <v>-3.3161999999999998</v>
      </c>
      <c r="J290" s="49">
        <v>-3.2347999999999999</v>
      </c>
      <c r="K290" s="49">
        <v>-3.2244999999999999</v>
      </c>
      <c r="L290" s="49">
        <v>-3.4152999999999998</v>
      </c>
      <c r="M290" s="49">
        <v>-3.3974000000000002</v>
      </c>
      <c r="N290" s="49">
        <v>-6.5096999999999996</v>
      </c>
      <c r="O290" s="49">
        <v>-6.4955999999999996</v>
      </c>
      <c r="P290" s="49">
        <v>-6.5343</v>
      </c>
      <c r="Q290" s="49">
        <v>-6.5225</v>
      </c>
      <c r="R290" s="49">
        <v>-6.4341999999999997</v>
      </c>
      <c r="S290" s="49">
        <v>-6.4128999999999996</v>
      </c>
      <c r="T290" s="49">
        <v>-1.6345000000000001</v>
      </c>
      <c r="U290" s="49">
        <v>-1.615</v>
      </c>
      <c r="V290" s="49">
        <v>-1.8333999999999999</v>
      </c>
      <c r="W290" s="49">
        <v>-1.8247</v>
      </c>
      <c r="X290" s="49">
        <v>-1.5011000000000001</v>
      </c>
      <c r="Y290" s="49">
        <v>-1.4742</v>
      </c>
      <c r="Z290" s="49">
        <v>-5.2828999999999997</v>
      </c>
      <c r="AA290" s="49">
        <v>-5.2742000000000004</v>
      </c>
      <c r="AB290" s="49">
        <v>-4.4137000000000004</v>
      </c>
      <c r="AC290" s="49">
        <v>-4.4020000000000001</v>
      </c>
      <c r="AD290" s="49">
        <v>-6.3406000000000002</v>
      </c>
      <c r="AE290" s="49">
        <v>-6.3354999999999997</v>
      </c>
      <c r="AH290" s="16">
        <f t="shared" si="28"/>
        <v>20031130</v>
      </c>
      <c r="AI290" s="16">
        <f t="shared" si="29"/>
        <v>-3.8875999999999999</v>
      </c>
      <c r="AJ290" s="16">
        <f t="shared" si="30"/>
        <v>6.3299999999999912E-2</v>
      </c>
      <c r="AK290" s="16">
        <f t="shared" si="31"/>
        <v>-6.3134999999999994</v>
      </c>
      <c r="AL290" s="16">
        <v>0.09</v>
      </c>
      <c r="AM290" s="17">
        <f t="shared" si="32"/>
        <v>-3.8950999999999998</v>
      </c>
      <c r="AN290" s="17">
        <f t="shared" si="33"/>
        <v>6.3299999999999912E-2</v>
      </c>
      <c r="AO290" s="17">
        <f t="shared" si="34"/>
        <v>-6.3134999999999994</v>
      </c>
    </row>
    <row r="291" spans="1:41">
      <c r="A291" s="49">
        <v>20031231</v>
      </c>
      <c r="B291" s="49">
        <v>4.2984</v>
      </c>
      <c r="C291" s="49">
        <v>4.3490000000000002</v>
      </c>
      <c r="D291" s="49">
        <v>5.3395999999999999</v>
      </c>
      <c r="E291" s="49">
        <v>5.3775000000000004</v>
      </c>
      <c r="F291" s="49">
        <v>3.2086000000000001</v>
      </c>
      <c r="G291" s="49">
        <v>3.2722000000000002</v>
      </c>
      <c r="H291" s="49">
        <v>4.4355000000000002</v>
      </c>
      <c r="I291" s="49">
        <v>4.4814999999999996</v>
      </c>
      <c r="J291" s="49">
        <v>5.73</v>
      </c>
      <c r="K291" s="49">
        <v>5.7568999999999999</v>
      </c>
      <c r="L291" s="49">
        <v>3.2402000000000002</v>
      </c>
      <c r="M291" s="49">
        <v>3.3035999999999999</v>
      </c>
      <c r="N291" s="49">
        <v>3.5095999999999998</v>
      </c>
      <c r="O291" s="49">
        <v>3.5861999999999998</v>
      </c>
      <c r="P291" s="49">
        <v>3.7806999999999999</v>
      </c>
      <c r="Q291" s="49">
        <v>3.8622000000000001</v>
      </c>
      <c r="R291" s="49">
        <v>2.9024999999999999</v>
      </c>
      <c r="S291" s="49">
        <v>2.9681999999999999</v>
      </c>
      <c r="T291" s="49">
        <v>3.7435999999999998</v>
      </c>
      <c r="U291" s="49">
        <v>3.7850000000000001</v>
      </c>
      <c r="V291" s="49">
        <v>5.7998000000000003</v>
      </c>
      <c r="W291" s="49">
        <v>5.8215000000000003</v>
      </c>
      <c r="X291" s="49">
        <v>2.0392000000000001</v>
      </c>
      <c r="Y291" s="49">
        <v>2.0964</v>
      </c>
      <c r="Z291" s="49">
        <v>5.4108999999999998</v>
      </c>
      <c r="AA291" s="49">
        <v>5.4633000000000003</v>
      </c>
      <c r="AB291" s="49">
        <v>5.6435000000000004</v>
      </c>
      <c r="AC291" s="49">
        <v>5.6768000000000001</v>
      </c>
      <c r="AD291" s="49">
        <v>5.1609999999999996</v>
      </c>
      <c r="AE291" s="49">
        <v>5.2339000000000002</v>
      </c>
      <c r="AH291" s="16">
        <f t="shared" si="28"/>
        <v>20031231</v>
      </c>
      <c r="AI291" s="16">
        <f t="shared" si="29"/>
        <v>4.3490000000000002</v>
      </c>
      <c r="AJ291" s="16">
        <f t="shared" si="30"/>
        <v>3.3473000000000002</v>
      </c>
      <c r="AK291" s="16">
        <f t="shared" si="31"/>
        <v>-2.2300999999999993</v>
      </c>
      <c r="AL291" s="16">
        <v>4.4999999999999998E-2</v>
      </c>
      <c r="AM291" s="17">
        <f t="shared" si="32"/>
        <v>4.3452500000000001</v>
      </c>
      <c r="AN291" s="17">
        <f t="shared" si="33"/>
        <v>3.3473000000000002</v>
      </c>
      <c r="AO291" s="17">
        <f t="shared" si="34"/>
        <v>-2.2300999999999993</v>
      </c>
    </row>
    <row r="292" spans="1:41">
      <c r="A292" s="49">
        <v>20040131</v>
      </c>
      <c r="B292" s="49">
        <v>0.75370000000000004</v>
      </c>
      <c r="C292" s="49">
        <v>0.75660000000000005</v>
      </c>
      <c r="D292" s="49">
        <v>0.4844</v>
      </c>
      <c r="E292" s="49">
        <v>0.48949999999999999</v>
      </c>
      <c r="F292" s="49">
        <v>1.0406</v>
      </c>
      <c r="G292" s="49">
        <v>1.0412999999999999</v>
      </c>
      <c r="H292" s="49">
        <v>0.3735</v>
      </c>
      <c r="I292" s="49">
        <v>0.37580000000000002</v>
      </c>
      <c r="J292" s="49">
        <v>-2.98E-2</v>
      </c>
      <c r="K292" s="49">
        <v>-2.5100000000000001E-2</v>
      </c>
      <c r="L292" s="49">
        <v>0.75390000000000001</v>
      </c>
      <c r="M292" s="49">
        <v>0.75390000000000001</v>
      </c>
      <c r="N292" s="49">
        <v>2.9609000000000001</v>
      </c>
      <c r="O292" s="49">
        <v>2.9676999999999998</v>
      </c>
      <c r="P292" s="49">
        <v>2.5756999999999999</v>
      </c>
      <c r="Q292" s="49">
        <v>2.5825</v>
      </c>
      <c r="R292" s="49">
        <v>3.8323</v>
      </c>
      <c r="S292" s="49">
        <v>3.8391999999999999</v>
      </c>
      <c r="T292" s="49">
        <v>0.53779999999999994</v>
      </c>
      <c r="U292" s="49">
        <v>0.53779999999999994</v>
      </c>
      <c r="V292" s="49">
        <v>-0.18790000000000001</v>
      </c>
      <c r="W292" s="49">
        <v>-0.18790000000000001</v>
      </c>
      <c r="X292" s="49">
        <v>1.1595</v>
      </c>
      <c r="Y292" s="49">
        <v>1.1595</v>
      </c>
      <c r="Z292" s="49">
        <v>0.1449</v>
      </c>
      <c r="AA292" s="49">
        <v>0.15040000000000001</v>
      </c>
      <c r="AB292" s="49">
        <v>0.1661</v>
      </c>
      <c r="AC292" s="49">
        <v>0.17660000000000001</v>
      </c>
      <c r="AD292" s="49">
        <v>0.1221</v>
      </c>
      <c r="AE292" s="49">
        <v>0.1221</v>
      </c>
      <c r="AH292" s="16">
        <f t="shared" si="28"/>
        <v>20040131</v>
      </c>
      <c r="AI292" s="16">
        <f t="shared" si="29"/>
        <v>0.75660000000000005</v>
      </c>
      <c r="AJ292" s="16">
        <f t="shared" si="30"/>
        <v>-2.0356999999999998</v>
      </c>
      <c r="AK292" s="16">
        <f t="shared" si="31"/>
        <v>5.6928999999999998</v>
      </c>
      <c r="AL292" s="16">
        <v>5.0000000000000001E-3</v>
      </c>
      <c r="AM292" s="17">
        <f t="shared" si="32"/>
        <v>0.75618333333333343</v>
      </c>
      <c r="AN292" s="17">
        <f t="shared" si="33"/>
        <v>-2.0356999999999998</v>
      </c>
      <c r="AO292" s="17">
        <f t="shared" si="34"/>
        <v>5.6928999999999998</v>
      </c>
    </row>
    <row r="293" spans="1:41">
      <c r="A293" s="49">
        <v>20040229</v>
      </c>
      <c r="B293" s="49">
        <v>2.9121999999999999</v>
      </c>
      <c r="C293" s="49">
        <v>2.9419</v>
      </c>
      <c r="D293" s="49">
        <v>4.5034999999999998</v>
      </c>
      <c r="E293" s="49">
        <v>4.5216000000000003</v>
      </c>
      <c r="F293" s="49">
        <v>1.2274</v>
      </c>
      <c r="G293" s="49">
        <v>1.2690999999999999</v>
      </c>
      <c r="H293" s="49">
        <v>2.8321999999999998</v>
      </c>
      <c r="I293" s="49">
        <v>2.86</v>
      </c>
      <c r="J293" s="49">
        <v>4.4549000000000003</v>
      </c>
      <c r="K293" s="49">
        <v>4.4661999999999997</v>
      </c>
      <c r="L293" s="49">
        <v>1.3142</v>
      </c>
      <c r="M293" s="49">
        <v>1.3571</v>
      </c>
      <c r="N293" s="49">
        <v>3.3647</v>
      </c>
      <c r="O293" s="49">
        <v>3.4051</v>
      </c>
      <c r="P293" s="49">
        <v>4.6962999999999999</v>
      </c>
      <c r="Q293" s="49">
        <v>4.7412000000000001</v>
      </c>
      <c r="R293" s="49">
        <v>0.4108</v>
      </c>
      <c r="S293" s="49">
        <v>0.44109999999999999</v>
      </c>
      <c r="T293" s="49">
        <v>2.6604000000000001</v>
      </c>
      <c r="U293" s="49">
        <v>2.6936</v>
      </c>
      <c r="V293" s="49">
        <v>4.3933999999999997</v>
      </c>
      <c r="W293" s="49">
        <v>4.3994999999999997</v>
      </c>
      <c r="X293" s="49">
        <v>1.1961999999999999</v>
      </c>
      <c r="Y293" s="49">
        <v>1.2518</v>
      </c>
      <c r="Z293" s="49">
        <v>3.0724</v>
      </c>
      <c r="AA293" s="49">
        <v>3.0926999999999998</v>
      </c>
      <c r="AB293" s="49">
        <v>4.5312999999999999</v>
      </c>
      <c r="AC293" s="49">
        <v>4.5491000000000001</v>
      </c>
      <c r="AD293" s="49">
        <v>1.5</v>
      </c>
      <c r="AE293" s="49">
        <v>1.5228999999999999</v>
      </c>
      <c r="AH293" s="16">
        <f t="shared" si="28"/>
        <v>20040229</v>
      </c>
      <c r="AI293" s="16">
        <f t="shared" si="29"/>
        <v>2.9419</v>
      </c>
      <c r="AJ293" s="16">
        <f t="shared" si="30"/>
        <v>7.4092000000000002</v>
      </c>
      <c r="AK293" s="16">
        <f t="shared" si="31"/>
        <v>-0.64100000000000001</v>
      </c>
      <c r="AL293" s="16">
        <v>1.7000000000000001E-2</v>
      </c>
      <c r="AM293" s="17">
        <f t="shared" si="32"/>
        <v>2.9404833333333333</v>
      </c>
      <c r="AN293" s="17">
        <f t="shared" si="33"/>
        <v>7.4092000000000002</v>
      </c>
      <c r="AO293" s="17">
        <f t="shared" si="34"/>
        <v>-0.64100000000000001</v>
      </c>
    </row>
    <row r="294" spans="1:41">
      <c r="A294" s="49">
        <v>20040331</v>
      </c>
      <c r="B294" s="49">
        <v>8.8192000000000004</v>
      </c>
      <c r="C294" s="49">
        <v>9.3635000000000002</v>
      </c>
      <c r="D294" s="49">
        <v>10.2431</v>
      </c>
      <c r="E294" s="49">
        <v>10.8893</v>
      </c>
      <c r="F294" s="49">
        <v>7.2637</v>
      </c>
      <c r="G294" s="49">
        <v>7.6966000000000001</v>
      </c>
      <c r="H294" s="49">
        <v>8.0263000000000009</v>
      </c>
      <c r="I294" s="49">
        <v>8.5490999999999993</v>
      </c>
      <c r="J294" s="49">
        <v>9.7121999999999993</v>
      </c>
      <c r="K294" s="49">
        <v>10.323399999999999</v>
      </c>
      <c r="L294" s="49">
        <v>6.4009</v>
      </c>
      <c r="M294" s="49">
        <v>6.8384</v>
      </c>
      <c r="N294" s="49">
        <v>13.2735</v>
      </c>
      <c r="O294" s="49">
        <v>13.940799999999999</v>
      </c>
      <c r="P294" s="49">
        <v>12.3415</v>
      </c>
      <c r="Q294" s="49">
        <v>13.128299999999999</v>
      </c>
      <c r="R294" s="49">
        <v>15.423299999999999</v>
      </c>
      <c r="S294" s="49">
        <v>15.810700000000001</v>
      </c>
      <c r="T294" s="49">
        <v>7.2794999999999996</v>
      </c>
      <c r="U294" s="49">
        <v>7.79</v>
      </c>
      <c r="V294" s="49">
        <v>9.8957999999999995</v>
      </c>
      <c r="W294" s="49">
        <v>10.4918</v>
      </c>
      <c r="X294" s="49">
        <v>4.9989999999999997</v>
      </c>
      <c r="Y294" s="49">
        <v>5.4347000000000003</v>
      </c>
      <c r="Z294" s="49">
        <v>9.0645000000000007</v>
      </c>
      <c r="AA294" s="49">
        <v>9.6044</v>
      </c>
      <c r="AB294" s="49">
        <v>9.4862000000000002</v>
      </c>
      <c r="AC294" s="49">
        <v>10.1159</v>
      </c>
      <c r="AD294" s="49">
        <v>8.5963999999999992</v>
      </c>
      <c r="AE294" s="49">
        <v>9.0366</v>
      </c>
      <c r="AH294" s="16">
        <f t="shared" si="28"/>
        <v>20040331</v>
      </c>
      <c r="AI294" s="16">
        <f t="shared" si="29"/>
        <v>9.3635000000000002</v>
      </c>
      <c r="AJ294" s="16">
        <f t="shared" si="30"/>
        <v>0.8025999999999982</v>
      </c>
      <c r="AK294" s="16">
        <f t="shared" si="31"/>
        <v>11.777200000000001</v>
      </c>
      <c r="AL294" s="16">
        <v>2.5000000000000001E-2</v>
      </c>
      <c r="AM294" s="17">
        <f t="shared" si="32"/>
        <v>9.3614166666666669</v>
      </c>
      <c r="AN294" s="17">
        <f t="shared" si="33"/>
        <v>0.8025999999999982</v>
      </c>
      <c r="AO294" s="17">
        <f t="shared" si="34"/>
        <v>11.777200000000001</v>
      </c>
    </row>
    <row r="295" spans="1:41">
      <c r="A295" s="49">
        <v>20040430</v>
      </c>
      <c r="B295" s="49">
        <v>0.94210000000000005</v>
      </c>
      <c r="C295" s="49">
        <v>0.94259999999999999</v>
      </c>
      <c r="D295" s="49">
        <v>0.84419999999999995</v>
      </c>
      <c r="E295" s="49">
        <v>0.84460000000000002</v>
      </c>
      <c r="F295" s="49">
        <v>1.0516000000000001</v>
      </c>
      <c r="G295" s="49">
        <v>1.0524</v>
      </c>
      <c r="H295" s="49">
        <v>0.39119999999999999</v>
      </c>
      <c r="I295" s="49">
        <v>0.39150000000000001</v>
      </c>
      <c r="J295" s="49">
        <v>0.22789999999999999</v>
      </c>
      <c r="K295" s="49">
        <v>0.22789999999999999</v>
      </c>
      <c r="L295" s="49">
        <v>0.55279999999999996</v>
      </c>
      <c r="M295" s="49">
        <v>0.5534</v>
      </c>
      <c r="N295" s="49">
        <v>3.8835999999999999</v>
      </c>
      <c r="O295" s="49">
        <v>3.8849999999999998</v>
      </c>
      <c r="P295" s="49">
        <v>3.2187999999999999</v>
      </c>
      <c r="Q295" s="49">
        <v>3.2202999999999999</v>
      </c>
      <c r="R295" s="49">
        <v>5.3777999999999997</v>
      </c>
      <c r="S295" s="49">
        <v>5.3788</v>
      </c>
      <c r="T295" s="49">
        <v>0.89170000000000005</v>
      </c>
      <c r="U295" s="49">
        <v>0.89170000000000005</v>
      </c>
      <c r="V295" s="49">
        <v>0.93320000000000003</v>
      </c>
      <c r="W295" s="49">
        <v>0.93320000000000003</v>
      </c>
      <c r="X295" s="49">
        <v>0.85340000000000005</v>
      </c>
      <c r="Y295" s="49">
        <v>0.85340000000000005</v>
      </c>
      <c r="Z295" s="49">
        <v>-0.29299999999999998</v>
      </c>
      <c r="AA295" s="49">
        <v>-0.29220000000000002</v>
      </c>
      <c r="AB295" s="49">
        <v>-0.64329999999999998</v>
      </c>
      <c r="AC295" s="49">
        <v>-0.64329999999999998</v>
      </c>
      <c r="AD295" s="49">
        <v>9.7900000000000001E-2</v>
      </c>
      <c r="AE295" s="49">
        <v>9.9599999999999994E-2</v>
      </c>
      <c r="AH295" s="16">
        <f t="shared" si="28"/>
        <v>20040430</v>
      </c>
      <c r="AI295" s="16">
        <f t="shared" si="29"/>
        <v>0.94259999999999999</v>
      </c>
      <c r="AJ295" s="16">
        <f t="shared" si="30"/>
        <v>-2.484</v>
      </c>
      <c r="AK295" s="16">
        <f t="shared" si="31"/>
        <v>7.8178000000000001</v>
      </c>
      <c r="AL295" s="16">
        <v>0.04</v>
      </c>
      <c r="AM295" s="17">
        <f t="shared" si="32"/>
        <v>0.93926666666666669</v>
      </c>
      <c r="AN295" s="17">
        <f t="shared" si="33"/>
        <v>-2.484</v>
      </c>
      <c r="AO295" s="17">
        <f t="shared" si="34"/>
        <v>7.8178000000000001</v>
      </c>
    </row>
    <row r="296" spans="1:41">
      <c r="A296" s="49">
        <v>20040531</v>
      </c>
      <c r="B296" s="49">
        <v>-3.8010999999999999</v>
      </c>
      <c r="C296" s="49">
        <v>-3.7850000000000001</v>
      </c>
      <c r="D296" s="49">
        <v>-3.0432000000000001</v>
      </c>
      <c r="E296" s="49">
        <v>-3.0234999999999999</v>
      </c>
      <c r="F296" s="49">
        <v>-4.6505999999999998</v>
      </c>
      <c r="G296" s="49">
        <v>-4.6383999999999999</v>
      </c>
      <c r="H296" s="49">
        <v>-3.5520999999999998</v>
      </c>
      <c r="I296" s="49">
        <v>-3.5390000000000001</v>
      </c>
      <c r="J296" s="49">
        <v>-2.7968999999999999</v>
      </c>
      <c r="K296" s="49">
        <v>-2.7810999999999999</v>
      </c>
      <c r="L296" s="49">
        <v>-4.3010000000000002</v>
      </c>
      <c r="M296" s="49">
        <v>-4.2904999999999998</v>
      </c>
      <c r="N296" s="49">
        <v>-5.0853999999999999</v>
      </c>
      <c r="O296" s="49">
        <v>-5.0540000000000003</v>
      </c>
      <c r="P296" s="49">
        <v>-3.9653</v>
      </c>
      <c r="Q296" s="49">
        <v>-3.9312999999999998</v>
      </c>
      <c r="R296" s="49">
        <v>-7.5327999999999999</v>
      </c>
      <c r="S296" s="49">
        <v>-7.5067000000000004</v>
      </c>
      <c r="T296" s="49">
        <v>-4.1304999999999996</v>
      </c>
      <c r="U296" s="49">
        <v>-4.1204000000000001</v>
      </c>
      <c r="V296" s="49">
        <v>-3.8914</v>
      </c>
      <c r="W296" s="49">
        <v>-3.8755000000000002</v>
      </c>
      <c r="X296" s="49">
        <v>-4.3491</v>
      </c>
      <c r="Y296" s="49">
        <v>-4.3441999999999998</v>
      </c>
      <c r="Z296" s="49">
        <v>-2.7523</v>
      </c>
      <c r="AA296" s="49">
        <v>-2.7349999999999999</v>
      </c>
      <c r="AB296" s="49">
        <v>-1.4233</v>
      </c>
      <c r="AC296" s="49">
        <v>-1.4076</v>
      </c>
      <c r="AD296" s="49">
        <v>-4.2278000000000002</v>
      </c>
      <c r="AE296" s="49">
        <v>-4.2087000000000003</v>
      </c>
      <c r="AH296" s="16">
        <f t="shared" si="28"/>
        <v>20040531</v>
      </c>
      <c r="AI296" s="16">
        <f t="shared" si="29"/>
        <v>-3.7850000000000001</v>
      </c>
      <c r="AJ296" s="16">
        <f t="shared" si="30"/>
        <v>5.0848000000000004</v>
      </c>
      <c r="AK296" s="16">
        <f t="shared" si="31"/>
        <v>-4.3664000000000005</v>
      </c>
      <c r="AL296" s="16">
        <v>1.9E-2</v>
      </c>
      <c r="AM296" s="17">
        <f t="shared" si="32"/>
        <v>-3.7865833333333336</v>
      </c>
      <c r="AN296" s="17">
        <f t="shared" si="33"/>
        <v>5.0848000000000004</v>
      </c>
      <c r="AO296" s="17">
        <f t="shared" si="34"/>
        <v>-4.3664000000000005</v>
      </c>
    </row>
    <row r="297" spans="1:41">
      <c r="A297" s="49">
        <v>20040630</v>
      </c>
      <c r="B297" s="49">
        <v>4.6364999999999998</v>
      </c>
      <c r="C297" s="49">
        <v>4.6905999999999999</v>
      </c>
      <c r="D297" s="49">
        <v>5.2634999999999996</v>
      </c>
      <c r="E297" s="49">
        <v>5.3116000000000003</v>
      </c>
      <c r="F297" s="49">
        <v>3.9205999999999999</v>
      </c>
      <c r="G297" s="49">
        <v>3.9815</v>
      </c>
      <c r="H297" s="49">
        <v>3.9577</v>
      </c>
      <c r="I297" s="49">
        <v>4.0118</v>
      </c>
      <c r="J297" s="49">
        <v>4.6897000000000002</v>
      </c>
      <c r="K297" s="49">
        <v>4.7343000000000002</v>
      </c>
      <c r="L297" s="49">
        <v>3.2185000000000001</v>
      </c>
      <c r="M297" s="49">
        <v>3.2820999999999998</v>
      </c>
      <c r="N297" s="49">
        <v>8.1986000000000008</v>
      </c>
      <c r="O297" s="49">
        <v>8.2524999999999995</v>
      </c>
      <c r="P297" s="49">
        <v>7.4435000000000002</v>
      </c>
      <c r="Q297" s="49">
        <v>7.5050999999999997</v>
      </c>
      <c r="R297" s="49">
        <v>9.9114000000000004</v>
      </c>
      <c r="S297" s="49">
        <v>9.9471000000000007</v>
      </c>
      <c r="T297" s="49">
        <v>3.1055999999999999</v>
      </c>
      <c r="U297" s="49">
        <v>3.1634000000000002</v>
      </c>
      <c r="V297" s="49">
        <v>4.2710999999999997</v>
      </c>
      <c r="W297" s="49">
        <v>4.3002000000000002</v>
      </c>
      <c r="X297" s="49">
        <v>2.0352000000000001</v>
      </c>
      <c r="Y297" s="49">
        <v>2.1190000000000002</v>
      </c>
      <c r="Z297" s="49">
        <v>5.1102999999999996</v>
      </c>
      <c r="AA297" s="49">
        <v>5.1592000000000002</v>
      </c>
      <c r="AB297" s="49">
        <v>5.2003000000000004</v>
      </c>
      <c r="AC297" s="49">
        <v>5.2637</v>
      </c>
      <c r="AD297" s="49">
        <v>5.0110000000000001</v>
      </c>
      <c r="AE297" s="49">
        <v>5.0434000000000001</v>
      </c>
      <c r="AH297" s="16">
        <f t="shared" si="28"/>
        <v>20040630</v>
      </c>
      <c r="AI297" s="16">
        <f t="shared" si="29"/>
        <v>4.6905999999999999</v>
      </c>
      <c r="AJ297" s="16">
        <f t="shared" si="30"/>
        <v>-0.98980000000000068</v>
      </c>
      <c r="AK297" s="16">
        <f t="shared" si="31"/>
        <v>9.4358000000000004</v>
      </c>
      <c r="AL297" s="16">
        <v>2.8000000000000001E-2</v>
      </c>
      <c r="AM297" s="17">
        <f t="shared" si="32"/>
        <v>4.6882666666666664</v>
      </c>
      <c r="AN297" s="17">
        <f t="shared" si="33"/>
        <v>-0.98980000000000068</v>
      </c>
      <c r="AO297" s="17">
        <f t="shared" si="34"/>
        <v>9.4358000000000004</v>
      </c>
    </row>
    <row r="298" spans="1:41">
      <c r="A298" s="49">
        <v>20040731</v>
      </c>
      <c r="B298" s="49">
        <v>-4.2190000000000003</v>
      </c>
      <c r="C298" s="49">
        <v>-4.2168000000000001</v>
      </c>
      <c r="D298" s="49">
        <v>-3.3944000000000001</v>
      </c>
      <c r="E298" s="49">
        <v>-3.3902999999999999</v>
      </c>
      <c r="F298" s="49">
        <v>-5.1736000000000004</v>
      </c>
      <c r="G298" s="49">
        <v>-5.1734</v>
      </c>
      <c r="H298" s="49">
        <v>-4.0262000000000002</v>
      </c>
      <c r="I298" s="49">
        <v>-4.0236999999999998</v>
      </c>
      <c r="J298" s="49">
        <v>-3.3123999999999998</v>
      </c>
      <c r="K298" s="49">
        <v>-3.3077000000000001</v>
      </c>
      <c r="L298" s="49">
        <v>-4.7577999999999996</v>
      </c>
      <c r="M298" s="49">
        <v>-4.7576000000000001</v>
      </c>
      <c r="N298" s="49">
        <v>-5.1909000000000001</v>
      </c>
      <c r="O298" s="49">
        <v>-5.1897000000000002</v>
      </c>
      <c r="P298" s="49">
        <v>-3.6979000000000002</v>
      </c>
      <c r="Q298" s="49">
        <v>-3.6962999999999999</v>
      </c>
      <c r="R298" s="49">
        <v>-8.4966000000000008</v>
      </c>
      <c r="S298" s="49">
        <v>-8.4961000000000002</v>
      </c>
      <c r="T298" s="49">
        <v>-3.2591999999999999</v>
      </c>
      <c r="U298" s="49">
        <v>-3.2591999999999999</v>
      </c>
      <c r="V298" s="49">
        <v>-2.6655000000000002</v>
      </c>
      <c r="W298" s="49">
        <v>-2.6655000000000002</v>
      </c>
      <c r="X298" s="49">
        <v>-3.8168000000000002</v>
      </c>
      <c r="Y298" s="49">
        <v>-3.8168000000000002</v>
      </c>
      <c r="Z298" s="49">
        <v>-5.0410000000000004</v>
      </c>
      <c r="AA298" s="49">
        <v>-5.0351999999999997</v>
      </c>
      <c r="AB298" s="49">
        <v>-4.0873999999999997</v>
      </c>
      <c r="AC298" s="49">
        <v>-4.0770999999999997</v>
      </c>
      <c r="AD298" s="49">
        <v>-6.1405000000000003</v>
      </c>
      <c r="AE298" s="49">
        <v>-6.1401000000000003</v>
      </c>
      <c r="AH298" s="16">
        <f t="shared" si="28"/>
        <v>20040731</v>
      </c>
      <c r="AI298" s="16">
        <f t="shared" si="29"/>
        <v>-4.2168000000000001</v>
      </c>
      <c r="AJ298" s="16">
        <f t="shared" si="30"/>
        <v>6.2497000000000007</v>
      </c>
      <c r="AK298" s="16">
        <f t="shared" si="31"/>
        <v>-4.1270999999999987</v>
      </c>
      <c r="AL298" s="16">
        <v>2.1000000000000001E-2</v>
      </c>
      <c r="AM298" s="17">
        <f t="shared" si="32"/>
        <v>-4.2185500000000005</v>
      </c>
      <c r="AN298" s="17">
        <f t="shared" si="33"/>
        <v>6.2497000000000007</v>
      </c>
      <c r="AO298" s="17">
        <f t="shared" si="34"/>
        <v>-4.1270999999999987</v>
      </c>
    </row>
    <row r="299" spans="1:41">
      <c r="A299" s="49">
        <v>20040831</v>
      </c>
      <c r="B299" s="49">
        <v>-1.1786000000000001</v>
      </c>
      <c r="C299" s="49">
        <v>-1.1676</v>
      </c>
      <c r="D299" s="49">
        <v>-1.5248999999999999</v>
      </c>
      <c r="E299" s="49">
        <v>-1.5170999999999999</v>
      </c>
      <c r="F299" s="49">
        <v>-0.77</v>
      </c>
      <c r="G299" s="49">
        <v>-0.75519999999999998</v>
      </c>
      <c r="H299" s="49">
        <v>-1.1983999999999999</v>
      </c>
      <c r="I299" s="49">
        <v>-1.1882999999999999</v>
      </c>
      <c r="J299" s="49">
        <v>-1.6041000000000001</v>
      </c>
      <c r="K299" s="49">
        <v>-1.5984</v>
      </c>
      <c r="L299" s="49">
        <v>-0.77510000000000001</v>
      </c>
      <c r="M299" s="49">
        <v>-0.76049999999999995</v>
      </c>
      <c r="N299" s="49">
        <v>-1.077</v>
      </c>
      <c r="O299" s="49">
        <v>-1.0615000000000001</v>
      </c>
      <c r="P299" s="49">
        <v>-1.2299</v>
      </c>
      <c r="Q299" s="49">
        <v>-1.2145999999999999</v>
      </c>
      <c r="R299" s="49">
        <v>-0.72250000000000003</v>
      </c>
      <c r="S299" s="49">
        <v>-0.70660000000000001</v>
      </c>
      <c r="T299" s="49">
        <v>-1.4423999999999999</v>
      </c>
      <c r="U299" s="49">
        <v>-1.4317</v>
      </c>
      <c r="V299" s="49">
        <v>-1.8560000000000001</v>
      </c>
      <c r="W299" s="49">
        <v>-1.8512999999999999</v>
      </c>
      <c r="X299" s="49">
        <v>-1.0488999999999999</v>
      </c>
      <c r="Y299" s="49">
        <v>-1.0324</v>
      </c>
      <c r="Z299" s="49">
        <v>-0.86980000000000002</v>
      </c>
      <c r="AA299" s="49">
        <v>-0.86060000000000003</v>
      </c>
      <c r="AB299" s="49">
        <v>-1.2990999999999999</v>
      </c>
      <c r="AC299" s="49">
        <v>-1.2921</v>
      </c>
      <c r="AD299" s="49">
        <v>-0.3624</v>
      </c>
      <c r="AE299" s="49">
        <v>-0.3508</v>
      </c>
      <c r="AH299" s="16">
        <f t="shared" si="28"/>
        <v>20040831</v>
      </c>
      <c r="AI299" s="16">
        <f t="shared" si="29"/>
        <v>-1.1676</v>
      </c>
      <c r="AJ299" s="16">
        <f t="shared" si="30"/>
        <v>-1.3458999999999999</v>
      </c>
      <c r="AK299" s="16">
        <f t="shared" si="31"/>
        <v>0.43770000000000042</v>
      </c>
      <c r="AL299" s="16">
        <v>2.5999999999999999E-2</v>
      </c>
      <c r="AM299" s="17">
        <f t="shared" si="32"/>
        <v>-1.1697666666666666</v>
      </c>
      <c r="AN299" s="17">
        <f t="shared" si="33"/>
        <v>-1.3458999999999999</v>
      </c>
      <c r="AO299" s="17">
        <f t="shared" si="34"/>
        <v>0.43770000000000042</v>
      </c>
    </row>
    <row r="300" spans="1:41">
      <c r="A300" s="49">
        <v>20040930</v>
      </c>
      <c r="B300" s="49">
        <v>-2.4053</v>
      </c>
      <c r="C300" s="49">
        <v>-2.0686</v>
      </c>
      <c r="D300" s="49">
        <v>-2.6126</v>
      </c>
      <c r="E300" s="49">
        <v>-2.2627999999999999</v>
      </c>
      <c r="F300" s="49">
        <v>-2.1625999999999999</v>
      </c>
      <c r="G300" s="49">
        <v>-1.8411999999999999</v>
      </c>
      <c r="H300" s="49">
        <v>-2.3447</v>
      </c>
      <c r="I300" s="49">
        <v>-1.9722</v>
      </c>
      <c r="J300" s="49">
        <v>-2.8289</v>
      </c>
      <c r="K300" s="49">
        <v>-2.4321000000000002</v>
      </c>
      <c r="L300" s="49">
        <v>-1.8440000000000001</v>
      </c>
      <c r="M300" s="49">
        <v>-1.4963</v>
      </c>
      <c r="N300" s="49">
        <v>-2.7132999999999998</v>
      </c>
      <c r="O300" s="49">
        <v>-2.5577999999999999</v>
      </c>
      <c r="P300" s="49">
        <v>-1.8087</v>
      </c>
      <c r="Q300" s="49">
        <v>-1.6313</v>
      </c>
      <c r="R300" s="49">
        <v>-4.7849000000000004</v>
      </c>
      <c r="S300" s="49">
        <v>-4.6797000000000004</v>
      </c>
      <c r="T300" s="49">
        <v>-2.6581000000000001</v>
      </c>
      <c r="U300" s="49">
        <v>-2.2593000000000001</v>
      </c>
      <c r="V300" s="49">
        <v>-3.5615000000000001</v>
      </c>
      <c r="W300" s="49">
        <v>-3.1587000000000001</v>
      </c>
      <c r="X300" s="49">
        <v>-1.8078000000000001</v>
      </c>
      <c r="Y300" s="49">
        <v>-1.4127000000000001</v>
      </c>
      <c r="Z300" s="49">
        <v>-1.9256</v>
      </c>
      <c r="AA300" s="49">
        <v>-1.5882000000000001</v>
      </c>
      <c r="AB300" s="49">
        <v>-1.9493</v>
      </c>
      <c r="AC300" s="49">
        <v>-1.5597000000000001</v>
      </c>
      <c r="AD300" s="49">
        <v>-1.8977999999999999</v>
      </c>
      <c r="AE300" s="49">
        <v>-1.6209</v>
      </c>
      <c r="AH300" s="16">
        <f t="shared" si="28"/>
        <v>20040930</v>
      </c>
      <c r="AI300" s="16">
        <f t="shared" si="29"/>
        <v>-2.0686</v>
      </c>
      <c r="AJ300" s="16">
        <f t="shared" si="30"/>
        <v>2.1126000000000005</v>
      </c>
      <c r="AK300" s="16">
        <f t="shared" si="31"/>
        <v>-2.3826000000000001</v>
      </c>
      <c r="AL300" s="16">
        <v>3.5000000000000003E-2</v>
      </c>
      <c r="AM300" s="17">
        <f t="shared" si="32"/>
        <v>-2.0715166666666667</v>
      </c>
      <c r="AN300" s="17">
        <f t="shared" si="33"/>
        <v>2.1126000000000005</v>
      </c>
      <c r="AO300" s="17">
        <f t="shared" si="34"/>
        <v>-2.3826000000000001</v>
      </c>
    </row>
    <row r="301" spans="1:41">
      <c r="A301" s="49">
        <v>20041031</v>
      </c>
      <c r="B301" s="49">
        <v>-1.4453</v>
      </c>
      <c r="C301" s="49">
        <v>-1.4437</v>
      </c>
      <c r="D301" s="49">
        <v>-1.2705</v>
      </c>
      <c r="E301" s="49">
        <v>-1.2686999999999999</v>
      </c>
      <c r="F301" s="49">
        <v>-1.6494</v>
      </c>
      <c r="G301" s="49">
        <v>-1.6480999999999999</v>
      </c>
      <c r="H301" s="49">
        <v>-1.2484999999999999</v>
      </c>
      <c r="I301" s="49">
        <v>-1.2474000000000001</v>
      </c>
      <c r="J301" s="49">
        <v>-0.97650000000000003</v>
      </c>
      <c r="K301" s="49">
        <v>-0.97519999999999996</v>
      </c>
      <c r="L301" s="49">
        <v>-1.5270999999999999</v>
      </c>
      <c r="M301" s="49">
        <v>-1.5263</v>
      </c>
      <c r="N301" s="49">
        <v>-2.4581</v>
      </c>
      <c r="O301" s="49">
        <v>-2.4533999999999998</v>
      </c>
      <c r="P301" s="49">
        <v>-2.3523999999999998</v>
      </c>
      <c r="Q301" s="49">
        <v>-2.3485</v>
      </c>
      <c r="R301" s="49">
        <v>-2.7124000000000001</v>
      </c>
      <c r="S301" s="49">
        <v>-2.7059000000000002</v>
      </c>
      <c r="T301" s="49">
        <v>-0.99939999999999996</v>
      </c>
      <c r="U301" s="49">
        <v>-0.99939999999999996</v>
      </c>
      <c r="V301" s="49">
        <v>-0.35970000000000002</v>
      </c>
      <c r="W301" s="49">
        <v>-0.35970000000000002</v>
      </c>
      <c r="X301" s="49">
        <v>-1.5922000000000001</v>
      </c>
      <c r="Y301" s="49">
        <v>-1.5922000000000001</v>
      </c>
      <c r="Z301" s="49">
        <v>-1.5777000000000001</v>
      </c>
      <c r="AA301" s="49">
        <v>-1.5752999999999999</v>
      </c>
      <c r="AB301" s="49">
        <v>-1.7040999999999999</v>
      </c>
      <c r="AC301" s="49">
        <v>-1.7012</v>
      </c>
      <c r="AD301" s="49">
        <v>-1.4302999999999999</v>
      </c>
      <c r="AE301" s="49">
        <v>-1.4283999999999999</v>
      </c>
      <c r="AH301" s="16">
        <f t="shared" si="28"/>
        <v>20041031</v>
      </c>
      <c r="AI301" s="16">
        <f t="shared" si="29"/>
        <v>-1.4437</v>
      </c>
      <c r="AJ301" s="16">
        <f t="shared" si="30"/>
        <v>0.9085000000000002</v>
      </c>
      <c r="AK301" s="16">
        <f t="shared" si="31"/>
        <v>-2.5529000000000002</v>
      </c>
      <c r="AL301" s="16">
        <v>3.7999999999999999E-2</v>
      </c>
      <c r="AM301" s="17">
        <f t="shared" si="32"/>
        <v>-1.4468666666666667</v>
      </c>
      <c r="AN301" s="17">
        <f t="shared" si="33"/>
        <v>0.9085000000000002</v>
      </c>
      <c r="AO301" s="17">
        <f t="shared" si="34"/>
        <v>-2.5529000000000002</v>
      </c>
    </row>
    <row r="302" spans="1:41">
      <c r="A302" s="49">
        <v>20041130</v>
      </c>
      <c r="B302" s="49">
        <v>1.4258</v>
      </c>
      <c r="C302" s="49">
        <v>1.4451000000000001</v>
      </c>
      <c r="D302" s="49">
        <v>1.7451000000000001</v>
      </c>
      <c r="E302" s="49">
        <v>1.7543</v>
      </c>
      <c r="F302" s="49">
        <v>1.0518000000000001</v>
      </c>
      <c r="G302" s="49">
        <v>1.0829</v>
      </c>
      <c r="H302" s="49">
        <v>1.5423</v>
      </c>
      <c r="I302" s="49">
        <v>1.5618000000000001</v>
      </c>
      <c r="J302" s="49">
        <v>2.073</v>
      </c>
      <c r="K302" s="49">
        <v>2.0802</v>
      </c>
      <c r="L302" s="49">
        <v>0.99619999999999997</v>
      </c>
      <c r="M302" s="49">
        <v>1.0282</v>
      </c>
      <c r="N302" s="49">
        <v>0.81859999999999999</v>
      </c>
      <c r="O302" s="49">
        <v>0.83679999999999999</v>
      </c>
      <c r="P302" s="49">
        <v>0.51990000000000003</v>
      </c>
      <c r="Q302" s="49">
        <v>0.53649999999999998</v>
      </c>
      <c r="R302" s="49">
        <v>1.5410999999999999</v>
      </c>
      <c r="S302" s="49">
        <v>1.5630999999999999</v>
      </c>
      <c r="T302" s="49">
        <v>0.94530000000000003</v>
      </c>
      <c r="U302" s="49">
        <v>0.96619999999999995</v>
      </c>
      <c r="V302" s="49">
        <v>1.4998</v>
      </c>
      <c r="W302" s="49">
        <v>1.5041</v>
      </c>
      <c r="X302" s="49">
        <v>0.42470000000000002</v>
      </c>
      <c r="Y302" s="49">
        <v>0.46100000000000002</v>
      </c>
      <c r="Z302" s="49">
        <v>2.3370000000000002</v>
      </c>
      <c r="AA302" s="49">
        <v>2.3546</v>
      </c>
      <c r="AB302" s="49">
        <v>2.7601</v>
      </c>
      <c r="AC302" s="49">
        <v>2.7707000000000002</v>
      </c>
      <c r="AD302" s="49">
        <v>1.8444</v>
      </c>
      <c r="AE302" s="49">
        <v>1.87</v>
      </c>
      <c r="AH302" s="16">
        <f t="shared" si="28"/>
        <v>20041130</v>
      </c>
      <c r="AI302" s="16">
        <f t="shared" si="29"/>
        <v>1.4451000000000001</v>
      </c>
      <c r="AJ302" s="16">
        <f t="shared" si="30"/>
        <v>2.5400000000000089E-2</v>
      </c>
      <c r="AK302" s="16">
        <f t="shared" si="31"/>
        <v>-1.0088000000000004</v>
      </c>
      <c r="AL302" s="16">
        <v>7.0000000000000001E-3</v>
      </c>
      <c r="AM302" s="17">
        <f t="shared" si="32"/>
        <v>1.4445166666666667</v>
      </c>
      <c r="AN302" s="17">
        <f t="shared" si="33"/>
        <v>2.5400000000000089E-2</v>
      </c>
      <c r="AO302" s="17">
        <f t="shared" si="34"/>
        <v>-1.0088000000000004</v>
      </c>
    </row>
    <row r="303" spans="1:41">
      <c r="A303" s="49">
        <v>20041231</v>
      </c>
      <c r="B303" s="49">
        <v>4.6742999999999997</v>
      </c>
      <c r="C303" s="49">
        <v>4.72</v>
      </c>
      <c r="D303" s="49">
        <v>4.7717000000000001</v>
      </c>
      <c r="E303" s="49">
        <v>4.8128000000000002</v>
      </c>
      <c r="F303" s="49">
        <v>4.5693000000000001</v>
      </c>
      <c r="G303" s="49">
        <v>4.6200999999999999</v>
      </c>
      <c r="H303" s="49">
        <v>4.6974</v>
      </c>
      <c r="I303" s="49">
        <v>4.7393999999999998</v>
      </c>
      <c r="J303" s="49">
        <v>4.6723999999999997</v>
      </c>
      <c r="K303" s="49">
        <v>4.7081</v>
      </c>
      <c r="L303" s="49">
        <v>4.7221000000000002</v>
      </c>
      <c r="M303" s="49">
        <v>4.7702999999999998</v>
      </c>
      <c r="N303" s="49">
        <v>4.5331999999999999</v>
      </c>
      <c r="O303" s="49">
        <v>4.6018999999999997</v>
      </c>
      <c r="P303" s="49">
        <v>5.2324999999999999</v>
      </c>
      <c r="Q303" s="49">
        <v>5.2981999999999996</v>
      </c>
      <c r="R303" s="49">
        <v>3.2172999999999998</v>
      </c>
      <c r="S303" s="49">
        <v>3.2919</v>
      </c>
      <c r="T303" s="49">
        <v>5.0907</v>
      </c>
      <c r="U303" s="49">
        <v>5.1260000000000003</v>
      </c>
      <c r="V303" s="49">
        <v>5.1135000000000002</v>
      </c>
      <c r="W303" s="49">
        <v>5.1375000000000002</v>
      </c>
      <c r="X303" s="49">
        <v>5.0694999999999997</v>
      </c>
      <c r="Y303" s="49">
        <v>5.1151999999999997</v>
      </c>
      <c r="Z303" s="49">
        <v>4.1193999999999997</v>
      </c>
      <c r="AA303" s="49">
        <v>4.1714000000000002</v>
      </c>
      <c r="AB303" s="49">
        <v>4.0723000000000003</v>
      </c>
      <c r="AC303" s="49">
        <v>4.1239999999999997</v>
      </c>
      <c r="AD303" s="49">
        <v>4.1703999999999999</v>
      </c>
      <c r="AE303" s="49">
        <v>4.2226999999999997</v>
      </c>
      <c r="AH303" s="16">
        <f t="shared" si="28"/>
        <v>20041231</v>
      </c>
      <c r="AI303" s="16">
        <f t="shared" si="29"/>
        <v>4.72</v>
      </c>
      <c r="AJ303" s="16">
        <f t="shared" si="30"/>
        <v>1.9440999999999997</v>
      </c>
      <c r="AK303" s="16">
        <f t="shared" si="31"/>
        <v>-0.88830000000000098</v>
      </c>
      <c r="AL303" s="16">
        <v>6.8000000000000005E-2</v>
      </c>
      <c r="AM303" s="17">
        <f t="shared" si="32"/>
        <v>4.7143333333333333</v>
      </c>
      <c r="AN303" s="17">
        <f t="shared" si="33"/>
        <v>1.9440999999999997</v>
      </c>
      <c r="AO303" s="17">
        <f t="shared" si="34"/>
        <v>-0.88830000000000098</v>
      </c>
    </row>
    <row r="304" spans="1:41">
      <c r="A304" s="49">
        <v>20050131</v>
      </c>
      <c r="B304" s="49">
        <v>-0.43980000000000002</v>
      </c>
      <c r="C304" s="49">
        <v>-0.43669999999999998</v>
      </c>
      <c r="D304" s="49">
        <v>-0.24690000000000001</v>
      </c>
      <c r="E304" s="49">
        <v>-0.24210000000000001</v>
      </c>
      <c r="F304" s="49">
        <v>-0.6482</v>
      </c>
      <c r="G304" s="49">
        <v>-0.64680000000000004</v>
      </c>
      <c r="H304" s="49">
        <v>-1.2609999999999999</v>
      </c>
      <c r="I304" s="49">
        <v>-1.2586999999999999</v>
      </c>
      <c r="J304" s="49">
        <v>-1.1918</v>
      </c>
      <c r="K304" s="49">
        <v>-1.1879999999999999</v>
      </c>
      <c r="L304" s="49">
        <v>-1.3292999999999999</v>
      </c>
      <c r="M304" s="49">
        <v>-1.3286</v>
      </c>
      <c r="N304" s="49">
        <v>4.5740999999999996</v>
      </c>
      <c r="O304" s="49">
        <v>4.5829000000000004</v>
      </c>
      <c r="P304" s="49">
        <v>4.1166</v>
      </c>
      <c r="Q304" s="49">
        <v>4.1260000000000003</v>
      </c>
      <c r="R304" s="49">
        <v>5.4497</v>
      </c>
      <c r="S304" s="49">
        <v>5.4570999999999996</v>
      </c>
      <c r="T304" s="49">
        <v>-3.0026999999999999</v>
      </c>
      <c r="U304" s="49">
        <v>-3.0026999999999999</v>
      </c>
      <c r="V304" s="49">
        <v>-3.2071000000000001</v>
      </c>
      <c r="W304" s="49">
        <v>-3.2071000000000001</v>
      </c>
      <c r="X304" s="49">
        <v>-2.8130999999999999</v>
      </c>
      <c r="Y304" s="49">
        <v>-2.8130999999999999</v>
      </c>
      <c r="Z304" s="49">
        <v>1.3223</v>
      </c>
      <c r="AA304" s="49">
        <v>1.3280000000000001</v>
      </c>
      <c r="AB304" s="49">
        <v>1.5783</v>
      </c>
      <c r="AC304" s="49">
        <v>1.5873999999999999</v>
      </c>
      <c r="AD304" s="49">
        <v>1.0457000000000001</v>
      </c>
      <c r="AE304" s="49">
        <v>1.0476000000000001</v>
      </c>
      <c r="AH304" s="16">
        <f t="shared" si="28"/>
        <v>20050131</v>
      </c>
      <c r="AI304" s="16">
        <f t="shared" si="29"/>
        <v>-0.43669999999999998</v>
      </c>
      <c r="AJ304" s="16">
        <f t="shared" si="30"/>
        <v>-1.1904999999999992</v>
      </c>
      <c r="AK304" s="16">
        <f t="shared" si="31"/>
        <v>12.0997</v>
      </c>
      <c r="AL304" s="16">
        <v>5.0000000000000001E-3</v>
      </c>
      <c r="AM304" s="17">
        <f t="shared" si="32"/>
        <v>-0.43711666666666665</v>
      </c>
      <c r="AN304" s="17">
        <f t="shared" si="33"/>
        <v>-1.1904999999999992</v>
      </c>
      <c r="AO304" s="17">
        <f t="shared" si="34"/>
        <v>12.0997</v>
      </c>
    </row>
    <row r="305" spans="1:41">
      <c r="A305" s="49">
        <v>20050228</v>
      </c>
      <c r="B305" s="49">
        <v>2.8311000000000002</v>
      </c>
      <c r="C305" s="49">
        <v>2.8624000000000001</v>
      </c>
      <c r="D305" s="49">
        <v>3.3348</v>
      </c>
      <c r="E305" s="49">
        <v>3.3530000000000002</v>
      </c>
      <c r="F305" s="49">
        <v>2.2852999999999999</v>
      </c>
      <c r="G305" s="49">
        <v>2.3307000000000002</v>
      </c>
      <c r="H305" s="49">
        <v>2.7848999999999999</v>
      </c>
      <c r="I305" s="49">
        <v>2.8142999999999998</v>
      </c>
      <c r="J305" s="49">
        <v>3.2008000000000001</v>
      </c>
      <c r="K305" s="49">
        <v>3.2126999999999999</v>
      </c>
      <c r="L305" s="49">
        <v>2.3740000000000001</v>
      </c>
      <c r="M305" s="49">
        <v>2.4205000000000001</v>
      </c>
      <c r="N305" s="49">
        <v>3.0975999999999999</v>
      </c>
      <c r="O305" s="49">
        <v>3.1398000000000001</v>
      </c>
      <c r="P305" s="49">
        <v>3.9220999999999999</v>
      </c>
      <c r="Q305" s="49">
        <v>3.9678</v>
      </c>
      <c r="R305" s="49">
        <v>1.5427</v>
      </c>
      <c r="S305" s="49">
        <v>1.5781000000000001</v>
      </c>
      <c r="T305" s="49">
        <v>2.9889999999999999</v>
      </c>
      <c r="U305" s="49">
        <v>3.0234999999999999</v>
      </c>
      <c r="V305" s="49">
        <v>3.2172000000000001</v>
      </c>
      <c r="W305" s="49">
        <v>3.2273999999999998</v>
      </c>
      <c r="X305" s="49">
        <v>2.7783000000000002</v>
      </c>
      <c r="Y305" s="49">
        <v>2.835</v>
      </c>
      <c r="Z305" s="49">
        <v>2.4948999999999999</v>
      </c>
      <c r="AA305" s="49">
        <v>2.5173000000000001</v>
      </c>
      <c r="AB305" s="49">
        <v>3.1791999999999998</v>
      </c>
      <c r="AC305" s="49">
        <v>3.1932</v>
      </c>
      <c r="AD305" s="49">
        <v>1.7514000000000001</v>
      </c>
      <c r="AE305" s="49">
        <v>1.7827999999999999</v>
      </c>
      <c r="AH305" s="16">
        <f t="shared" si="28"/>
        <v>20050228</v>
      </c>
      <c r="AI305" s="16">
        <f t="shared" si="29"/>
        <v>2.8624000000000001</v>
      </c>
      <c r="AJ305" s="16">
        <f t="shared" si="30"/>
        <v>3.1818999999999997</v>
      </c>
      <c r="AK305" s="16">
        <f t="shared" si="31"/>
        <v>-8.7300000000000821E-2</v>
      </c>
      <c r="AL305" s="16">
        <v>8.0000000000000002E-3</v>
      </c>
      <c r="AM305" s="17">
        <f t="shared" si="32"/>
        <v>2.8617333333333335</v>
      </c>
      <c r="AN305" s="17">
        <f t="shared" si="33"/>
        <v>3.1818999999999997</v>
      </c>
      <c r="AO305" s="17">
        <f t="shared" si="34"/>
        <v>-8.7300000000000821E-2</v>
      </c>
    </row>
    <row r="306" spans="1:41">
      <c r="A306" s="49">
        <v>20050331</v>
      </c>
      <c r="B306" s="49">
        <v>0.44529999999999997</v>
      </c>
      <c r="C306" s="49">
        <v>1.0590999999999999</v>
      </c>
      <c r="D306" s="49">
        <v>1.3023</v>
      </c>
      <c r="E306" s="49">
        <v>1.9867999999999999</v>
      </c>
      <c r="F306" s="49">
        <v>-0.49569999999999997</v>
      </c>
      <c r="G306" s="49">
        <v>3.9800000000000002E-2</v>
      </c>
      <c r="H306" s="49">
        <v>0.1075</v>
      </c>
      <c r="I306" s="49">
        <v>0.71919999999999995</v>
      </c>
      <c r="J306" s="49">
        <v>0.84650000000000003</v>
      </c>
      <c r="K306" s="49">
        <v>1.5148999999999999</v>
      </c>
      <c r="L306" s="49">
        <v>-0.63160000000000005</v>
      </c>
      <c r="M306" s="49">
        <v>-7.7100000000000002E-2</v>
      </c>
      <c r="N306" s="49">
        <v>2.3948999999999998</v>
      </c>
      <c r="O306" s="49">
        <v>3.0207999999999999</v>
      </c>
      <c r="P306" s="49">
        <v>3.3007</v>
      </c>
      <c r="Q306" s="49">
        <v>4.0567000000000002</v>
      </c>
      <c r="R306" s="49">
        <v>0.65039999999999998</v>
      </c>
      <c r="S306" s="49">
        <v>1.0266</v>
      </c>
      <c r="T306" s="49">
        <v>-0.31979999999999997</v>
      </c>
      <c r="U306" s="49">
        <v>0.30199999999999999</v>
      </c>
      <c r="V306" s="49">
        <v>0.41370000000000001</v>
      </c>
      <c r="W306" s="49">
        <v>1.0789</v>
      </c>
      <c r="X306" s="49">
        <v>-1.0005999999999999</v>
      </c>
      <c r="Y306" s="49">
        <v>-0.4194</v>
      </c>
      <c r="Z306" s="49">
        <v>0.70760000000000001</v>
      </c>
      <c r="AA306" s="49">
        <v>1.3048999999999999</v>
      </c>
      <c r="AB306" s="49">
        <v>1.4023000000000001</v>
      </c>
      <c r="AC306" s="49">
        <v>2.0749</v>
      </c>
      <c r="AD306" s="49">
        <v>-6.4299999999999996E-2</v>
      </c>
      <c r="AE306" s="49">
        <v>0.44919999999999999</v>
      </c>
      <c r="AH306" s="16">
        <f t="shared" si="28"/>
        <v>20050331</v>
      </c>
      <c r="AI306" s="16">
        <f t="shared" si="29"/>
        <v>1.0590999999999999</v>
      </c>
      <c r="AJ306" s="16">
        <f t="shared" si="30"/>
        <v>4.6220999999999997</v>
      </c>
      <c r="AK306" s="16">
        <f t="shared" si="31"/>
        <v>3.6455000000000002</v>
      </c>
      <c r="AL306" s="16">
        <v>5.0000000000000001E-3</v>
      </c>
      <c r="AM306" s="17">
        <f t="shared" si="32"/>
        <v>1.0586833333333332</v>
      </c>
      <c r="AN306" s="17">
        <f t="shared" si="33"/>
        <v>4.6220999999999997</v>
      </c>
      <c r="AO306" s="17">
        <f t="shared" si="34"/>
        <v>3.6455000000000002</v>
      </c>
    </row>
    <row r="307" spans="1:41">
      <c r="A307" s="49">
        <v>20050430</v>
      </c>
      <c r="B307" s="49">
        <v>-4.2173999999999996</v>
      </c>
      <c r="C307" s="49">
        <v>-4.2167000000000003</v>
      </c>
      <c r="D307" s="49">
        <v>-4.2221000000000002</v>
      </c>
      <c r="E307" s="49">
        <v>-4.2217000000000002</v>
      </c>
      <c r="F307" s="49">
        <v>-4.2126000000000001</v>
      </c>
      <c r="G307" s="49">
        <v>-4.2115</v>
      </c>
      <c r="H307" s="49">
        <v>-4.4740000000000002</v>
      </c>
      <c r="I307" s="49">
        <v>-4.4734999999999996</v>
      </c>
      <c r="J307" s="49">
        <v>-4.5004999999999997</v>
      </c>
      <c r="K307" s="49">
        <v>-4.5004999999999997</v>
      </c>
      <c r="L307" s="49">
        <v>-4.4476000000000004</v>
      </c>
      <c r="M307" s="49">
        <v>-4.4466000000000001</v>
      </c>
      <c r="N307" s="49">
        <v>-2.7698999999999998</v>
      </c>
      <c r="O307" s="49">
        <v>-2.7677</v>
      </c>
      <c r="P307" s="49">
        <v>-3.0322</v>
      </c>
      <c r="Q307" s="49">
        <v>-3.0299</v>
      </c>
      <c r="R307" s="49">
        <v>-2.2494999999999998</v>
      </c>
      <c r="S307" s="49">
        <v>-2.2475000000000001</v>
      </c>
      <c r="T307" s="49">
        <v>-4.2770999999999999</v>
      </c>
      <c r="U307" s="49">
        <v>-4.2770999999999999</v>
      </c>
      <c r="V307" s="49">
        <v>-4.3841999999999999</v>
      </c>
      <c r="W307" s="49">
        <v>-4.3841999999999999</v>
      </c>
      <c r="X307" s="49">
        <v>-4.1786000000000003</v>
      </c>
      <c r="Y307" s="49">
        <v>-4.1786000000000003</v>
      </c>
      <c r="Z307" s="49">
        <v>-4.7504</v>
      </c>
      <c r="AA307" s="49">
        <v>-4.7492000000000001</v>
      </c>
      <c r="AB307" s="49">
        <v>-4.6485000000000003</v>
      </c>
      <c r="AC307" s="49">
        <v>-4.6485000000000003</v>
      </c>
      <c r="AD307" s="49">
        <v>-4.8662000000000001</v>
      </c>
      <c r="AE307" s="49">
        <v>-4.8635999999999999</v>
      </c>
      <c r="AH307" s="16">
        <f t="shared" si="28"/>
        <v>20050430</v>
      </c>
      <c r="AI307" s="16">
        <f t="shared" si="29"/>
        <v>-4.2167000000000003</v>
      </c>
      <c r="AJ307" s="16">
        <f t="shared" si="30"/>
        <v>-0.8362999999999996</v>
      </c>
      <c r="AK307" s="16">
        <f t="shared" si="31"/>
        <v>3.6696999999999989</v>
      </c>
      <c r="AL307" s="16">
        <v>8.9999999999999993E-3</v>
      </c>
      <c r="AM307" s="17">
        <f t="shared" si="32"/>
        <v>-4.2174500000000004</v>
      </c>
      <c r="AN307" s="17">
        <f t="shared" si="33"/>
        <v>-0.8362999999999996</v>
      </c>
      <c r="AO307" s="17">
        <f t="shared" si="34"/>
        <v>3.6696999999999989</v>
      </c>
    </row>
    <row r="308" spans="1:41">
      <c r="A308" s="49">
        <v>20050531</v>
      </c>
      <c r="B308" s="49">
        <v>1.4851000000000001</v>
      </c>
      <c r="C308" s="49">
        <v>1.5116000000000001</v>
      </c>
      <c r="D308" s="49">
        <v>1.4461999999999999</v>
      </c>
      <c r="E308" s="49">
        <v>1.4829000000000001</v>
      </c>
      <c r="F308" s="49">
        <v>1.5282</v>
      </c>
      <c r="G308" s="49">
        <v>1.5434000000000001</v>
      </c>
      <c r="H308" s="49">
        <v>1.7923</v>
      </c>
      <c r="I308" s="49">
        <v>1.8179000000000001</v>
      </c>
      <c r="J308" s="49">
        <v>1.7296</v>
      </c>
      <c r="K308" s="49">
        <v>1.7683</v>
      </c>
      <c r="L308" s="49">
        <v>1.8555999999999999</v>
      </c>
      <c r="M308" s="49">
        <v>1.8677999999999999</v>
      </c>
      <c r="N308" s="49">
        <v>-0.2155</v>
      </c>
      <c r="O308" s="49">
        <v>-0.18329999999999999</v>
      </c>
      <c r="P308" s="49">
        <v>0.25509999999999999</v>
      </c>
      <c r="Q308" s="49">
        <v>0.28339999999999999</v>
      </c>
      <c r="R308" s="49">
        <v>-1.1419999999999999</v>
      </c>
      <c r="S308" s="49">
        <v>-1.1020000000000001</v>
      </c>
      <c r="T308" s="49">
        <v>2.4702000000000002</v>
      </c>
      <c r="U308" s="49">
        <v>2.4908000000000001</v>
      </c>
      <c r="V308" s="49">
        <v>2.1659999999999999</v>
      </c>
      <c r="W308" s="49">
        <v>2.2018</v>
      </c>
      <c r="X308" s="49">
        <v>2.7542</v>
      </c>
      <c r="Y308" s="49">
        <v>2.7605</v>
      </c>
      <c r="Z308" s="49">
        <v>0.83730000000000004</v>
      </c>
      <c r="AA308" s="49">
        <v>0.86990000000000001</v>
      </c>
      <c r="AB308" s="49">
        <v>1.1732</v>
      </c>
      <c r="AC308" s="49">
        <v>1.2158</v>
      </c>
      <c r="AD308" s="49">
        <v>0.4546</v>
      </c>
      <c r="AE308" s="49">
        <v>0.47589999999999999</v>
      </c>
      <c r="AH308" s="16">
        <f t="shared" si="28"/>
        <v>20050531</v>
      </c>
      <c r="AI308" s="16">
        <f t="shared" si="29"/>
        <v>1.5116000000000001</v>
      </c>
      <c r="AJ308" s="16">
        <f t="shared" si="30"/>
        <v>1.2859000000000003</v>
      </c>
      <c r="AK308" s="16">
        <f t="shared" si="31"/>
        <v>-4.4546999999999999</v>
      </c>
      <c r="AL308" s="16">
        <v>7.0000000000000001E-3</v>
      </c>
      <c r="AM308" s="17">
        <f t="shared" si="32"/>
        <v>1.5110166666666667</v>
      </c>
      <c r="AN308" s="17">
        <f t="shared" si="33"/>
        <v>1.2859000000000003</v>
      </c>
      <c r="AO308" s="17">
        <f t="shared" si="34"/>
        <v>-4.4546999999999999</v>
      </c>
    </row>
    <row r="309" spans="1:41">
      <c r="A309" s="49">
        <v>20050630</v>
      </c>
      <c r="B309" s="49">
        <v>2.8754</v>
      </c>
      <c r="C309" s="49">
        <v>2.9481000000000002</v>
      </c>
      <c r="D309" s="49">
        <v>2.9074</v>
      </c>
      <c r="E309" s="49">
        <v>2.9638</v>
      </c>
      <c r="F309" s="49">
        <v>2.8395999999999999</v>
      </c>
      <c r="G309" s="49">
        <v>2.9304999999999999</v>
      </c>
      <c r="H309" s="49">
        <v>2.6575000000000002</v>
      </c>
      <c r="I309" s="49">
        <v>2.7302</v>
      </c>
      <c r="J309" s="49">
        <v>2.7099000000000002</v>
      </c>
      <c r="K309" s="49">
        <v>2.7627999999999999</v>
      </c>
      <c r="L309" s="49">
        <v>2.6042999999999998</v>
      </c>
      <c r="M309" s="49">
        <v>2.6972</v>
      </c>
      <c r="N309" s="49">
        <v>4.1096000000000004</v>
      </c>
      <c r="O309" s="49">
        <v>4.1820000000000004</v>
      </c>
      <c r="P309" s="49">
        <v>3.7522000000000002</v>
      </c>
      <c r="Q309" s="49">
        <v>3.8239000000000001</v>
      </c>
      <c r="R309" s="49">
        <v>4.8261000000000003</v>
      </c>
      <c r="S309" s="49">
        <v>4.8996000000000004</v>
      </c>
      <c r="T309" s="49">
        <v>2.2555999999999998</v>
      </c>
      <c r="U309" s="49">
        <v>2.3054999999999999</v>
      </c>
      <c r="V309" s="49">
        <v>2.6968999999999999</v>
      </c>
      <c r="W309" s="49">
        <v>2.7191999999999998</v>
      </c>
      <c r="X309" s="49">
        <v>1.843</v>
      </c>
      <c r="Y309" s="49">
        <v>1.9188000000000001</v>
      </c>
      <c r="Z309" s="49">
        <v>3.2343000000000002</v>
      </c>
      <c r="AA309" s="49">
        <v>3.3401000000000001</v>
      </c>
      <c r="AB309" s="49">
        <v>2.7265000000000001</v>
      </c>
      <c r="AC309" s="49">
        <v>2.8193000000000001</v>
      </c>
      <c r="AD309" s="49">
        <v>3.8149000000000002</v>
      </c>
      <c r="AE309" s="49">
        <v>3.9357000000000002</v>
      </c>
      <c r="AH309" s="16">
        <f t="shared" si="28"/>
        <v>20050630</v>
      </c>
      <c r="AI309" s="16">
        <f t="shared" si="29"/>
        <v>2.9481000000000002</v>
      </c>
      <c r="AJ309" s="16">
        <f t="shared" si="30"/>
        <v>-1.0101000000000004</v>
      </c>
      <c r="AK309" s="16">
        <f t="shared" si="31"/>
        <v>3.2635000000000014</v>
      </c>
      <c r="AL309" s="16">
        <v>5.0000000000000001E-3</v>
      </c>
      <c r="AM309" s="17">
        <f t="shared" si="32"/>
        <v>2.9476833333333334</v>
      </c>
      <c r="AN309" s="17">
        <f t="shared" si="33"/>
        <v>-1.0101000000000004</v>
      </c>
      <c r="AO309" s="17">
        <f t="shared" si="34"/>
        <v>3.2635000000000014</v>
      </c>
    </row>
    <row r="310" spans="1:41">
      <c r="A310" s="49">
        <v>20050731</v>
      </c>
      <c r="B310" s="49">
        <v>2.2387000000000001</v>
      </c>
      <c r="C310" s="49">
        <v>2.2418999999999998</v>
      </c>
      <c r="D310" s="49">
        <v>2.1313</v>
      </c>
      <c r="E310" s="49">
        <v>2.1364000000000001</v>
      </c>
      <c r="F310" s="49">
        <v>2.36</v>
      </c>
      <c r="G310" s="49">
        <v>2.3610000000000002</v>
      </c>
      <c r="H310" s="49">
        <v>2.0585</v>
      </c>
      <c r="I310" s="49">
        <v>2.0611999999999999</v>
      </c>
      <c r="J310" s="49">
        <v>1.8734999999999999</v>
      </c>
      <c r="K310" s="49">
        <v>1.8784000000000001</v>
      </c>
      <c r="L310" s="49">
        <v>2.2480000000000002</v>
      </c>
      <c r="M310" s="49">
        <v>2.2484999999999999</v>
      </c>
      <c r="N310" s="49">
        <v>3.2465000000000002</v>
      </c>
      <c r="O310" s="49">
        <v>3.2523</v>
      </c>
      <c r="P310" s="49">
        <v>3.2290999999999999</v>
      </c>
      <c r="Q310" s="49">
        <v>3.2349000000000001</v>
      </c>
      <c r="R310" s="49">
        <v>3.2810000000000001</v>
      </c>
      <c r="S310" s="49">
        <v>3.2867000000000002</v>
      </c>
      <c r="T310" s="49">
        <v>2.1141999999999999</v>
      </c>
      <c r="U310" s="49">
        <v>2.1141999999999999</v>
      </c>
      <c r="V310" s="49">
        <v>1.6505000000000001</v>
      </c>
      <c r="W310" s="49">
        <v>1.6505000000000001</v>
      </c>
      <c r="X310" s="49">
        <v>2.5539000000000001</v>
      </c>
      <c r="Y310" s="49">
        <v>2.5539000000000001</v>
      </c>
      <c r="Z310" s="49">
        <v>1.9785999999999999</v>
      </c>
      <c r="AA310" s="49">
        <v>1.9851000000000001</v>
      </c>
      <c r="AB310" s="49">
        <v>2.1638000000000002</v>
      </c>
      <c r="AC310" s="49">
        <v>2.1751</v>
      </c>
      <c r="AD310" s="49">
        <v>1.7693000000000001</v>
      </c>
      <c r="AE310" s="49">
        <v>1.7704</v>
      </c>
      <c r="AH310" s="16">
        <f t="shared" si="28"/>
        <v>20050731</v>
      </c>
      <c r="AI310" s="16">
        <f t="shared" si="29"/>
        <v>2.2418999999999998</v>
      </c>
      <c r="AJ310" s="16">
        <f t="shared" si="30"/>
        <v>-0.42189999999999994</v>
      </c>
      <c r="AK310" s="16">
        <f t="shared" si="31"/>
        <v>2.3947000000000003</v>
      </c>
      <c r="AL310" s="16">
        <v>6.0000000000000001E-3</v>
      </c>
      <c r="AM310" s="17">
        <f t="shared" si="32"/>
        <v>2.2413999999999996</v>
      </c>
      <c r="AN310" s="17">
        <f t="shared" si="33"/>
        <v>-0.42189999999999994</v>
      </c>
      <c r="AO310" s="17">
        <f t="shared" si="34"/>
        <v>2.3947000000000003</v>
      </c>
    </row>
    <row r="311" spans="1:41">
      <c r="A311" s="49">
        <v>20050831</v>
      </c>
      <c r="B311" s="49">
        <v>5.4599000000000002</v>
      </c>
      <c r="C311" s="49">
        <v>5.4707999999999997</v>
      </c>
      <c r="D311" s="49">
        <v>5.7861000000000002</v>
      </c>
      <c r="E311" s="49">
        <v>5.7938000000000001</v>
      </c>
      <c r="F311" s="49">
        <v>5.0957999999999997</v>
      </c>
      <c r="G311" s="49">
        <v>5.1104000000000003</v>
      </c>
      <c r="H311" s="49">
        <v>6.0018000000000002</v>
      </c>
      <c r="I311" s="49">
        <v>6.0091999999999999</v>
      </c>
      <c r="J311" s="49">
        <v>6.4122000000000003</v>
      </c>
      <c r="K311" s="49">
        <v>6.4154</v>
      </c>
      <c r="L311" s="49">
        <v>5.5865999999999998</v>
      </c>
      <c r="M311" s="49">
        <v>5.5982000000000003</v>
      </c>
      <c r="N311" s="49">
        <v>2.4586000000000001</v>
      </c>
      <c r="O311" s="49">
        <v>2.4895</v>
      </c>
      <c r="P311" s="49">
        <v>3.1573000000000002</v>
      </c>
      <c r="Q311" s="49">
        <v>3.1840000000000002</v>
      </c>
      <c r="R311" s="49">
        <v>1.0828</v>
      </c>
      <c r="S311" s="49">
        <v>1.1221000000000001</v>
      </c>
      <c r="T311" s="49">
        <v>6.1235999999999997</v>
      </c>
      <c r="U311" s="49">
        <v>6.1257000000000001</v>
      </c>
      <c r="V311" s="49">
        <v>6.9806999999999997</v>
      </c>
      <c r="W311" s="49">
        <v>6.9806999999999997</v>
      </c>
      <c r="X311" s="49">
        <v>5.3269000000000002</v>
      </c>
      <c r="Y311" s="49">
        <v>5.3310000000000004</v>
      </c>
      <c r="Z311" s="49">
        <v>5.8270999999999997</v>
      </c>
      <c r="AA311" s="49">
        <v>5.8418999999999999</v>
      </c>
      <c r="AB311" s="49">
        <v>5.6753</v>
      </c>
      <c r="AC311" s="49">
        <v>5.6825999999999999</v>
      </c>
      <c r="AD311" s="49">
        <v>6.0002000000000004</v>
      </c>
      <c r="AE311" s="49">
        <v>6.0236999999999998</v>
      </c>
      <c r="AH311" s="16">
        <f t="shared" si="28"/>
        <v>20050831</v>
      </c>
      <c r="AI311" s="16">
        <f t="shared" si="29"/>
        <v>5.4707999999999997</v>
      </c>
      <c r="AJ311" s="16">
        <f t="shared" si="30"/>
        <v>2.8790999999999998</v>
      </c>
      <c r="AK311" s="16">
        <f t="shared" si="31"/>
        <v>-7.7074999999999996</v>
      </c>
      <c r="AL311" s="16">
        <v>4.0000000000000001E-3</v>
      </c>
      <c r="AM311" s="17">
        <f t="shared" si="32"/>
        <v>5.4704666666666659</v>
      </c>
      <c r="AN311" s="17">
        <f t="shared" si="33"/>
        <v>2.8790999999999998</v>
      </c>
      <c r="AO311" s="17">
        <f t="shared" si="34"/>
        <v>-7.7074999999999996</v>
      </c>
    </row>
    <row r="312" spans="1:41">
      <c r="A312" s="49">
        <v>20050930</v>
      </c>
      <c r="B312" s="49">
        <v>11.340199999999999</v>
      </c>
      <c r="C312" s="49">
        <v>11.7668</v>
      </c>
      <c r="D312" s="49">
        <v>11.6904</v>
      </c>
      <c r="E312" s="49">
        <v>12.138299999999999</v>
      </c>
      <c r="F312" s="49">
        <v>10.947100000000001</v>
      </c>
      <c r="G312" s="49">
        <v>11.3497</v>
      </c>
      <c r="H312" s="49">
        <v>12.029299999999999</v>
      </c>
      <c r="I312" s="49">
        <v>12.4725</v>
      </c>
      <c r="J312" s="49">
        <v>12.5817</v>
      </c>
      <c r="K312" s="49">
        <v>13.038399999999999</v>
      </c>
      <c r="L312" s="49">
        <v>11.466100000000001</v>
      </c>
      <c r="M312" s="49">
        <v>11.8954</v>
      </c>
      <c r="N312" s="49">
        <v>7.3944000000000001</v>
      </c>
      <c r="O312" s="49">
        <v>7.7276999999999996</v>
      </c>
      <c r="P312" s="49">
        <v>7.8254000000000001</v>
      </c>
      <c r="Q312" s="49">
        <v>8.2355999999999998</v>
      </c>
      <c r="R312" s="49">
        <v>6.5320999999999998</v>
      </c>
      <c r="S312" s="49">
        <v>6.7107999999999999</v>
      </c>
      <c r="T312" s="49">
        <v>12.508100000000001</v>
      </c>
      <c r="U312" s="49">
        <v>12.992100000000001</v>
      </c>
      <c r="V312" s="49">
        <v>12.9983</v>
      </c>
      <c r="W312" s="49">
        <v>13.470599999999999</v>
      </c>
      <c r="X312" s="49">
        <v>12.0444</v>
      </c>
      <c r="Y312" s="49">
        <v>12.539400000000001</v>
      </c>
      <c r="Z312" s="49">
        <v>11.332100000000001</v>
      </c>
      <c r="AA312" s="49">
        <v>11.7172</v>
      </c>
      <c r="AB312" s="49">
        <v>12.014699999999999</v>
      </c>
      <c r="AC312" s="49">
        <v>12.4512</v>
      </c>
      <c r="AD312" s="49">
        <v>10.5505</v>
      </c>
      <c r="AE312" s="49">
        <v>10.876799999999999</v>
      </c>
      <c r="AH312" s="16">
        <f t="shared" si="28"/>
        <v>20050930</v>
      </c>
      <c r="AI312" s="16">
        <f t="shared" si="29"/>
        <v>11.7668</v>
      </c>
      <c r="AJ312" s="16">
        <f t="shared" si="30"/>
        <v>2.6677999999999988</v>
      </c>
      <c r="AK312" s="16">
        <f t="shared" si="31"/>
        <v>-9.9873999999999974</v>
      </c>
      <c r="AL312" s="16">
        <v>2.1999999999999999E-2</v>
      </c>
      <c r="AM312" s="17">
        <f t="shared" si="32"/>
        <v>11.764966666666666</v>
      </c>
      <c r="AN312" s="17">
        <f t="shared" si="33"/>
        <v>2.6677999999999988</v>
      </c>
      <c r="AO312" s="17">
        <f t="shared" si="34"/>
        <v>-9.9873999999999974</v>
      </c>
    </row>
    <row r="313" spans="1:41">
      <c r="A313" s="49">
        <v>20051031</v>
      </c>
      <c r="B313" s="49">
        <v>2.2073</v>
      </c>
      <c r="C313" s="49">
        <v>2.2084999999999999</v>
      </c>
      <c r="D313" s="49">
        <v>3.0499000000000001</v>
      </c>
      <c r="E313" s="49">
        <v>3.0508000000000002</v>
      </c>
      <c r="F313" s="49">
        <v>1.2544999999999999</v>
      </c>
      <c r="G313" s="49">
        <v>1.2561</v>
      </c>
      <c r="H313" s="49">
        <v>1.6213</v>
      </c>
      <c r="I313" s="49">
        <v>1.6220000000000001</v>
      </c>
      <c r="J313" s="49">
        <v>2.4445000000000001</v>
      </c>
      <c r="K313" s="49">
        <v>2.4449000000000001</v>
      </c>
      <c r="L313" s="49">
        <v>0.77400000000000002</v>
      </c>
      <c r="M313" s="49">
        <v>0.77490000000000003</v>
      </c>
      <c r="N313" s="49">
        <v>5.7026000000000003</v>
      </c>
      <c r="O313" s="49">
        <v>5.7069000000000001</v>
      </c>
      <c r="P313" s="49">
        <v>5.7880000000000003</v>
      </c>
      <c r="Q313" s="49">
        <v>5.7904</v>
      </c>
      <c r="R313" s="49">
        <v>5.5289000000000001</v>
      </c>
      <c r="S313" s="49">
        <v>5.5372000000000003</v>
      </c>
      <c r="T313" s="49">
        <v>1.0848</v>
      </c>
      <c r="U313" s="49">
        <v>1.0848</v>
      </c>
      <c r="V313" s="49">
        <v>1.9074</v>
      </c>
      <c r="W313" s="49">
        <v>1.9074</v>
      </c>
      <c r="X313" s="49">
        <v>0.29609999999999997</v>
      </c>
      <c r="Y313" s="49">
        <v>0.29609999999999997</v>
      </c>
      <c r="Z313" s="49">
        <v>2.4062999999999999</v>
      </c>
      <c r="AA313" s="49">
        <v>2.4081000000000001</v>
      </c>
      <c r="AB313" s="49">
        <v>3.1659000000000002</v>
      </c>
      <c r="AC313" s="49">
        <v>3.1669999999999998</v>
      </c>
      <c r="AD313" s="49">
        <v>1.5373000000000001</v>
      </c>
      <c r="AE313" s="49">
        <v>1.5398000000000001</v>
      </c>
      <c r="AH313" s="16">
        <f t="shared" si="28"/>
        <v>20051031</v>
      </c>
      <c r="AI313" s="16">
        <f t="shared" si="29"/>
        <v>2.2084999999999999</v>
      </c>
      <c r="AJ313" s="16">
        <f t="shared" si="30"/>
        <v>1.9231999999999996</v>
      </c>
      <c r="AK313" s="16">
        <f t="shared" si="31"/>
        <v>8.107800000000001</v>
      </c>
      <c r="AL313" s="16">
        <v>0.12</v>
      </c>
      <c r="AM313" s="17">
        <f t="shared" si="32"/>
        <v>2.1985000000000001</v>
      </c>
      <c r="AN313" s="17">
        <f t="shared" si="33"/>
        <v>1.9231999999999996</v>
      </c>
      <c r="AO313" s="17">
        <f t="shared" si="34"/>
        <v>8.107800000000001</v>
      </c>
    </row>
    <row r="314" spans="1:41">
      <c r="A314" s="49">
        <v>20051130</v>
      </c>
      <c r="B314" s="49">
        <v>6.5948000000000002</v>
      </c>
      <c r="C314" s="49">
        <v>6.62</v>
      </c>
      <c r="D314" s="49">
        <v>4.9531000000000001</v>
      </c>
      <c r="E314" s="49">
        <v>4.9810999999999996</v>
      </c>
      <c r="F314" s="49">
        <v>8.4867000000000008</v>
      </c>
      <c r="G314" s="49">
        <v>8.5084999999999997</v>
      </c>
      <c r="H314" s="49">
        <v>6.7572999999999999</v>
      </c>
      <c r="I314" s="49">
        <v>6.7839</v>
      </c>
      <c r="J314" s="49">
        <v>4.9725999999999999</v>
      </c>
      <c r="K314" s="49">
        <v>5.0041000000000002</v>
      </c>
      <c r="L314" s="49">
        <v>8.6283999999999992</v>
      </c>
      <c r="M314" s="49">
        <v>8.6498000000000008</v>
      </c>
      <c r="N314" s="49">
        <v>5.6566000000000001</v>
      </c>
      <c r="O314" s="49">
        <v>5.6740000000000004</v>
      </c>
      <c r="P314" s="49">
        <v>4.8594999999999997</v>
      </c>
      <c r="Q314" s="49">
        <v>4.8726000000000003</v>
      </c>
      <c r="R314" s="49">
        <v>7.2834000000000003</v>
      </c>
      <c r="S314" s="49">
        <v>7.3094999999999999</v>
      </c>
      <c r="T314" s="49">
        <v>7.4458000000000002</v>
      </c>
      <c r="U314" s="49">
        <v>7.4756</v>
      </c>
      <c r="V314" s="49">
        <v>6.0387000000000004</v>
      </c>
      <c r="W314" s="49">
        <v>6.0770999999999997</v>
      </c>
      <c r="X314" s="49">
        <v>8.8195999999999994</v>
      </c>
      <c r="Y314" s="49">
        <v>8.8407999999999998</v>
      </c>
      <c r="Z314" s="49">
        <v>5.7648999999999999</v>
      </c>
      <c r="AA314" s="49">
        <v>5.7870999999999997</v>
      </c>
      <c r="AB314" s="49">
        <v>3.5604</v>
      </c>
      <c r="AC314" s="49">
        <v>3.5829</v>
      </c>
      <c r="AD314" s="49">
        <v>8.3270999999999997</v>
      </c>
      <c r="AE314" s="49">
        <v>8.3489000000000004</v>
      </c>
      <c r="AH314" s="16">
        <f t="shared" si="28"/>
        <v>20051130</v>
      </c>
      <c r="AI314" s="16">
        <f t="shared" si="29"/>
        <v>6.62</v>
      </c>
      <c r="AJ314" s="16">
        <f t="shared" si="30"/>
        <v>-6.0826000000000002</v>
      </c>
      <c r="AK314" s="16">
        <f t="shared" si="31"/>
        <v>-1.4718</v>
      </c>
      <c r="AL314" s="16">
        <v>4.0000000000000001E-3</v>
      </c>
      <c r="AM314" s="17">
        <f t="shared" si="32"/>
        <v>6.6196666666666664</v>
      </c>
      <c r="AN314" s="17">
        <f t="shared" si="33"/>
        <v>-6.0826000000000002</v>
      </c>
      <c r="AO314" s="17">
        <f t="shared" si="34"/>
        <v>-1.4718</v>
      </c>
    </row>
    <row r="315" spans="1:41">
      <c r="A315" s="49">
        <v>20051231</v>
      </c>
      <c r="B315" s="49">
        <v>7.5330000000000004</v>
      </c>
      <c r="C315" s="49">
        <v>7.5789</v>
      </c>
      <c r="D315" s="49">
        <v>5.2062999999999997</v>
      </c>
      <c r="E315" s="49">
        <v>5.2439</v>
      </c>
      <c r="F315" s="49">
        <v>9.7782999999999998</v>
      </c>
      <c r="G315" s="49">
        <v>9.8321000000000005</v>
      </c>
      <c r="H315" s="49">
        <v>7.0629999999999997</v>
      </c>
      <c r="I315" s="49">
        <v>7.1086</v>
      </c>
      <c r="J315" s="49">
        <v>4.5720999999999998</v>
      </c>
      <c r="K315" s="49">
        <v>4.6063000000000001</v>
      </c>
      <c r="L315" s="49">
        <v>9.2696000000000005</v>
      </c>
      <c r="M315" s="49">
        <v>9.3249999999999993</v>
      </c>
      <c r="N315" s="49">
        <v>10.145200000000001</v>
      </c>
      <c r="O315" s="49">
        <v>10.193</v>
      </c>
      <c r="P315" s="49">
        <v>7.9218999999999999</v>
      </c>
      <c r="Q315" s="49">
        <v>7.9736000000000002</v>
      </c>
      <c r="R315" s="49">
        <v>13.621700000000001</v>
      </c>
      <c r="S315" s="49">
        <v>13.663600000000001</v>
      </c>
      <c r="T315" s="49">
        <v>6.3048999999999999</v>
      </c>
      <c r="U315" s="49">
        <v>6.35</v>
      </c>
      <c r="V315" s="49">
        <v>3.9096000000000002</v>
      </c>
      <c r="W315" s="49">
        <v>3.9363999999999999</v>
      </c>
      <c r="X315" s="49">
        <v>8.1998999999999995</v>
      </c>
      <c r="Y315" s="49">
        <v>8.2591999999999999</v>
      </c>
      <c r="Z315" s="49">
        <v>8.1864000000000008</v>
      </c>
      <c r="AA315" s="49">
        <v>8.2327999999999992</v>
      </c>
      <c r="AB315" s="49">
        <v>5.4204999999999997</v>
      </c>
      <c r="AC315" s="49">
        <v>5.4642999999999997</v>
      </c>
      <c r="AD315" s="49">
        <v>11.0801</v>
      </c>
      <c r="AE315" s="49">
        <v>11.1289</v>
      </c>
      <c r="AH315" s="16">
        <f t="shared" si="28"/>
        <v>20051231</v>
      </c>
      <c r="AI315" s="16">
        <f t="shared" si="29"/>
        <v>7.5789</v>
      </c>
      <c r="AJ315" s="16">
        <f t="shared" si="30"/>
        <v>-10.4087</v>
      </c>
      <c r="AK315" s="16">
        <f t="shared" si="31"/>
        <v>7.7058999999999997</v>
      </c>
      <c r="AL315" s="16">
        <v>2.3E-2</v>
      </c>
      <c r="AM315" s="17">
        <f t="shared" si="32"/>
        <v>7.5769833333333336</v>
      </c>
      <c r="AN315" s="17">
        <f t="shared" si="33"/>
        <v>-10.4087</v>
      </c>
      <c r="AO315" s="17">
        <f t="shared" si="34"/>
        <v>7.7058999999999997</v>
      </c>
    </row>
    <row r="316" spans="1:41">
      <c r="A316" s="49">
        <v>20060131</v>
      </c>
      <c r="B316" s="49">
        <v>3.6520000000000001</v>
      </c>
      <c r="C316" s="49">
        <v>3.6543999999999999</v>
      </c>
      <c r="D316" s="49">
        <v>4.5002000000000004</v>
      </c>
      <c r="E316" s="49">
        <v>4.5048000000000004</v>
      </c>
      <c r="F316" s="49">
        <v>2.8677999999999999</v>
      </c>
      <c r="G316" s="49">
        <v>2.8681000000000001</v>
      </c>
      <c r="H316" s="49">
        <v>3.7993999999999999</v>
      </c>
      <c r="I316" s="49">
        <v>3.8010000000000002</v>
      </c>
      <c r="J316" s="49">
        <v>4.6664000000000003</v>
      </c>
      <c r="K316" s="49">
        <v>4.6698000000000004</v>
      </c>
      <c r="L316" s="49">
        <v>3.0642</v>
      </c>
      <c r="M316" s="49">
        <v>3.0642</v>
      </c>
      <c r="N316" s="49">
        <v>2.8552</v>
      </c>
      <c r="O316" s="49">
        <v>2.8618000000000001</v>
      </c>
      <c r="P316" s="49">
        <v>3.8096000000000001</v>
      </c>
      <c r="Q316" s="49">
        <v>3.819</v>
      </c>
      <c r="R316" s="49">
        <v>1.4428000000000001</v>
      </c>
      <c r="S316" s="49">
        <v>1.4453</v>
      </c>
      <c r="T316" s="49">
        <v>4.4175000000000004</v>
      </c>
      <c r="U316" s="49">
        <v>4.4175000000000004</v>
      </c>
      <c r="V316" s="49">
        <v>5.3369999999999997</v>
      </c>
      <c r="W316" s="49">
        <v>5.3369999999999997</v>
      </c>
      <c r="X316" s="49">
        <v>3.7189999999999999</v>
      </c>
      <c r="Y316" s="49">
        <v>3.7189999999999999</v>
      </c>
      <c r="Z316" s="49">
        <v>2.9020999999999999</v>
      </c>
      <c r="AA316" s="49">
        <v>2.9058999999999999</v>
      </c>
      <c r="AB316" s="49">
        <v>3.823</v>
      </c>
      <c r="AC316" s="49">
        <v>3.8304999999999998</v>
      </c>
      <c r="AD316" s="49">
        <v>1.9876</v>
      </c>
      <c r="AE316" s="49">
        <v>1.9876</v>
      </c>
      <c r="AH316" s="16">
        <f t="shared" si="28"/>
        <v>20060131</v>
      </c>
      <c r="AI316" s="16">
        <f t="shared" si="29"/>
        <v>3.6543999999999999</v>
      </c>
      <c r="AJ316" s="16">
        <f t="shared" si="30"/>
        <v>3.9793000000000003</v>
      </c>
      <c r="AK316" s="16">
        <f t="shared" si="31"/>
        <v>-2.4696999999999996</v>
      </c>
      <c r="AL316" s="16">
        <v>5.6000000000000001E-2</v>
      </c>
      <c r="AM316" s="17">
        <f t="shared" si="32"/>
        <v>3.6497333333333333</v>
      </c>
      <c r="AN316" s="17">
        <f t="shared" si="33"/>
        <v>3.9793000000000003</v>
      </c>
      <c r="AO316" s="17">
        <f t="shared" si="34"/>
        <v>-2.4696999999999996</v>
      </c>
    </row>
    <row r="317" spans="1:41">
      <c r="A317" s="49">
        <v>20060228</v>
      </c>
      <c r="B317" s="49">
        <v>-2.8277000000000001</v>
      </c>
      <c r="C317" s="49">
        <v>-2.8094999999999999</v>
      </c>
      <c r="D317" s="49">
        <v>-1.9332</v>
      </c>
      <c r="E317" s="49">
        <v>-1.9231</v>
      </c>
      <c r="F317" s="49">
        <v>-3.6659000000000002</v>
      </c>
      <c r="G317" s="49">
        <v>-3.6402000000000001</v>
      </c>
      <c r="H317" s="49">
        <v>-2.0811999999999999</v>
      </c>
      <c r="I317" s="49">
        <v>-2.0657999999999999</v>
      </c>
      <c r="J317" s="49">
        <v>-1.1127</v>
      </c>
      <c r="K317" s="49">
        <v>-1.1076999999999999</v>
      </c>
      <c r="L317" s="49">
        <v>-2.9134000000000002</v>
      </c>
      <c r="M317" s="49">
        <v>-2.8889</v>
      </c>
      <c r="N317" s="49">
        <v>-6.9010999999999996</v>
      </c>
      <c r="O317" s="49">
        <v>-6.8681999999999999</v>
      </c>
      <c r="P317" s="49">
        <v>-5.3723999999999998</v>
      </c>
      <c r="Q317" s="49">
        <v>-5.3407999999999998</v>
      </c>
      <c r="R317" s="49">
        <v>-9.2111999999999998</v>
      </c>
      <c r="S317" s="49">
        <v>-9.1762999999999995</v>
      </c>
      <c r="T317" s="49">
        <v>-1.1807000000000001</v>
      </c>
      <c r="U317" s="49">
        <v>-1.1660999999999999</v>
      </c>
      <c r="V317" s="49">
        <v>-0.83299999999999996</v>
      </c>
      <c r="W317" s="49">
        <v>-0.83299999999999996</v>
      </c>
      <c r="X317" s="49">
        <v>-1.4486000000000001</v>
      </c>
      <c r="Y317" s="49">
        <v>-1.4226000000000001</v>
      </c>
      <c r="Z317" s="49">
        <v>-3.4077000000000002</v>
      </c>
      <c r="AA317" s="49">
        <v>-3.3910999999999998</v>
      </c>
      <c r="AB317" s="49">
        <v>-1.4689000000000001</v>
      </c>
      <c r="AC317" s="49">
        <v>-1.4577</v>
      </c>
      <c r="AD317" s="49">
        <v>-5.3628</v>
      </c>
      <c r="AE317" s="49">
        <v>-5.3407999999999998</v>
      </c>
      <c r="AH317" s="16">
        <f t="shared" si="28"/>
        <v>20060228</v>
      </c>
      <c r="AI317" s="16">
        <f t="shared" si="29"/>
        <v>-2.8094999999999999</v>
      </c>
      <c r="AJ317" s="16">
        <f t="shared" si="30"/>
        <v>5.6166999999999998</v>
      </c>
      <c r="AK317" s="16">
        <f t="shared" si="31"/>
        <v>-10.520499999999998</v>
      </c>
      <c r="AL317" s="16">
        <v>1.7999999999999999E-2</v>
      </c>
      <c r="AM317" s="17">
        <f t="shared" si="32"/>
        <v>-2.8109999999999999</v>
      </c>
      <c r="AN317" s="17">
        <f t="shared" si="33"/>
        <v>5.6166999999999998</v>
      </c>
      <c r="AO317" s="17">
        <f t="shared" si="34"/>
        <v>-10.520499999999998</v>
      </c>
    </row>
    <row r="318" spans="1:41">
      <c r="A318" s="49">
        <v>20060331</v>
      </c>
      <c r="B318" s="49">
        <v>4.1909999999999998</v>
      </c>
      <c r="C318" s="49">
        <v>4.7279999999999998</v>
      </c>
      <c r="D318" s="49">
        <v>3.8555999999999999</v>
      </c>
      <c r="E318" s="49">
        <v>4.4772999999999996</v>
      </c>
      <c r="F318" s="49">
        <v>4.5095000000000001</v>
      </c>
      <c r="G318" s="49">
        <v>4.9648000000000003</v>
      </c>
      <c r="H318" s="49">
        <v>4.0605000000000002</v>
      </c>
      <c r="I318" s="49">
        <v>4.593</v>
      </c>
      <c r="J318" s="49">
        <v>3.7176</v>
      </c>
      <c r="K318" s="49">
        <v>4.3308</v>
      </c>
      <c r="L318" s="49">
        <v>4.3586999999999998</v>
      </c>
      <c r="M318" s="49">
        <v>4.8197999999999999</v>
      </c>
      <c r="N318" s="49">
        <v>4.9440999999999997</v>
      </c>
      <c r="O318" s="49">
        <v>5.5069999999999997</v>
      </c>
      <c r="P318" s="49">
        <v>4.4595000000000002</v>
      </c>
      <c r="Q318" s="49">
        <v>5.1185</v>
      </c>
      <c r="R318" s="49">
        <v>5.7108999999999996</v>
      </c>
      <c r="S318" s="49">
        <v>6.1189999999999998</v>
      </c>
      <c r="T318" s="49">
        <v>3.6212</v>
      </c>
      <c r="U318" s="49">
        <v>4.1824000000000003</v>
      </c>
      <c r="V318" s="49">
        <v>3.5688</v>
      </c>
      <c r="W318" s="49">
        <v>4.2138</v>
      </c>
      <c r="X318" s="49">
        <v>3.6615000000000002</v>
      </c>
      <c r="Y318" s="49">
        <v>4.1574</v>
      </c>
      <c r="Z318" s="49">
        <v>4.7206000000000001</v>
      </c>
      <c r="AA318" s="49">
        <v>5.2103999999999999</v>
      </c>
      <c r="AB318" s="49">
        <v>3.9091999999999998</v>
      </c>
      <c r="AC318" s="49">
        <v>4.4820000000000002</v>
      </c>
      <c r="AD318" s="49">
        <v>5.5631000000000004</v>
      </c>
      <c r="AE318" s="49">
        <v>5.9645000000000001</v>
      </c>
      <c r="AH318" s="16">
        <f t="shared" si="28"/>
        <v>20060331</v>
      </c>
      <c r="AI318" s="16">
        <f t="shared" si="29"/>
        <v>4.7279999999999998</v>
      </c>
      <c r="AJ318" s="16">
        <f t="shared" si="30"/>
        <v>-1.4894999999999996</v>
      </c>
      <c r="AK318" s="16">
        <f t="shared" si="31"/>
        <v>2.0869</v>
      </c>
      <c r="AL318" s="16">
        <v>0.15</v>
      </c>
      <c r="AM318" s="17">
        <f t="shared" si="32"/>
        <v>4.7154999999999996</v>
      </c>
      <c r="AN318" s="17">
        <f t="shared" si="33"/>
        <v>-1.4894999999999996</v>
      </c>
      <c r="AO318" s="17">
        <f t="shared" si="34"/>
        <v>2.0869</v>
      </c>
    </row>
    <row r="319" spans="1:41">
      <c r="A319" s="49">
        <v>20060430</v>
      </c>
      <c r="B319" s="49">
        <v>-0.78849999999999998</v>
      </c>
      <c r="C319" s="49">
        <v>-0.78739999999999999</v>
      </c>
      <c r="D319" s="49">
        <v>-9.7100000000000006E-2</v>
      </c>
      <c r="E319" s="49">
        <v>-9.6699999999999994E-2</v>
      </c>
      <c r="F319" s="49">
        <v>-1.4412</v>
      </c>
      <c r="G319" s="49">
        <v>-1.4395</v>
      </c>
      <c r="H319" s="49">
        <v>-0.56479999999999997</v>
      </c>
      <c r="I319" s="49">
        <v>-0.56389999999999996</v>
      </c>
      <c r="J319" s="49">
        <v>0.16689999999999999</v>
      </c>
      <c r="K319" s="49">
        <v>0.16689999999999999</v>
      </c>
      <c r="L319" s="49">
        <v>-1.1975</v>
      </c>
      <c r="M319" s="49">
        <v>-1.1959</v>
      </c>
      <c r="N319" s="49">
        <v>-2.0703</v>
      </c>
      <c r="O319" s="49">
        <v>-2.0680999999999998</v>
      </c>
      <c r="P319" s="49">
        <v>-1.2458</v>
      </c>
      <c r="Q319" s="49">
        <v>-1.2437</v>
      </c>
      <c r="R319" s="49">
        <v>-3.3637999999999999</v>
      </c>
      <c r="S319" s="49">
        <v>-3.3611</v>
      </c>
      <c r="T319" s="49">
        <v>0.38229999999999997</v>
      </c>
      <c r="U319" s="49">
        <v>0.38229999999999997</v>
      </c>
      <c r="V319" s="49">
        <v>0.9254</v>
      </c>
      <c r="W319" s="49">
        <v>0.9254</v>
      </c>
      <c r="X319" s="49">
        <v>-3.7100000000000001E-2</v>
      </c>
      <c r="Y319" s="49">
        <v>-3.7100000000000001E-2</v>
      </c>
      <c r="Z319" s="49">
        <v>-1.9716</v>
      </c>
      <c r="AA319" s="49">
        <v>-1.9694</v>
      </c>
      <c r="AB319" s="49">
        <v>-0.80520000000000003</v>
      </c>
      <c r="AC319" s="49">
        <v>-0.80520000000000003</v>
      </c>
      <c r="AD319" s="49">
        <v>-3.1627000000000001</v>
      </c>
      <c r="AE319" s="49">
        <v>-3.1581999999999999</v>
      </c>
      <c r="AH319" s="16">
        <f t="shared" si="28"/>
        <v>20060430</v>
      </c>
      <c r="AI319" s="16">
        <f t="shared" si="29"/>
        <v>-0.78739999999999999</v>
      </c>
      <c r="AJ319" s="16">
        <f t="shared" si="30"/>
        <v>3.4802</v>
      </c>
      <c r="AK319" s="16">
        <f t="shared" si="31"/>
        <v>-3.5758000000000001</v>
      </c>
      <c r="AL319" s="16">
        <v>4.4999999999999998E-2</v>
      </c>
      <c r="AM319" s="17">
        <f t="shared" si="32"/>
        <v>-0.79115000000000002</v>
      </c>
      <c r="AN319" s="17">
        <f t="shared" si="33"/>
        <v>3.4802</v>
      </c>
      <c r="AO319" s="17">
        <f t="shared" si="34"/>
        <v>-3.5758000000000001</v>
      </c>
    </row>
    <row r="320" spans="1:41">
      <c r="A320" s="49">
        <v>20060531</v>
      </c>
      <c r="B320" s="49">
        <v>-8.0109999999999992</v>
      </c>
      <c r="C320" s="49">
        <v>-7.9706000000000001</v>
      </c>
      <c r="D320" s="49">
        <v>-7.6421000000000001</v>
      </c>
      <c r="E320" s="49">
        <v>-7.6003999999999996</v>
      </c>
      <c r="F320" s="49">
        <v>-8.3642000000000003</v>
      </c>
      <c r="G320" s="49">
        <v>-8.3248999999999995</v>
      </c>
      <c r="H320" s="49">
        <v>-7.7964000000000002</v>
      </c>
      <c r="I320" s="49">
        <v>-7.7516999999999996</v>
      </c>
      <c r="J320" s="49">
        <v>-7.5862999999999996</v>
      </c>
      <c r="K320" s="49">
        <v>-7.5391000000000004</v>
      </c>
      <c r="L320" s="49">
        <v>-7.9806999999999997</v>
      </c>
      <c r="M320" s="49">
        <v>-7.9382000000000001</v>
      </c>
      <c r="N320" s="49">
        <v>-9.2578999999999994</v>
      </c>
      <c r="O320" s="49">
        <v>-9.2416</v>
      </c>
      <c r="P320" s="49">
        <v>-7.8879999999999999</v>
      </c>
      <c r="Q320" s="49">
        <v>-7.8708</v>
      </c>
      <c r="R320" s="49">
        <v>-11.4552</v>
      </c>
      <c r="S320" s="49">
        <v>-11.440300000000001</v>
      </c>
      <c r="T320" s="49">
        <v>-8.0807000000000002</v>
      </c>
      <c r="U320" s="49">
        <v>-8.0279000000000007</v>
      </c>
      <c r="V320" s="49">
        <v>-8.5061</v>
      </c>
      <c r="W320" s="49">
        <v>-8.4497</v>
      </c>
      <c r="X320" s="49">
        <v>-7.7487000000000004</v>
      </c>
      <c r="Y320" s="49">
        <v>-7.6988000000000003</v>
      </c>
      <c r="Z320" s="49">
        <v>-7.3643000000000001</v>
      </c>
      <c r="AA320" s="49">
        <v>-7.3319999999999999</v>
      </c>
      <c r="AB320" s="49">
        <v>-6.3875000000000002</v>
      </c>
      <c r="AC320" s="49">
        <v>-6.3524000000000003</v>
      </c>
      <c r="AD320" s="49">
        <v>-8.3854000000000006</v>
      </c>
      <c r="AE320" s="49">
        <v>-8.3559000000000001</v>
      </c>
      <c r="AH320" s="16">
        <f t="shared" ref="AH320:AH343" si="35">+A320</f>
        <v>20060531</v>
      </c>
      <c r="AI320" s="16">
        <f t="shared" ref="AI320:AI343" si="36">+C320</f>
        <v>-7.9706000000000001</v>
      </c>
      <c r="AJ320" s="16">
        <f t="shared" ref="AJ320:AJ343" si="37">+(K320-M320)+(Q320-S320)</f>
        <v>3.9686000000000003</v>
      </c>
      <c r="AK320" s="16">
        <f t="shared" ref="AK320:AK343" si="38">(S320+Q320)-(M320+K320)</f>
        <v>-3.8338000000000001</v>
      </c>
      <c r="AL320" s="52">
        <v>0.05</v>
      </c>
      <c r="AM320" s="17">
        <f t="shared" ref="AM320:AM343" si="39">+AI320-AL320/12</f>
        <v>-7.9747666666666666</v>
      </c>
      <c r="AN320" s="17">
        <f t="shared" ref="AN320:AN343" si="40">+AJ320</f>
        <v>3.9686000000000003</v>
      </c>
      <c r="AO320" s="17">
        <f t="shared" ref="AO320:AO343" si="41">+AK320</f>
        <v>-3.8338000000000001</v>
      </c>
    </row>
    <row r="321" spans="1:41">
      <c r="A321" s="49">
        <v>20060630</v>
      </c>
      <c r="B321" s="49">
        <v>0.4627</v>
      </c>
      <c r="C321" s="49">
        <v>0.51980000000000004</v>
      </c>
      <c r="D321" s="49">
        <v>5.1299999999999998E-2</v>
      </c>
      <c r="E321" s="49">
        <v>9.8500000000000004E-2</v>
      </c>
      <c r="F321" s="49">
        <v>0.85950000000000004</v>
      </c>
      <c r="G321" s="49">
        <v>0.92630000000000001</v>
      </c>
      <c r="H321" s="49">
        <v>0.79430000000000001</v>
      </c>
      <c r="I321" s="49">
        <v>0.85140000000000005</v>
      </c>
      <c r="J321" s="49">
        <v>0.48209999999999997</v>
      </c>
      <c r="K321" s="49">
        <v>0.52580000000000005</v>
      </c>
      <c r="L321" s="49">
        <v>1.0693999999999999</v>
      </c>
      <c r="M321" s="49">
        <v>1.1383000000000001</v>
      </c>
      <c r="N321" s="49">
        <v>-1.4952000000000001</v>
      </c>
      <c r="O321" s="49">
        <v>-1.4379</v>
      </c>
      <c r="P321" s="49">
        <v>-1.8540000000000001</v>
      </c>
      <c r="Q321" s="49">
        <v>-1.7921</v>
      </c>
      <c r="R321" s="49">
        <v>-0.89749999999999996</v>
      </c>
      <c r="S321" s="49">
        <v>-0.84799999999999998</v>
      </c>
      <c r="T321" s="49">
        <v>1.4910000000000001</v>
      </c>
      <c r="U321" s="49">
        <v>1.5457000000000001</v>
      </c>
      <c r="V321" s="49">
        <v>1.1437999999999999</v>
      </c>
      <c r="W321" s="49">
        <v>1.1767000000000001</v>
      </c>
      <c r="X321" s="49">
        <v>1.7596000000000001</v>
      </c>
      <c r="Y321" s="49">
        <v>1.8311999999999999</v>
      </c>
      <c r="Z321" s="49">
        <v>-0.2571</v>
      </c>
      <c r="AA321" s="49">
        <v>-0.19650000000000001</v>
      </c>
      <c r="AB321" s="49">
        <v>-0.36080000000000001</v>
      </c>
      <c r="AC321" s="49">
        <v>-0.30330000000000001</v>
      </c>
      <c r="AD321" s="49">
        <v>-0.1459</v>
      </c>
      <c r="AE321" s="49">
        <v>-8.2000000000000003E-2</v>
      </c>
      <c r="AH321" s="16">
        <f t="shared" si="35"/>
        <v>20060630</v>
      </c>
      <c r="AI321" s="16">
        <f t="shared" si="36"/>
        <v>0.51980000000000004</v>
      </c>
      <c r="AJ321" s="16">
        <f t="shared" si="37"/>
        <v>-1.5566</v>
      </c>
      <c r="AK321" s="16">
        <f t="shared" si="38"/>
        <v>-4.3041999999999998</v>
      </c>
      <c r="AL321" s="52">
        <v>0.187</v>
      </c>
      <c r="AM321" s="17">
        <f t="shared" si="39"/>
        <v>0.50421666666666676</v>
      </c>
      <c r="AN321" s="17">
        <f t="shared" si="40"/>
        <v>-1.5566</v>
      </c>
      <c r="AO321" s="17">
        <f t="shared" si="41"/>
        <v>-4.3041999999999998</v>
      </c>
    </row>
    <row r="322" spans="1:41">
      <c r="A322" s="49">
        <v>20060731</v>
      </c>
      <c r="B322" s="49">
        <v>-1.1297999999999999</v>
      </c>
      <c r="C322" s="49">
        <v>-1.1273</v>
      </c>
      <c r="D322" s="49">
        <v>-0.89249999999999996</v>
      </c>
      <c r="E322" s="49">
        <v>-0.88790000000000002</v>
      </c>
      <c r="F322" s="49">
        <v>-1.3569</v>
      </c>
      <c r="G322" s="49">
        <v>-1.3565</v>
      </c>
      <c r="H322" s="49">
        <v>-0.4148</v>
      </c>
      <c r="I322" s="49">
        <v>-0.41289999999999999</v>
      </c>
      <c r="J322" s="49">
        <v>-0.2457</v>
      </c>
      <c r="K322" s="49">
        <v>-0.24149999999999999</v>
      </c>
      <c r="L322" s="49">
        <v>-0.56310000000000004</v>
      </c>
      <c r="M322" s="49">
        <v>-0.56330000000000002</v>
      </c>
      <c r="N322" s="49">
        <v>-5.4455999999999998</v>
      </c>
      <c r="O322" s="49">
        <v>-5.4398</v>
      </c>
      <c r="P322" s="49">
        <v>-3.8206000000000002</v>
      </c>
      <c r="Q322" s="49">
        <v>-3.8142999999999998</v>
      </c>
      <c r="R322" s="49">
        <v>-8.1218000000000004</v>
      </c>
      <c r="S322" s="49">
        <v>-8.1166999999999998</v>
      </c>
      <c r="T322" s="49">
        <v>0.95350000000000001</v>
      </c>
      <c r="U322" s="49">
        <v>0.95350000000000001</v>
      </c>
      <c r="V322" s="49">
        <v>1.0065999999999999</v>
      </c>
      <c r="W322" s="49">
        <v>1.0065999999999999</v>
      </c>
      <c r="X322" s="49">
        <v>0.91269999999999996</v>
      </c>
      <c r="Y322" s="49">
        <v>0.91269999999999996</v>
      </c>
      <c r="Z322" s="49">
        <v>-2.5209999999999999</v>
      </c>
      <c r="AA322" s="49">
        <v>-2.5160999999999998</v>
      </c>
      <c r="AB322" s="49">
        <v>-1.8642000000000001</v>
      </c>
      <c r="AC322" s="49">
        <v>-1.8545</v>
      </c>
      <c r="AD322" s="49">
        <v>-3.2221000000000002</v>
      </c>
      <c r="AE322" s="49">
        <v>-3.2225000000000001</v>
      </c>
      <c r="AH322" s="16">
        <f t="shared" si="35"/>
        <v>20060731</v>
      </c>
      <c r="AI322" s="16">
        <f t="shared" si="36"/>
        <v>-1.1273</v>
      </c>
      <c r="AJ322" s="16">
        <f t="shared" si="37"/>
        <v>4.6242000000000001</v>
      </c>
      <c r="AK322" s="16">
        <f t="shared" si="38"/>
        <v>-11.126199999999999</v>
      </c>
      <c r="AL322" s="52">
        <v>0.2</v>
      </c>
      <c r="AM322" s="17">
        <f t="shared" si="39"/>
        <v>-1.1439666666666666</v>
      </c>
      <c r="AN322" s="17">
        <f t="shared" si="40"/>
        <v>4.6242000000000001</v>
      </c>
      <c r="AO322" s="17">
        <f t="shared" si="41"/>
        <v>-11.126199999999999</v>
      </c>
    </row>
    <row r="323" spans="1:41">
      <c r="A323" s="49">
        <v>20060831</v>
      </c>
      <c r="B323" s="49">
        <v>4.0652999999999997</v>
      </c>
      <c r="C323" s="49">
        <v>4.0816999999999997</v>
      </c>
      <c r="D323" s="49">
        <v>3.8645</v>
      </c>
      <c r="E323" s="49">
        <v>3.8706</v>
      </c>
      <c r="F323" s="49">
        <v>4.2577999999999996</v>
      </c>
      <c r="G323" s="49">
        <v>4.2843</v>
      </c>
      <c r="H323" s="49">
        <v>3.9598</v>
      </c>
      <c r="I323" s="49">
        <v>3.9739</v>
      </c>
      <c r="J323" s="49">
        <v>3.8203</v>
      </c>
      <c r="K323" s="49">
        <v>3.8226</v>
      </c>
      <c r="L323" s="49">
        <v>4.0818000000000003</v>
      </c>
      <c r="M323" s="49">
        <v>4.1060999999999996</v>
      </c>
      <c r="N323" s="49">
        <v>4.7380000000000004</v>
      </c>
      <c r="O323" s="49">
        <v>4.7695999999999996</v>
      </c>
      <c r="P323" s="49">
        <v>4.0724</v>
      </c>
      <c r="Q323" s="49">
        <v>4.0959000000000003</v>
      </c>
      <c r="R323" s="49">
        <v>5.8859000000000004</v>
      </c>
      <c r="S323" s="49">
        <v>5.9313000000000002</v>
      </c>
      <c r="T323" s="49">
        <v>3.8471000000000002</v>
      </c>
      <c r="U323" s="49">
        <v>3.8591000000000002</v>
      </c>
      <c r="V323" s="49">
        <v>3.8858000000000001</v>
      </c>
      <c r="W323" s="49">
        <v>3.8858000000000001</v>
      </c>
      <c r="X323" s="49">
        <v>3.8163999999999998</v>
      </c>
      <c r="Y323" s="49">
        <v>3.8374999999999999</v>
      </c>
      <c r="Z323" s="49">
        <v>4.1388999999999996</v>
      </c>
      <c r="AA323" s="49">
        <v>4.1562000000000001</v>
      </c>
      <c r="AB323" s="49">
        <v>3.7332999999999998</v>
      </c>
      <c r="AC323" s="49">
        <v>3.7387000000000001</v>
      </c>
      <c r="AD323" s="49">
        <v>4.5818000000000003</v>
      </c>
      <c r="AE323" s="49">
        <v>4.6123000000000003</v>
      </c>
      <c r="AH323" s="16">
        <f t="shared" si="35"/>
        <v>20060831</v>
      </c>
      <c r="AI323" s="16">
        <f t="shared" si="36"/>
        <v>4.0816999999999997</v>
      </c>
      <c r="AJ323" s="16">
        <f t="shared" si="37"/>
        <v>-2.1188999999999996</v>
      </c>
      <c r="AK323" s="16">
        <f t="shared" si="38"/>
        <v>2.0985000000000014</v>
      </c>
      <c r="AL323" s="52">
        <v>0.33</v>
      </c>
      <c r="AM323" s="17">
        <f t="shared" si="39"/>
        <v>4.0541999999999998</v>
      </c>
      <c r="AN323" s="17">
        <f t="shared" si="40"/>
        <v>-2.1188999999999996</v>
      </c>
      <c r="AO323" s="17">
        <f t="shared" si="41"/>
        <v>2.0985000000000014</v>
      </c>
    </row>
    <row r="324" spans="1:41">
      <c r="A324" s="49">
        <v>20060930</v>
      </c>
      <c r="B324" s="49">
        <v>-1.4346000000000001</v>
      </c>
      <c r="C324" s="49">
        <v>-0.99619999999999997</v>
      </c>
      <c r="D324" s="49">
        <v>-1.6115999999999999</v>
      </c>
      <c r="E324" s="49">
        <v>-1.0900000000000001</v>
      </c>
      <c r="F324" s="49">
        <v>-1.2653000000000001</v>
      </c>
      <c r="G324" s="49">
        <v>-0.90720000000000001</v>
      </c>
      <c r="H324" s="49">
        <v>-1.4077999999999999</v>
      </c>
      <c r="I324" s="49">
        <v>-0.95620000000000005</v>
      </c>
      <c r="J324" s="49">
        <v>-1.6254</v>
      </c>
      <c r="K324" s="49">
        <v>-1.0817000000000001</v>
      </c>
      <c r="L324" s="49">
        <v>-1.2172000000000001</v>
      </c>
      <c r="M324" s="49">
        <v>-0.84689999999999999</v>
      </c>
      <c r="N324" s="49">
        <v>-1.6045</v>
      </c>
      <c r="O324" s="49">
        <v>-1.2503</v>
      </c>
      <c r="P324" s="49">
        <v>-1.5466</v>
      </c>
      <c r="Q324" s="49">
        <v>-1.1293</v>
      </c>
      <c r="R324" s="49">
        <v>-1.7018</v>
      </c>
      <c r="S324" s="49">
        <v>-1.4552</v>
      </c>
      <c r="T324" s="49">
        <v>-1.8176000000000001</v>
      </c>
      <c r="U324" s="49">
        <v>-1.323</v>
      </c>
      <c r="V324" s="49">
        <v>-2.0021</v>
      </c>
      <c r="W324" s="49">
        <v>-1.405</v>
      </c>
      <c r="X324" s="49">
        <v>-1.6763999999999999</v>
      </c>
      <c r="Y324" s="49">
        <v>-1.2612000000000001</v>
      </c>
      <c r="Z324" s="49">
        <v>-0.75580000000000003</v>
      </c>
      <c r="AA324" s="49">
        <v>-0.37259999999999999</v>
      </c>
      <c r="AB324" s="49">
        <v>-1.1258999999999999</v>
      </c>
      <c r="AC324" s="49">
        <v>-0.65349999999999997</v>
      </c>
      <c r="AD324" s="49">
        <v>-0.35410000000000003</v>
      </c>
      <c r="AE324" s="49">
        <v>-6.7799999999999999E-2</v>
      </c>
      <c r="AH324" s="16">
        <f t="shared" si="35"/>
        <v>20060930</v>
      </c>
      <c r="AI324" s="16">
        <f t="shared" si="36"/>
        <v>-0.99619999999999997</v>
      </c>
      <c r="AJ324" s="16">
        <f t="shared" si="37"/>
        <v>9.1099999999999959E-2</v>
      </c>
      <c r="AK324" s="16">
        <f t="shared" si="38"/>
        <v>-0.65590000000000015</v>
      </c>
      <c r="AL324" s="52">
        <v>0.39900000000000002</v>
      </c>
      <c r="AM324" s="17">
        <f t="shared" si="39"/>
        <v>-1.02945</v>
      </c>
      <c r="AN324" s="17">
        <f t="shared" si="40"/>
        <v>9.1099999999999959E-2</v>
      </c>
      <c r="AO324" s="17">
        <f t="shared" si="41"/>
        <v>-0.65590000000000015</v>
      </c>
    </row>
    <row r="325" spans="1:41">
      <c r="A325" s="49">
        <v>20061031</v>
      </c>
      <c r="B325" s="49">
        <v>0.52859999999999996</v>
      </c>
      <c r="C325" s="49">
        <v>0.53</v>
      </c>
      <c r="D325" s="49">
        <v>7.2599999999999998E-2</v>
      </c>
      <c r="E325" s="49">
        <v>7.3400000000000007E-2</v>
      </c>
      <c r="F325" s="49">
        <v>0.96309999999999996</v>
      </c>
      <c r="G325" s="49">
        <v>0.96499999999999997</v>
      </c>
      <c r="H325" s="49">
        <v>0.84550000000000003</v>
      </c>
      <c r="I325" s="49">
        <v>0.84619999999999995</v>
      </c>
      <c r="J325" s="49">
        <v>0.56240000000000001</v>
      </c>
      <c r="K325" s="49">
        <v>0.56279999999999997</v>
      </c>
      <c r="L325" s="49">
        <v>1.0927</v>
      </c>
      <c r="M325" s="49">
        <v>1.0936999999999999</v>
      </c>
      <c r="N325" s="49">
        <v>-1.494</v>
      </c>
      <c r="O325" s="49">
        <v>-1.4883999999999999</v>
      </c>
      <c r="P325" s="49">
        <v>-2.2536999999999998</v>
      </c>
      <c r="Q325" s="49">
        <v>-2.2509000000000001</v>
      </c>
      <c r="R325" s="49">
        <v>-0.2198</v>
      </c>
      <c r="S325" s="49">
        <v>-0.20930000000000001</v>
      </c>
      <c r="T325" s="49">
        <v>1.6097999999999999</v>
      </c>
      <c r="U325" s="49">
        <v>1.6097999999999999</v>
      </c>
      <c r="V325" s="49">
        <v>1.8218000000000001</v>
      </c>
      <c r="W325" s="49">
        <v>1.8218000000000001</v>
      </c>
      <c r="X325" s="49">
        <v>1.448</v>
      </c>
      <c r="Y325" s="49">
        <v>1.448</v>
      </c>
      <c r="Z325" s="49">
        <v>-0.35720000000000002</v>
      </c>
      <c r="AA325" s="49">
        <v>-0.3553</v>
      </c>
      <c r="AB325" s="49">
        <v>-1.0914999999999999</v>
      </c>
      <c r="AC325" s="49">
        <v>-1.0905</v>
      </c>
      <c r="AD325" s="49">
        <v>0.43419999999999997</v>
      </c>
      <c r="AE325" s="49">
        <v>0.43690000000000001</v>
      </c>
      <c r="AH325" s="16">
        <f t="shared" si="35"/>
        <v>20061031</v>
      </c>
      <c r="AI325" s="16">
        <f t="shared" si="36"/>
        <v>0.53</v>
      </c>
      <c r="AJ325" s="16">
        <f t="shared" si="37"/>
        <v>-2.5725000000000002</v>
      </c>
      <c r="AK325" s="16">
        <f t="shared" si="38"/>
        <v>-4.1166999999999998</v>
      </c>
      <c r="AL325" s="52">
        <v>0.35</v>
      </c>
      <c r="AM325" s="17">
        <f t="shared" si="39"/>
        <v>0.50083333333333335</v>
      </c>
      <c r="AN325" s="17">
        <f t="shared" si="40"/>
        <v>-2.5725000000000002</v>
      </c>
      <c r="AO325" s="17">
        <f t="shared" si="41"/>
        <v>-4.1166999999999998</v>
      </c>
    </row>
    <row r="326" spans="1:41">
      <c r="A326" s="49">
        <v>20061130</v>
      </c>
      <c r="B326" s="49">
        <v>-0.86519999999999997</v>
      </c>
      <c r="C326" s="49">
        <v>-0.85919999999999996</v>
      </c>
      <c r="D326" s="49">
        <v>-0.92</v>
      </c>
      <c r="E326" s="49">
        <v>-0.91890000000000005</v>
      </c>
      <c r="F326" s="49">
        <v>-0.81359999999999999</v>
      </c>
      <c r="G326" s="49">
        <v>-0.80310000000000004</v>
      </c>
      <c r="H326" s="49">
        <v>-0.73519999999999996</v>
      </c>
      <c r="I326" s="49">
        <v>-0.73150000000000004</v>
      </c>
      <c r="J326" s="49">
        <v>-0.88149999999999995</v>
      </c>
      <c r="K326" s="49">
        <v>-0.8831</v>
      </c>
      <c r="L326" s="49">
        <v>-0.60829999999999995</v>
      </c>
      <c r="M326" s="49">
        <v>-0.59989999999999999</v>
      </c>
      <c r="N326" s="49">
        <v>-1.7141</v>
      </c>
      <c r="O326" s="49">
        <v>-1.6933</v>
      </c>
      <c r="P326" s="49">
        <v>-1.1080000000000001</v>
      </c>
      <c r="Q326" s="49">
        <v>-1.0934999999999999</v>
      </c>
      <c r="R326" s="49">
        <v>-2.7094</v>
      </c>
      <c r="S326" s="49">
        <v>-2.6783999999999999</v>
      </c>
      <c r="T326" s="49">
        <v>-0.4909</v>
      </c>
      <c r="U326" s="49">
        <v>-0.49709999999999999</v>
      </c>
      <c r="V326" s="49">
        <v>-0.62680000000000002</v>
      </c>
      <c r="W326" s="49">
        <v>-0.63670000000000004</v>
      </c>
      <c r="X326" s="49">
        <v>-0.38690000000000002</v>
      </c>
      <c r="Y326" s="49">
        <v>-0.39019999999999999</v>
      </c>
      <c r="Z326" s="49">
        <v>-1.1272</v>
      </c>
      <c r="AA326" s="49">
        <v>-1.1077999999999999</v>
      </c>
      <c r="AB326" s="49">
        <v>-1.2257</v>
      </c>
      <c r="AC326" s="49">
        <v>-1.2162999999999999</v>
      </c>
      <c r="AD326" s="49">
        <v>-1.0227999999999999</v>
      </c>
      <c r="AE326" s="49">
        <v>-0.99280000000000002</v>
      </c>
      <c r="AH326" s="16">
        <f t="shared" si="35"/>
        <v>20061130</v>
      </c>
      <c r="AI326" s="16">
        <f t="shared" si="36"/>
        <v>-0.85919999999999996</v>
      </c>
      <c r="AJ326" s="16">
        <f t="shared" si="37"/>
        <v>1.3016999999999999</v>
      </c>
      <c r="AK326" s="16">
        <f t="shared" si="38"/>
        <v>-2.2888999999999995</v>
      </c>
      <c r="AL326" s="52">
        <v>0.35</v>
      </c>
      <c r="AM326" s="17">
        <f t="shared" si="39"/>
        <v>-0.88836666666666664</v>
      </c>
      <c r="AN326" s="17">
        <f t="shared" si="40"/>
        <v>1.3016999999999999</v>
      </c>
      <c r="AO326" s="17">
        <f t="shared" si="41"/>
        <v>-2.2888999999999995</v>
      </c>
    </row>
    <row r="327" spans="1:41">
      <c r="A327" s="49">
        <v>20061231</v>
      </c>
      <c r="B327" s="49">
        <v>4.8608000000000002</v>
      </c>
      <c r="C327" s="49">
        <v>4.9138999999999999</v>
      </c>
      <c r="D327" s="49">
        <v>5.0448000000000004</v>
      </c>
      <c r="E327" s="49">
        <v>5.0925000000000002</v>
      </c>
      <c r="F327" s="49">
        <v>4.6768000000000001</v>
      </c>
      <c r="G327" s="49">
        <v>4.7351999999999999</v>
      </c>
      <c r="H327" s="49">
        <v>5.1791999999999998</v>
      </c>
      <c r="I327" s="49">
        <v>5.2317999999999998</v>
      </c>
      <c r="J327" s="49">
        <v>5.4157000000000002</v>
      </c>
      <c r="K327" s="49">
        <v>5.4592999999999998</v>
      </c>
      <c r="L327" s="49">
        <v>4.9671000000000003</v>
      </c>
      <c r="M327" s="49">
        <v>5.0278</v>
      </c>
      <c r="N327" s="49">
        <v>3.0430000000000001</v>
      </c>
      <c r="O327" s="49">
        <v>3.0989</v>
      </c>
      <c r="P327" s="49">
        <v>3.5169000000000001</v>
      </c>
      <c r="Q327" s="49">
        <v>3.5817999999999999</v>
      </c>
      <c r="R327" s="49">
        <v>2.1476000000000002</v>
      </c>
      <c r="S327" s="49">
        <v>2.1867000000000001</v>
      </c>
      <c r="T327" s="49">
        <v>5.8650000000000002</v>
      </c>
      <c r="U327" s="49">
        <v>5.9124999999999996</v>
      </c>
      <c r="V327" s="49">
        <v>6.3569000000000004</v>
      </c>
      <c r="W327" s="49">
        <v>6.3830999999999998</v>
      </c>
      <c r="X327" s="49">
        <v>5.5164</v>
      </c>
      <c r="Y327" s="49">
        <v>5.5789999999999997</v>
      </c>
      <c r="Z327" s="49">
        <v>4.1936999999999998</v>
      </c>
      <c r="AA327" s="49">
        <v>4.2535999999999996</v>
      </c>
      <c r="AB327" s="49">
        <v>4.4073000000000002</v>
      </c>
      <c r="AC327" s="49">
        <v>4.4692999999999996</v>
      </c>
      <c r="AD327" s="49">
        <v>3.9262000000000001</v>
      </c>
      <c r="AE327" s="49">
        <v>3.9834999999999998</v>
      </c>
      <c r="AH327" s="16">
        <f t="shared" si="35"/>
        <v>20061231</v>
      </c>
      <c r="AI327" s="16">
        <f t="shared" si="36"/>
        <v>4.9138999999999999</v>
      </c>
      <c r="AJ327" s="16">
        <f t="shared" si="37"/>
        <v>1.8265999999999996</v>
      </c>
      <c r="AK327" s="16">
        <f t="shared" si="38"/>
        <v>-4.7186000000000003</v>
      </c>
      <c r="AL327" s="52">
        <v>0.4</v>
      </c>
      <c r="AM327" s="17">
        <f t="shared" si="39"/>
        <v>4.8805666666666667</v>
      </c>
      <c r="AN327" s="17">
        <f t="shared" si="40"/>
        <v>1.8265999999999996</v>
      </c>
      <c r="AO327" s="17">
        <f t="shared" si="41"/>
        <v>-4.7186000000000003</v>
      </c>
    </row>
    <row r="328" spans="1:41">
      <c r="A328" s="49">
        <v>20070131</v>
      </c>
      <c r="B328" s="49">
        <v>2.3973</v>
      </c>
      <c r="C328" s="49">
        <v>2.4</v>
      </c>
      <c r="D328" s="49">
        <v>3.3925000000000001</v>
      </c>
      <c r="E328" s="49">
        <v>3.3965000000000001</v>
      </c>
      <c r="F328" s="49">
        <v>1.3992</v>
      </c>
      <c r="G328" s="49">
        <v>1.4005000000000001</v>
      </c>
      <c r="H328" s="49">
        <v>2.2841</v>
      </c>
      <c r="I328" s="49">
        <v>2.2860999999999998</v>
      </c>
      <c r="J328" s="49">
        <v>3.4712000000000001</v>
      </c>
      <c r="K328" s="49">
        <v>3.4748000000000001</v>
      </c>
      <c r="L328" s="49">
        <v>1.2157</v>
      </c>
      <c r="M328" s="49">
        <v>1.2162999999999999</v>
      </c>
      <c r="N328" s="49">
        <v>3.0566</v>
      </c>
      <c r="O328" s="49">
        <v>3.0630999999999999</v>
      </c>
      <c r="P328" s="49">
        <v>3.0621999999999998</v>
      </c>
      <c r="Q328" s="49">
        <v>3.0682999999999998</v>
      </c>
      <c r="R328" s="49">
        <v>3.0459000000000001</v>
      </c>
      <c r="S328" s="49">
        <v>3.0529000000000002</v>
      </c>
      <c r="T328" s="49">
        <v>2.5703</v>
      </c>
      <c r="U328" s="49">
        <v>2.5703</v>
      </c>
      <c r="V328" s="49">
        <v>3.9390999999999998</v>
      </c>
      <c r="W328" s="49">
        <v>3.9390999999999998</v>
      </c>
      <c r="X328" s="49">
        <v>1.5929</v>
      </c>
      <c r="Y328" s="49">
        <v>1.5929</v>
      </c>
      <c r="Z328" s="49">
        <v>1.8665</v>
      </c>
      <c r="AA328" s="49">
        <v>1.8714</v>
      </c>
      <c r="AB328" s="49">
        <v>2.9607000000000001</v>
      </c>
      <c r="AC328" s="49">
        <v>2.9681999999999999</v>
      </c>
      <c r="AD328" s="49">
        <v>0.49030000000000001</v>
      </c>
      <c r="AE328" s="49">
        <v>0.49209999999999998</v>
      </c>
      <c r="AH328" s="16">
        <f t="shared" si="35"/>
        <v>20070131</v>
      </c>
      <c r="AI328" s="16">
        <f t="shared" si="36"/>
        <v>2.4</v>
      </c>
      <c r="AJ328" s="16">
        <f t="shared" si="37"/>
        <v>2.2738999999999998</v>
      </c>
      <c r="AK328" s="16">
        <f t="shared" si="38"/>
        <v>1.4300999999999995</v>
      </c>
      <c r="AL328" s="52">
        <v>0.435</v>
      </c>
      <c r="AM328" s="17">
        <f t="shared" si="39"/>
        <v>2.36375</v>
      </c>
      <c r="AN328" s="17">
        <f t="shared" si="40"/>
        <v>2.2738999999999998</v>
      </c>
      <c r="AO328" s="17">
        <f t="shared" si="41"/>
        <v>1.4300999999999995</v>
      </c>
    </row>
    <row r="329" spans="1:41">
      <c r="A329" s="49">
        <v>20070228</v>
      </c>
      <c r="B329" s="49">
        <v>1.7183999999999999</v>
      </c>
      <c r="C329" s="49">
        <v>1.7428999999999999</v>
      </c>
      <c r="D329" s="49">
        <v>2.7928999999999999</v>
      </c>
      <c r="E329" s="49">
        <v>2.8108</v>
      </c>
      <c r="F329" s="49">
        <v>0.61960000000000004</v>
      </c>
      <c r="G329" s="49">
        <v>0.65069999999999995</v>
      </c>
      <c r="H329" s="49">
        <v>1.8344</v>
      </c>
      <c r="I329" s="49">
        <v>1.8567</v>
      </c>
      <c r="J329" s="49">
        <v>2.9672000000000001</v>
      </c>
      <c r="K329" s="49">
        <v>2.9815999999999998</v>
      </c>
      <c r="L329" s="49">
        <v>0.79200000000000004</v>
      </c>
      <c r="M329" s="49">
        <v>0.82140000000000002</v>
      </c>
      <c r="N329" s="49">
        <v>1.0477000000000001</v>
      </c>
      <c r="O329" s="49">
        <v>1.0851999999999999</v>
      </c>
      <c r="P329" s="49">
        <v>2.0592999999999999</v>
      </c>
      <c r="Q329" s="49">
        <v>2.0924</v>
      </c>
      <c r="R329" s="49">
        <v>-0.89839999999999998</v>
      </c>
      <c r="S329" s="49">
        <v>-0.85250000000000004</v>
      </c>
      <c r="T329" s="49">
        <v>1.9636</v>
      </c>
      <c r="U329" s="49">
        <v>1.9890000000000001</v>
      </c>
      <c r="V329" s="49">
        <v>3.5804</v>
      </c>
      <c r="W329" s="49">
        <v>3.5958000000000001</v>
      </c>
      <c r="X329" s="49">
        <v>0.78249999999999997</v>
      </c>
      <c r="Y329" s="49">
        <v>0.81499999999999995</v>
      </c>
      <c r="Z329" s="49">
        <v>1.6445000000000001</v>
      </c>
      <c r="AA329" s="49">
        <v>1.6620999999999999</v>
      </c>
      <c r="AB329" s="49">
        <v>2.2917000000000001</v>
      </c>
      <c r="AC329" s="49">
        <v>2.3048000000000002</v>
      </c>
      <c r="AD329" s="49">
        <v>0.8105</v>
      </c>
      <c r="AE329" s="49">
        <v>0.83389999999999997</v>
      </c>
      <c r="AH329" s="16">
        <f t="shared" si="35"/>
        <v>20070228</v>
      </c>
      <c r="AI329" s="16">
        <f t="shared" si="36"/>
        <v>1.7428999999999999</v>
      </c>
      <c r="AJ329" s="16">
        <f t="shared" si="37"/>
        <v>5.1051000000000002</v>
      </c>
      <c r="AK329" s="16">
        <f t="shared" si="38"/>
        <v>-2.5630999999999999</v>
      </c>
      <c r="AL329" s="52">
        <v>0.36499999999999999</v>
      </c>
      <c r="AM329" s="17">
        <f t="shared" si="39"/>
        <v>1.7124833333333331</v>
      </c>
      <c r="AN329" s="17">
        <f t="shared" si="40"/>
        <v>5.1051000000000002</v>
      </c>
      <c r="AO329" s="17">
        <f t="shared" si="41"/>
        <v>-2.5630999999999999</v>
      </c>
    </row>
    <row r="330" spans="1:41">
      <c r="A330" s="49">
        <v>20070331</v>
      </c>
      <c r="B330" s="49">
        <v>-2.1667999999999998</v>
      </c>
      <c r="C330" s="49">
        <v>-1.6012999999999999</v>
      </c>
      <c r="D330" s="49">
        <v>-1.5852999999999999</v>
      </c>
      <c r="E330" s="49">
        <v>-0.9657</v>
      </c>
      <c r="F330" s="49">
        <v>-2.7745000000000002</v>
      </c>
      <c r="G330" s="49">
        <v>-2.2654000000000001</v>
      </c>
      <c r="H330" s="49">
        <v>-2.1911</v>
      </c>
      <c r="I330" s="49">
        <v>-1.6335</v>
      </c>
      <c r="J330" s="49">
        <v>-1.605</v>
      </c>
      <c r="K330" s="49">
        <v>-1.0002</v>
      </c>
      <c r="L330" s="49">
        <v>-2.7425999999999999</v>
      </c>
      <c r="M330" s="49">
        <v>-2.2294999999999998</v>
      </c>
      <c r="N330" s="49">
        <v>-2.0246</v>
      </c>
      <c r="O330" s="49">
        <v>-1.4123000000000001</v>
      </c>
      <c r="P330" s="49">
        <v>-1.5012000000000001</v>
      </c>
      <c r="Q330" s="49">
        <v>-0.81769999999999998</v>
      </c>
      <c r="R330" s="49">
        <v>-3.0602999999999998</v>
      </c>
      <c r="S330" s="49">
        <v>-2.5880999999999998</v>
      </c>
      <c r="T330" s="49">
        <v>-2.5017</v>
      </c>
      <c r="U330" s="49">
        <v>-1.9396</v>
      </c>
      <c r="V330" s="49">
        <v>-1.99</v>
      </c>
      <c r="W330" s="49">
        <v>-1.3976999999999999</v>
      </c>
      <c r="X330" s="49">
        <v>-2.8858000000000001</v>
      </c>
      <c r="Y330" s="49">
        <v>-2.3464999999999998</v>
      </c>
      <c r="Z330" s="49">
        <v>-1.7353000000000001</v>
      </c>
      <c r="AA330" s="49">
        <v>-1.1842999999999999</v>
      </c>
      <c r="AB330" s="49">
        <v>-1.1773</v>
      </c>
      <c r="AC330" s="49">
        <v>-0.55840000000000001</v>
      </c>
      <c r="AD330" s="49">
        <v>-2.4655</v>
      </c>
      <c r="AE330" s="49">
        <v>-2.0030999999999999</v>
      </c>
      <c r="AH330" s="16">
        <f t="shared" si="35"/>
        <v>20070331</v>
      </c>
      <c r="AI330" s="16">
        <f t="shared" si="36"/>
        <v>-1.6012999999999999</v>
      </c>
      <c r="AJ330" s="16">
        <f t="shared" si="37"/>
        <v>2.9996999999999998</v>
      </c>
      <c r="AK330" s="16">
        <f t="shared" si="38"/>
        <v>-0.17609999999999992</v>
      </c>
      <c r="AL330" s="52">
        <v>0.57499999999999996</v>
      </c>
      <c r="AM330" s="17">
        <f t="shared" si="39"/>
        <v>-1.6492166666666666</v>
      </c>
      <c r="AN330" s="17">
        <f t="shared" si="40"/>
        <v>2.9996999999999998</v>
      </c>
      <c r="AO330" s="17">
        <f t="shared" si="41"/>
        <v>-0.17609999999999992</v>
      </c>
    </row>
    <row r="331" spans="1:41">
      <c r="A331" s="49">
        <v>20070430</v>
      </c>
      <c r="B331" s="49">
        <v>-0.71840000000000004</v>
      </c>
      <c r="C331" s="49">
        <v>-0.71760000000000002</v>
      </c>
      <c r="D331" s="49">
        <v>-1.0166999999999999</v>
      </c>
      <c r="E331" s="49">
        <v>-1.0159</v>
      </c>
      <c r="F331" s="49">
        <v>-0.40329999999999999</v>
      </c>
      <c r="G331" s="49">
        <v>-0.40229999999999999</v>
      </c>
      <c r="H331" s="49">
        <v>-0.67490000000000006</v>
      </c>
      <c r="I331" s="49">
        <v>-0.67449999999999999</v>
      </c>
      <c r="J331" s="49">
        <v>-1.2495000000000001</v>
      </c>
      <c r="K331" s="49">
        <v>-1.2495000000000001</v>
      </c>
      <c r="L331" s="49">
        <v>-0.1278</v>
      </c>
      <c r="M331" s="49">
        <v>-0.12709999999999999</v>
      </c>
      <c r="N331" s="49">
        <v>-0.97160000000000002</v>
      </c>
      <c r="O331" s="49">
        <v>-0.96809999999999996</v>
      </c>
      <c r="P331" s="49">
        <v>-1.83E-2</v>
      </c>
      <c r="Q331" s="49">
        <v>-1.4500000000000001E-2</v>
      </c>
      <c r="R331" s="49">
        <v>-2.8729</v>
      </c>
      <c r="S331" s="49">
        <v>-2.87</v>
      </c>
      <c r="T331" s="49">
        <v>-0.94310000000000005</v>
      </c>
      <c r="U331" s="49">
        <v>-0.94310000000000005</v>
      </c>
      <c r="V331" s="49">
        <v>-1.7291000000000001</v>
      </c>
      <c r="W331" s="49">
        <v>-1.7291000000000001</v>
      </c>
      <c r="X331" s="49">
        <v>-0.34710000000000002</v>
      </c>
      <c r="Y331" s="49">
        <v>-0.34710000000000002</v>
      </c>
      <c r="Z331" s="49">
        <v>-0.2843</v>
      </c>
      <c r="AA331" s="49">
        <v>-0.28339999999999999</v>
      </c>
      <c r="AB331" s="49">
        <v>-0.72099999999999997</v>
      </c>
      <c r="AC331" s="49">
        <v>-0.72099999999999997</v>
      </c>
      <c r="AD331" s="49">
        <v>0.29430000000000001</v>
      </c>
      <c r="AE331" s="49">
        <v>0.29649999999999999</v>
      </c>
      <c r="AH331" s="16">
        <f t="shared" si="35"/>
        <v>20070430</v>
      </c>
      <c r="AI331" s="16">
        <f t="shared" si="36"/>
        <v>-0.71760000000000002</v>
      </c>
      <c r="AJ331" s="16">
        <f t="shared" si="37"/>
        <v>1.7331000000000001</v>
      </c>
      <c r="AK331" s="16">
        <f t="shared" si="38"/>
        <v>-1.5079</v>
      </c>
      <c r="AL331" s="52">
        <v>0.61399999999999999</v>
      </c>
      <c r="AM331" s="17">
        <f t="shared" si="39"/>
        <v>-0.76876666666666671</v>
      </c>
      <c r="AN331" s="17">
        <f t="shared" si="40"/>
        <v>1.7331000000000001</v>
      </c>
      <c r="AO331" s="17">
        <f t="shared" si="41"/>
        <v>-1.5079</v>
      </c>
    </row>
    <row r="332" spans="1:41">
      <c r="A332" s="49">
        <v>20070531</v>
      </c>
      <c r="B332" s="49">
        <v>3.0895000000000001</v>
      </c>
      <c r="C332" s="49">
        <v>3.1240999999999999</v>
      </c>
      <c r="D332" s="49">
        <v>2.5876999999999999</v>
      </c>
      <c r="E332" s="49">
        <v>2.6147</v>
      </c>
      <c r="F332" s="49">
        <v>3.6145999999999998</v>
      </c>
      <c r="G332" s="49">
        <v>3.6572</v>
      </c>
      <c r="H332" s="49">
        <v>3.629</v>
      </c>
      <c r="I332" s="49">
        <v>3.6655000000000002</v>
      </c>
      <c r="J332" s="49">
        <v>3.2210999999999999</v>
      </c>
      <c r="K332" s="49">
        <v>3.2488999999999999</v>
      </c>
      <c r="L332" s="49">
        <v>4.0111999999999997</v>
      </c>
      <c r="M332" s="49">
        <v>4.0556999999999999</v>
      </c>
      <c r="N332" s="49">
        <v>-6.8400000000000002E-2</v>
      </c>
      <c r="O332" s="49">
        <v>-4.3999999999999997E-2</v>
      </c>
      <c r="P332" s="49">
        <v>-8.2400000000000001E-2</v>
      </c>
      <c r="Q332" s="49">
        <v>-5.8299999999999998E-2</v>
      </c>
      <c r="R332" s="49">
        <v>-3.95E-2</v>
      </c>
      <c r="S332" s="49">
        <v>-1.46E-2</v>
      </c>
      <c r="T332" s="49">
        <v>5.1161000000000003</v>
      </c>
      <c r="U332" s="49">
        <v>5.1628999999999996</v>
      </c>
      <c r="V332" s="49">
        <v>4.5919999999999996</v>
      </c>
      <c r="W332" s="49">
        <v>4.6364999999999998</v>
      </c>
      <c r="X332" s="49">
        <v>5.5077999999999996</v>
      </c>
      <c r="Y332" s="49">
        <v>5.5564</v>
      </c>
      <c r="Z332" s="49">
        <v>1.4702</v>
      </c>
      <c r="AA332" s="49">
        <v>1.4922</v>
      </c>
      <c r="AB332" s="49">
        <v>1.716</v>
      </c>
      <c r="AC332" s="49">
        <v>1.7262</v>
      </c>
      <c r="AD332" s="49">
        <v>1.1505000000000001</v>
      </c>
      <c r="AE332" s="49">
        <v>1.1878</v>
      </c>
      <c r="AH332" s="16">
        <f t="shared" si="35"/>
        <v>20070531</v>
      </c>
      <c r="AI332" s="16">
        <f t="shared" si="36"/>
        <v>3.1240999999999999</v>
      </c>
      <c r="AJ332" s="16">
        <f t="shared" si="37"/>
        <v>-0.85049999999999992</v>
      </c>
      <c r="AK332" s="16">
        <f t="shared" si="38"/>
        <v>-7.3774999999999995</v>
      </c>
      <c r="AL332" s="52">
        <v>0.63</v>
      </c>
      <c r="AM332" s="17">
        <f t="shared" si="39"/>
        <v>3.0715999999999997</v>
      </c>
      <c r="AN332" s="17">
        <f t="shared" si="40"/>
        <v>-0.85049999999999992</v>
      </c>
      <c r="AO332" s="17">
        <f t="shared" si="41"/>
        <v>-7.3774999999999995</v>
      </c>
    </row>
    <row r="333" spans="1:41">
      <c r="A333" s="49">
        <v>20070630</v>
      </c>
      <c r="B333" s="49">
        <v>1.1893</v>
      </c>
      <c r="C333" s="49">
        <v>1.2512000000000001</v>
      </c>
      <c r="D333" s="49">
        <v>1.0035000000000001</v>
      </c>
      <c r="E333" s="49">
        <v>1.0470999999999999</v>
      </c>
      <c r="F333" s="49">
        <v>1.3815999999999999</v>
      </c>
      <c r="G333" s="49">
        <v>1.4623999999999999</v>
      </c>
      <c r="H333" s="49">
        <v>1.0443</v>
      </c>
      <c r="I333" s="49">
        <v>1.1077999999999999</v>
      </c>
      <c r="J333" s="49">
        <v>0.68330000000000002</v>
      </c>
      <c r="K333" s="49">
        <v>0.72399999999999998</v>
      </c>
      <c r="L333" s="49">
        <v>1.3797999999999999</v>
      </c>
      <c r="M333" s="49">
        <v>1.4643999999999999</v>
      </c>
      <c r="N333" s="49">
        <v>2.0699999999999998</v>
      </c>
      <c r="O333" s="49">
        <v>2.1225999999999998</v>
      </c>
      <c r="P333" s="49">
        <v>2.3973</v>
      </c>
      <c r="Q333" s="49">
        <v>2.4539</v>
      </c>
      <c r="R333" s="49">
        <v>1.3993</v>
      </c>
      <c r="S333" s="49">
        <v>1.4437</v>
      </c>
      <c r="T333" s="49">
        <v>0.58079999999999998</v>
      </c>
      <c r="U333" s="49">
        <v>0.64549999999999996</v>
      </c>
      <c r="V333" s="49">
        <v>7.17E-2</v>
      </c>
      <c r="W333" s="49">
        <v>9.4500000000000001E-2</v>
      </c>
      <c r="X333" s="49">
        <v>0.95779999999999998</v>
      </c>
      <c r="Y333" s="49">
        <v>1.0538000000000001</v>
      </c>
      <c r="Z333" s="49">
        <v>1.7422</v>
      </c>
      <c r="AA333" s="49">
        <v>1.8036000000000001</v>
      </c>
      <c r="AB333" s="49">
        <v>1.3755999999999999</v>
      </c>
      <c r="AC333" s="49">
        <v>1.4368000000000001</v>
      </c>
      <c r="AD333" s="49">
        <v>2.2210000000000001</v>
      </c>
      <c r="AE333" s="49">
        <v>2.2827999999999999</v>
      </c>
      <c r="AH333" s="16">
        <f t="shared" si="35"/>
        <v>20070630</v>
      </c>
      <c r="AI333" s="16">
        <f t="shared" si="36"/>
        <v>1.2512000000000001</v>
      </c>
      <c r="AJ333" s="16">
        <f t="shared" si="37"/>
        <v>0.26980000000000004</v>
      </c>
      <c r="AK333" s="16">
        <f t="shared" si="38"/>
        <v>1.7092000000000001</v>
      </c>
      <c r="AL333" s="52">
        <v>0.61699999999999999</v>
      </c>
      <c r="AM333" s="17">
        <f t="shared" si="39"/>
        <v>1.1997833333333334</v>
      </c>
      <c r="AN333" s="17">
        <f t="shared" si="40"/>
        <v>0.26980000000000004</v>
      </c>
      <c r="AO333" s="17">
        <f t="shared" si="41"/>
        <v>1.7092000000000001</v>
      </c>
    </row>
    <row r="334" spans="1:41">
      <c r="A334" s="49">
        <v>20070731</v>
      </c>
      <c r="B334" s="49">
        <v>-3.8542999999999998</v>
      </c>
      <c r="C334" s="49">
        <v>-3.8416999999999999</v>
      </c>
      <c r="D334" s="49">
        <v>-4.0102000000000002</v>
      </c>
      <c r="E334" s="49">
        <v>-3.9885000000000002</v>
      </c>
      <c r="F334" s="49">
        <v>-3.6936</v>
      </c>
      <c r="G334" s="49">
        <v>-3.6901999999999999</v>
      </c>
      <c r="H334" s="49">
        <v>-3.8993000000000002</v>
      </c>
      <c r="I334" s="49">
        <v>-3.8858000000000001</v>
      </c>
      <c r="J334" s="49">
        <v>-4.1700999999999997</v>
      </c>
      <c r="K334" s="49">
        <v>-4.1452</v>
      </c>
      <c r="L334" s="49">
        <v>-3.6493000000000002</v>
      </c>
      <c r="M334" s="49">
        <v>-3.6463999999999999</v>
      </c>
      <c r="N334" s="49">
        <v>-3.5842000000000001</v>
      </c>
      <c r="O334" s="49">
        <v>-3.5766</v>
      </c>
      <c r="P334" s="49">
        <v>-3.3252000000000002</v>
      </c>
      <c r="Q334" s="49">
        <v>-3.3174999999999999</v>
      </c>
      <c r="R334" s="49">
        <v>-4.1191000000000004</v>
      </c>
      <c r="S334" s="49">
        <v>-4.1116000000000001</v>
      </c>
      <c r="T334" s="49">
        <v>-4.1170999999999998</v>
      </c>
      <c r="U334" s="49">
        <v>-4.0991999999999997</v>
      </c>
      <c r="V334" s="49">
        <v>-4.3662000000000001</v>
      </c>
      <c r="W334" s="49">
        <v>-4.327</v>
      </c>
      <c r="X334" s="49">
        <v>-3.9340999999999999</v>
      </c>
      <c r="Y334" s="49">
        <v>-3.9319000000000002</v>
      </c>
      <c r="Z334" s="49">
        <v>-3.5756999999999999</v>
      </c>
      <c r="AA334" s="49">
        <v>-3.5688</v>
      </c>
      <c r="AB334" s="49">
        <v>-3.9510999999999998</v>
      </c>
      <c r="AC334" s="49">
        <v>-3.9422000000000001</v>
      </c>
      <c r="AD334" s="49">
        <v>-3.0905999999999998</v>
      </c>
      <c r="AE334" s="49">
        <v>-3.0861999999999998</v>
      </c>
      <c r="AH334" s="16">
        <f t="shared" si="35"/>
        <v>20070731</v>
      </c>
      <c r="AI334" s="16">
        <f t="shared" si="36"/>
        <v>-3.8416999999999999</v>
      </c>
      <c r="AJ334" s="16">
        <f t="shared" si="37"/>
        <v>0.29530000000000012</v>
      </c>
      <c r="AK334" s="16">
        <f t="shared" si="38"/>
        <v>0.36249999999999982</v>
      </c>
      <c r="AL334" s="52">
        <v>0.61</v>
      </c>
      <c r="AM334" s="17">
        <f t="shared" si="39"/>
        <v>-3.8925333333333332</v>
      </c>
      <c r="AN334" s="17">
        <f t="shared" si="40"/>
        <v>0.29530000000000012</v>
      </c>
      <c r="AO334" s="17">
        <f t="shared" si="41"/>
        <v>0.36249999999999982</v>
      </c>
    </row>
    <row r="335" spans="1:41">
      <c r="A335" s="49">
        <v>20070831</v>
      </c>
      <c r="B335" s="49">
        <v>-5.6300999999999997</v>
      </c>
      <c r="C335" s="49">
        <v>-5.6151999999999997</v>
      </c>
      <c r="D335" s="49">
        <v>-6.3807999999999998</v>
      </c>
      <c r="E335" s="49">
        <v>-6.3651999999999997</v>
      </c>
      <c r="F335" s="49">
        <v>-4.8582000000000001</v>
      </c>
      <c r="G335" s="49">
        <v>-4.8438999999999997</v>
      </c>
      <c r="H335" s="49">
        <v>-5.3638000000000003</v>
      </c>
      <c r="I335" s="49">
        <v>-5.3512000000000004</v>
      </c>
      <c r="J335" s="49">
        <v>-6.3148</v>
      </c>
      <c r="K335" s="49">
        <v>-6.3011999999999997</v>
      </c>
      <c r="L335" s="49">
        <v>-4.4897</v>
      </c>
      <c r="M335" s="49">
        <v>-4.4779</v>
      </c>
      <c r="N335" s="49">
        <v>-7.2282000000000002</v>
      </c>
      <c r="O335" s="49">
        <v>-7.1993</v>
      </c>
      <c r="P335" s="49">
        <v>-6.6619000000000002</v>
      </c>
      <c r="Q335" s="49">
        <v>-6.6376999999999997</v>
      </c>
      <c r="R335" s="49">
        <v>-8.4025999999999996</v>
      </c>
      <c r="S335" s="49">
        <v>-8.3638999999999992</v>
      </c>
      <c r="T335" s="49">
        <v>-5.9480000000000004</v>
      </c>
      <c r="U335" s="49">
        <v>-5.9379</v>
      </c>
      <c r="V335" s="49">
        <v>-7.4364999999999997</v>
      </c>
      <c r="W335" s="49">
        <v>-7.4204999999999997</v>
      </c>
      <c r="X335" s="49">
        <v>-4.8569000000000004</v>
      </c>
      <c r="Y335" s="49">
        <v>-4.8510999999999997</v>
      </c>
      <c r="Z335" s="49">
        <v>-4.5011999999999999</v>
      </c>
      <c r="AA335" s="49">
        <v>-4.4848999999999997</v>
      </c>
      <c r="AB335" s="49">
        <v>-5.0674999999999999</v>
      </c>
      <c r="AC335" s="49">
        <v>-5.0566000000000004</v>
      </c>
      <c r="AD335" s="49">
        <v>-3.7757000000000001</v>
      </c>
      <c r="AE335" s="49">
        <v>-3.7524999999999999</v>
      </c>
      <c r="AH335" s="16">
        <f t="shared" si="35"/>
        <v>20070831</v>
      </c>
      <c r="AI335" s="16">
        <f t="shared" si="36"/>
        <v>-5.6151999999999997</v>
      </c>
      <c r="AJ335" s="16">
        <f t="shared" si="37"/>
        <v>-9.7100000000000186E-2</v>
      </c>
      <c r="AK335" s="16">
        <f t="shared" si="38"/>
        <v>-4.2225000000000001</v>
      </c>
      <c r="AL335" s="52">
        <v>0.65</v>
      </c>
      <c r="AM335" s="17">
        <f t="shared" si="39"/>
        <v>-5.669366666666666</v>
      </c>
      <c r="AN335" s="17">
        <f t="shared" si="40"/>
        <v>-9.7100000000000186E-2</v>
      </c>
      <c r="AO335" s="17">
        <f t="shared" si="41"/>
        <v>-4.2225000000000001</v>
      </c>
    </row>
    <row r="336" spans="1:41">
      <c r="A336" s="49">
        <v>20070930</v>
      </c>
      <c r="B336" s="49">
        <v>0.64690000000000003</v>
      </c>
      <c r="C336" s="49">
        <v>1.1616</v>
      </c>
      <c r="D336" s="49">
        <v>0.71350000000000002</v>
      </c>
      <c r="E336" s="49">
        <v>1.2887999999999999</v>
      </c>
      <c r="F336" s="49">
        <v>0.57940000000000003</v>
      </c>
      <c r="G336" s="49">
        <v>1.0322</v>
      </c>
      <c r="H336" s="49">
        <v>0.90169999999999995</v>
      </c>
      <c r="I336" s="49">
        <v>1.4288000000000001</v>
      </c>
      <c r="J336" s="49">
        <v>1.0310999999999999</v>
      </c>
      <c r="K336" s="49">
        <v>1.6301000000000001</v>
      </c>
      <c r="L336" s="49">
        <v>0.78490000000000004</v>
      </c>
      <c r="M336" s="49">
        <v>1.2465999999999999</v>
      </c>
      <c r="N336" s="49">
        <v>-0.91879999999999995</v>
      </c>
      <c r="O336" s="49">
        <v>-0.48080000000000001</v>
      </c>
      <c r="P336" s="49">
        <v>-0.65100000000000002</v>
      </c>
      <c r="Q336" s="49">
        <v>-0.17799999999999999</v>
      </c>
      <c r="R336" s="49">
        <v>-1.4864999999999999</v>
      </c>
      <c r="S336" s="49">
        <v>-1.1238999999999999</v>
      </c>
      <c r="T336" s="49">
        <v>0.9264</v>
      </c>
      <c r="U336" s="49">
        <v>1.5012000000000001</v>
      </c>
      <c r="V336" s="49">
        <v>1.8797999999999999</v>
      </c>
      <c r="W336" s="49">
        <v>2.5276999999999998</v>
      </c>
      <c r="X336" s="49">
        <v>0.2462</v>
      </c>
      <c r="Y336" s="49">
        <v>0.76839999999999997</v>
      </c>
      <c r="Z336" s="49">
        <v>0.8659</v>
      </c>
      <c r="AA336" s="49">
        <v>1.3237000000000001</v>
      </c>
      <c r="AB336" s="49">
        <v>0.1129</v>
      </c>
      <c r="AC336" s="49">
        <v>0.65890000000000004</v>
      </c>
      <c r="AD336" s="49">
        <v>1.8196000000000001</v>
      </c>
      <c r="AE336" s="49">
        <v>2.165</v>
      </c>
      <c r="AH336" s="16">
        <f t="shared" si="35"/>
        <v>20070930</v>
      </c>
      <c r="AI336" s="16">
        <f t="shared" si="36"/>
        <v>1.1616</v>
      </c>
      <c r="AJ336" s="16">
        <f t="shared" si="37"/>
        <v>1.3294000000000001</v>
      </c>
      <c r="AK336" s="16">
        <f t="shared" si="38"/>
        <v>-4.1785999999999994</v>
      </c>
      <c r="AL336" s="52">
        <v>0.9</v>
      </c>
      <c r="AM336" s="17">
        <f t="shared" si="39"/>
        <v>1.0866</v>
      </c>
      <c r="AN336" s="17">
        <f t="shared" si="40"/>
        <v>1.3294000000000001</v>
      </c>
      <c r="AO336" s="17">
        <f t="shared" si="41"/>
        <v>-4.1785999999999994</v>
      </c>
    </row>
    <row r="337" spans="1:41">
      <c r="A337" s="49">
        <v>20071031</v>
      </c>
      <c r="B337" s="49">
        <v>0.3039</v>
      </c>
      <c r="C337" s="49">
        <v>0.32190000000000002</v>
      </c>
      <c r="D337" s="49">
        <v>1.6999999999999999E-3</v>
      </c>
      <c r="E337" s="49">
        <v>2.01E-2</v>
      </c>
      <c r="F337" s="49">
        <v>0.61</v>
      </c>
      <c r="G337" s="49">
        <v>0.62749999999999995</v>
      </c>
      <c r="H337" s="49">
        <v>4.9700000000000001E-2</v>
      </c>
      <c r="I337" s="49">
        <v>6.8699999999999997E-2</v>
      </c>
      <c r="J337" s="49">
        <v>-7.5999999999999998E-2</v>
      </c>
      <c r="K337" s="49">
        <v>-5.5199999999999999E-2</v>
      </c>
      <c r="L337" s="49">
        <v>0.16339999999999999</v>
      </c>
      <c r="M337" s="49">
        <v>0.18090000000000001</v>
      </c>
      <c r="N337" s="49">
        <v>1.8984000000000001</v>
      </c>
      <c r="O337" s="49">
        <v>1.9092</v>
      </c>
      <c r="P337" s="49">
        <v>0.34239999999999998</v>
      </c>
      <c r="Q337" s="49">
        <v>0.35020000000000001</v>
      </c>
      <c r="R337" s="49">
        <v>5.2008000000000001</v>
      </c>
      <c r="S337" s="49">
        <v>5.2183000000000002</v>
      </c>
      <c r="T337" s="49">
        <v>-0.29099999999999998</v>
      </c>
      <c r="U337" s="49">
        <v>-0.27160000000000001</v>
      </c>
      <c r="V337" s="49">
        <v>-5.3999999999999999E-2</v>
      </c>
      <c r="W337" s="49">
        <v>-2.75E-2</v>
      </c>
      <c r="X337" s="49">
        <v>-0.46350000000000002</v>
      </c>
      <c r="Y337" s="49">
        <v>-0.44919999999999999</v>
      </c>
      <c r="Z337" s="49">
        <v>0.54610000000000003</v>
      </c>
      <c r="AA337" s="49">
        <v>0.56459999999999999</v>
      </c>
      <c r="AB337" s="49">
        <v>-0.1004</v>
      </c>
      <c r="AC337" s="49">
        <v>-8.5900000000000004E-2</v>
      </c>
      <c r="AD337" s="49">
        <v>1.3483000000000001</v>
      </c>
      <c r="AE337" s="49">
        <v>1.3715999999999999</v>
      </c>
      <c r="AH337" s="16">
        <f t="shared" si="35"/>
        <v>20071031</v>
      </c>
      <c r="AI337" s="16">
        <f t="shared" si="36"/>
        <v>0.32190000000000002</v>
      </c>
      <c r="AJ337" s="16">
        <f t="shared" si="37"/>
        <v>-5.1042000000000005</v>
      </c>
      <c r="AK337" s="16">
        <f t="shared" si="38"/>
        <v>5.4428000000000001</v>
      </c>
      <c r="AL337" s="52">
        <v>0.63500000000000001</v>
      </c>
      <c r="AM337" s="17">
        <f t="shared" si="39"/>
        <v>0.26898333333333335</v>
      </c>
      <c r="AN337" s="17">
        <f t="shared" si="40"/>
        <v>-5.1042000000000005</v>
      </c>
      <c r="AO337" s="17">
        <f t="shared" si="41"/>
        <v>5.4428000000000001</v>
      </c>
    </row>
    <row r="338" spans="1:41">
      <c r="A338" s="49">
        <v>20071130</v>
      </c>
      <c r="B338" s="49">
        <v>-5.5172999999999996</v>
      </c>
      <c r="C338" s="49">
        <v>-5.4908999999999999</v>
      </c>
      <c r="D338" s="49">
        <v>-5.6425999999999998</v>
      </c>
      <c r="E338" s="49">
        <v>-5.6169000000000002</v>
      </c>
      <c r="F338" s="49">
        <v>-5.391</v>
      </c>
      <c r="G338" s="49">
        <v>-5.3639000000000001</v>
      </c>
      <c r="H338" s="49">
        <v>-5.3562000000000003</v>
      </c>
      <c r="I338" s="49">
        <v>-5.3310000000000004</v>
      </c>
      <c r="J338" s="49">
        <v>-5.4672000000000001</v>
      </c>
      <c r="K338" s="49">
        <v>-5.444</v>
      </c>
      <c r="L338" s="49">
        <v>-5.2560000000000002</v>
      </c>
      <c r="M338" s="49">
        <v>-5.2290000000000001</v>
      </c>
      <c r="N338" s="49">
        <v>-6.5117000000000003</v>
      </c>
      <c r="O338" s="49">
        <v>-6.4779999999999998</v>
      </c>
      <c r="P338" s="49">
        <v>-6.4086999999999996</v>
      </c>
      <c r="Q338" s="49">
        <v>-6.3719000000000001</v>
      </c>
      <c r="R338" s="49">
        <v>-6.7192999999999996</v>
      </c>
      <c r="S338" s="49">
        <v>-6.6917</v>
      </c>
      <c r="T338" s="49">
        <v>-5.1679000000000004</v>
      </c>
      <c r="U338" s="49">
        <v>-5.1481000000000003</v>
      </c>
      <c r="V338" s="49">
        <v>-4.9432999999999998</v>
      </c>
      <c r="W338" s="49">
        <v>-4.9236000000000004</v>
      </c>
      <c r="X338" s="49">
        <v>-5.3320999999999996</v>
      </c>
      <c r="Y338" s="49">
        <v>-5.3121</v>
      </c>
      <c r="Z338" s="49">
        <v>-5.6280999999999999</v>
      </c>
      <c r="AA338" s="49">
        <v>-5.5952000000000002</v>
      </c>
      <c r="AB338" s="49">
        <v>-6.0476999999999999</v>
      </c>
      <c r="AC338" s="49">
        <v>-6.0206999999999997</v>
      </c>
      <c r="AD338" s="49">
        <v>-5.1151</v>
      </c>
      <c r="AE338" s="49">
        <v>-5.0749000000000004</v>
      </c>
      <c r="AH338" s="16">
        <f t="shared" si="35"/>
        <v>20071130</v>
      </c>
      <c r="AI338" s="16">
        <f t="shared" si="36"/>
        <v>-5.4908999999999999</v>
      </c>
      <c r="AJ338" s="16">
        <f t="shared" si="37"/>
        <v>0.1048</v>
      </c>
      <c r="AK338" s="16">
        <f t="shared" si="38"/>
        <v>-2.3906000000000009</v>
      </c>
      <c r="AL338" s="52">
        <v>0.60199999999999998</v>
      </c>
      <c r="AM338" s="17">
        <f t="shared" si="39"/>
        <v>-5.5410666666666666</v>
      </c>
      <c r="AN338" s="17">
        <f t="shared" si="40"/>
        <v>0.1048</v>
      </c>
      <c r="AO338" s="17">
        <f t="shared" si="41"/>
        <v>-2.3906000000000009</v>
      </c>
    </row>
    <row r="339" spans="1:41">
      <c r="A339" s="49">
        <v>20071231</v>
      </c>
      <c r="B339" s="49">
        <v>-3.5655000000000001</v>
      </c>
      <c r="C339" s="49">
        <v>-3.5181</v>
      </c>
      <c r="D339" s="49">
        <v>-2.8437000000000001</v>
      </c>
      <c r="E339" s="49">
        <v>-2.8147000000000002</v>
      </c>
      <c r="F339" s="49">
        <v>-4.3337000000000003</v>
      </c>
      <c r="G339" s="49">
        <v>-4.2664999999999997</v>
      </c>
      <c r="H339" s="49">
        <v>-3.3391000000000002</v>
      </c>
      <c r="I339" s="49">
        <v>-3.2934000000000001</v>
      </c>
      <c r="J339" s="49">
        <v>-2.544</v>
      </c>
      <c r="K339" s="49">
        <v>-2.5215000000000001</v>
      </c>
      <c r="L339" s="49">
        <v>-4.0999999999999996</v>
      </c>
      <c r="M339" s="49">
        <v>-4.0320999999999998</v>
      </c>
      <c r="N339" s="49">
        <v>-4.7610000000000001</v>
      </c>
      <c r="O339" s="49">
        <v>-4.7039999999999997</v>
      </c>
      <c r="P339" s="49">
        <v>-4.0214999999999996</v>
      </c>
      <c r="Q339" s="49">
        <v>-3.9670000000000001</v>
      </c>
      <c r="R339" s="49">
        <v>-6.17</v>
      </c>
      <c r="S339" s="49">
        <v>-6.1082000000000001</v>
      </c>
      <c r="T339" s="49">
        <v>-3.3220999999999998</v>
      </c>
      <c r="U339" s="49">
        <v>-3.2783000000000002</v>
      </c>
      <c r="V339" s="49">
        <v>-1.7607999999999999</v>
      </c>
      <c r="W339" s="49">
        <v>-1.7499</v>
      </c>
      <c r="X339" s="49">
        <v>-4.7003000000000004</v>
      </c>
      <c r="Y339" s="49">
        <v>-4.6273999999999997</v>
      </c>
      <c r="Z339" s="49">
        <v>-3.3689</v>
      </c>
      <c r="AA339" s="49">
        <v>-3.3201999999999998</v>
      </c>
      <c r="AB339" s="49">
        <v>-3.6387</v>
      </c>
      <c r="AC339" s="49">
        <v>-3.6</v>
      </c>
      <c r="AD339" s="49">
        <v>-3.0762</v>
      </c>
      <c r="AE339" s="49">
        <v>-3.0167999999999999</v>
      </c>
      <c r="AH339" s="16">
        <f t="shared" si="35"/>
        <v>20071231</v>
      </c>
      <c r="AI339" s="16">
        <f t="shared" si="36"/>
        <v>-3.5181</v>
      </c>
      <c r="AJ339" s="16">
        <f t="shared" si="37"/>
        <v>3.6517999999999997</v>
      </c>
      <c r="AK339" s="16">
        <f t="shared" si="38"/>
        <v>-3.5216000000000012</v>
      </c>
      <c r="AL339" s="52">
        <v>0.68100000000000005</v>
      </c>
      <c r="AM339" s="17">
        <f t="shared" si="39"/>
        <v>-3.5748500000000001</v>
      </c>
      <c r="AN339" s="17">
        <f t="shared" si="40"/>
        <v>3.6517999999999997</v>
      </c>
      <c r="AO339" s="17">
        <f t="shared" si="41"/>
        <v>-3.5216000000000012</v>
      </c>
    </row>
    <row r="340" spans="1:41">
      <c r="A340" s="49">
        <v>20080131</v>
      </c>
      <c r="B340" s="49">
        <v>-9.1172000000000004</v>
      </c>
      <c r="C340" s="49">
        <v>-9.1037999999999997</v>
      </c>
      <c r="D340" s="49">
        <v>-7.6497999999999999</v>
      </c>
      <c r="E340" s="49">
        <v>-7.6265999999999998</v>
      </c>
      <c r="F340" s="49">
        <v>-10.7035</v>
      </c>
      <c r="G340" s="49">
        <v>-10.7006</v>
      </c>
      <c r="H340" s="49">
        <v>-9.1976999999999993</v>
      </c>
      <c r="I340" s="49">
        <v>-9.1838999999999995</v>
      </c>
      <c r="J340" s="49">
        <v>-7.6818</v>
      </c>
      <c r="K340" s="49">
        <v>-7.6555</v>
      </c>
      <c r="L340" s="49">
        <v>-10.6717</v>
      </c>
      <c r="M340" s="49">
        <v>-10.6701</v>
      </c>
      <c r="N340" s="49">
        <v>-8.6859999999999999</v>
      </c>
      <c r="O340" s="49">
        <v>-8.6746999999999996</v>
      </c>
      <c r="P340" s="49">
        <v>-7.5209000000000001</v>
      </c>
      <c r="Q340" s="49">
        <v>-7.5103</v>
      </c>
      <c r="R340" s="49">
        <v>-10.958</v>
      </c>
      <c r="S340" s="49">
        <v>-10.9452</v>
      </c>
      <c r="T340" s="49">
        <v>-8.7787000000000006</v>
      </c>
      <c r="U340" s="49">
        <v>-8.7608999999999995</v>
      </c>
      <c r="V340" s="49">
        <v>-7.5934999999999997</v>
      </c>
      <c r="W340" s="49">
        <v>-7.5563000000000002</v>
      </c>
      <c r="X340" s="49">
        <v>-9.8571000000000009</v>
      </c>
      <c r="Y340" s="49">
        <v>-9.8571000000000009</v>
      </c>
      <c r="Z340" s="49">
        <v>-9.85</v>
      </c>
      <c r="AA340" s="49">
        <v>-9.8423999999999996</v>
      </c>
      <c r="AB340" s="49">
        <v>-7.8091999999999997</v>
      </c>
      <c r="AC340" s="49">
        <v>-7.7987000000000002</v>
      </c>
      <c r="AD340" s="49">
        <v>-12.050800000000001</v>
      </c>
      <c r="AE340" s="49">
        <v>-12.0464</v>
      </c>
      <c r="AH340" s="16">
        <f t="shared" si="35"/>
        <v>20080131</v>
      </c>
      <c r="AI340" s="16">
        <f t="shared" si="36"/>
        <v>-9.1037999999999997</v>
      </c>
      <c r="AJ340" s="16">
        <f t="shared" si="37"/>
        <v>6.4494999999999996</v>
      </c>
      <c r="AK340" s="16">
        <f t="shared" si="38"/>
        <v>-0.12989999999999924</v>
      </c>
      <c r="AL340" s="52">
        <v>0.61399999999999999</v>
      </c>
      <c r="AM340" s="17">
        <f t="shared" si="39"/>
        <v>-9.1549666666666667</v>
      </c>
      <c r="AN340" s="17">
        <f t="shared" si="40"/>
        <v>6.4494999999999996</v>
      </c>
      <c r="AO340" s="17">
        <f t="shared" si="41"/>
        <v>-0.12989999999999924</v>
      </c>
    </row>
    <row r="341" spans="1:41">
      <c r="A341" s="49">
        <v>20080229</v>
      </c>
      <c r="B341" s="49">
        <v>-1.4807999999999999</v>
      </c>
      <c r="C341" s="49">
        <v>-1.4464999999999999</v>
      </c>
      <c r="D341" s="49">
        <v>-2.331</v>
      </c>
      <c r="E341" s="49">
        <v>-2.2856999999999998</v>
      </c>
      <c r="F341" s="49">
        <v>-0.53129999999999999</v>
      </c>
      <c r="G341" s="49">
        <v>-0.50939999999999996</v>
      </c>
      <c r="H341" s="49">
        <v>-1.5405</v>
      </c>
      <c r="I341" s="49">
        <v>-1.5145999999999999</v>
      </c>
      <c r="J341" s="49">
        <v>-2.4323000000000001</v>
      </c>
      <c r="K341" s="49">
        <v>-2.3942000000000001</v>
      </c>
      <c r="L341" s="49">
        <v>-0.64529999999999998</v>
      </c>
      <c r="M341" s="49">
        <v>-0.63160000000000005</v>
      </c>
      <c r="N341" s="49">
        <v>-1.1626000000000001</v>
      </c>
      <c r="O341" s="49">
        <v>-1.0828</v>
      </c>
      <c r="P341" s="49">
        <v>-1.9274</v>
      </c>
      <c r="Q341" s="49">
        <v>-1.8525</v>
      </c>
      <c r="R341" s="49">
        <v>0.38479999999999998</v>
      </c>
      <c r="S341" s="49">
        <v>0.47420000000000001</v>
      </c>
      <c r="T341" s="49">
        <v>-1.3527</v>
      </c>
      <c r="U341" s="49">
        <v>-1.33</v>
      </c>
      <c r="V341" s="49">
        <v>-3.0005000000000002</v>
      </c>
      <c r="W341" s="49">
        <v>-2.9590999999999998</v>
      </c>
      <c r="X341" s="49">
        <v>0.1845</v>
      </c>
      <c r="Y341" s="49">
        <v>0.18970000000000001</v>
      </c>
      <c r="Z341" s="49">
        <v>-1.8367</v>
      </c>
      <c r="AA341" s="49">
        <v>-1.8058000000000001</v>
      </c>
      <c r="AB341" s="49">
        <v>-1.6165</v>
      </c>
      <c r="AC341" s="49">
        <v>-1.5834999999999999</v>
      </c>
      <c r="AD341" s="49">
        <v>-2.0853000000000002</v>
      </c>
      <c r="AE341" s="49">
        <v>-2.0567000000000002</v>
      </c>
      <c r="AH341" s="16">
        <f t="shared" si="35"/>
        <v>20080229</v>
      </c>
      <c r="AI341" s="16">
        <f t="shared" si="36"/>
        <v>-1.4464999999999999</v>
      </c>
      <c r="AJ341" s="16">
        <f t="shared" si="37"/>
        <v>-4.0892999999999997</v>
      </c>
      <c r="AK341" s="16">
        <f t="shared" si="38"/>
        <v>1.6475000000000002</v>
      </c>
      <c r="AL341" s="52">
        <v>0.55500000000000005</v>
      </c>
      <c r="AM341" s="17">
        <f t="shared" si="39"/>
        <v>-1.4927499999999998</v>
      </c>
      <c r="AN341" s="17">
        <f t="shared" si="40"/>
        <v>-4.0892999999999997</v>
      </c>
      <c r="AO341" s="17">
        <f t="shared" si="41"/>
        <v>1.6475000000000002</v>
      </c>
    </row>
    <row r="342" spans="1:41">
      <c r="A342" s="49">
        <v>20080331</v>
      </c>
      <c r="B342" s="49">
        <v>-8.3686000000000007</v>
      </c>
      <c r="C342" s="49">
        <v>-7.5111999999999997</v>
      </c>
      <c r="D342" s="49">
        <v>-8.3117999999999999</v>
      </c>
      <c r="E342" s="49">
        <v>-7.4222999999999999</v>
      </c>
      <c r="F342" s="49">
        <v>-8.43</v>
      </c>
      <c r="G342" s="49">
        <v>-7.6082000000000001</v>
      </c>
      <c r="H342" s="49">
        <v>-9.0154999999999994</v>
      </c>
      <c r="I342" s="49">
        <v>-8.1584000000000003</v>
      </c>
      <c r="J342" s="49">
        <v>-9.3443000000000005</v>
      </c>
      <c r="K342" s="49">
        <v>-8.4717000000000002</v>
      </c>
      <c r="L342" s="49">
        <v>-8.6923999999999992</v>
      </c>
      <c r="M342" s="49">
        <v>-7.8507999999999996</v>
      </c>
      <c r="N342" s="49">
        <v>-4.9226999999999999</v>
      </c>
      <c r="O342" s="49">
        <v>-4.0646000000000004</v>
      </c>
      <c r="P342" s="49">
        <v>-4.2163000000000004</v>
      </c>
      <c r="Q342" s="49">
        <v>-3.2587999999999999</v>
      </c>
      <c r="R342" s="49">
        <v>-6.3144</v>
      </c>
      <c r="S342" s="49">
        <v>-5.6539999999999999</v>
      </c>
      <c r="T342" s="49">
        <v>-10.006600000000001</v>
      </c>
      <c r="U342" s="49">
        <v>-9.1174999999999997</v>
      </c>
      <c r="V342" s="49">
        <v>-10.6539</v>
      </c>
      <c r="W342" s="49">
        <v>-9.7911000000000001</v>
      </c>
      <c r="X342" s="49">
        <v>-9.4220000000000006</v>
      </c>
      <c r="Y342" s="49">
        <v>-8.5088000000000008</v>
      </c>
      <c r="Z342" s="49">
        <v>-7.452</v>
      </c>
      <c r="AA342" s="49">
        <v>-6.6460999999999997</v>
      </c>
      <c r="AB342" s="49">
        <v>-7.4907000000000004</v>
      </c>
      <c r="AC342" s="49">
        <v>-6.6041999999999996</v>
      </c>
      <c r="AD342" s="49">
        <v>-7.4084000000000003</v>
      </c>
      <c r="AE342" s="49">
        <v>-6.694</v>
      </c>
      <c r="AH342" s="16">
        <f t="shared" si="35"/>
        <v>20080331</v>
      </c>
      <c r="AI342" s="16">
        <f t="shared" si="36"/>
        <v>-7.5111999999999997</v>
      </c>
      <c r="AJ342" s="16">
        <f t="shared" si="37"/>
        <v>1.7742999999999993</v>
      </c>
      <c r="AK342" s="16">
        <f t="shared" si="38"/>
        <v>7.4096999999999973</v>
      </c>
      <c r="AL342" s="52">
        <v>0.79</v>
      </c>
      <c r="AM342" s="17">
        <f t="shared" si="39"/>
        <v>-7.5770333333333326</v>
      </c>
      <c r="AN342" s="17">
        <f t="shared" si="40"/>
        <v>1.7742999999999993</v>
      </c>
      <c r="AO342" s="17">
        <f t="shared" si="41"/>
        <v>7.4096999999999973</v>
      </c>
    </row>
    <row r="343" spans="1:41">
      <c r="A343" s="49">
        <v>20080430</v>
      </c>
      <c r="B343" s="49">
        <v>11.7324</v>
      </c>
      <c r="C343" s="49">
        <v>11.738099999999999</v>
      </c>
      <c r="D343" s="49">
        <v>12.4473</v>
      </c>
      <c r="E343" s="49">
        <v>12.452500000000001</v>
      </c>
      <c r="F343" s="49">
        <v>10.948499999999999</v>
      </c>
      <c r="G343" s="49">
        <v>10.954700000000001</v>
      </c>
      <c r="H343" s="49">
        <v>12.729699999999999</v>
      </c>
      <c r="I343" s="49">
        <v>12.7349</v>
      </c>
      <c r="J343" s="49">
        <v>13.929600000000001</v>
      </c>
      <c r="K343" s="49">
        <v>13.934200000000001</v>
      </c>
      <c r="L343" s="49">
        <v>11.5578</v>
      </c>
      <c r="M343" s="49">
        <v>11.563599999999999</v>
      </c>
      <c r="N343" s="49">
        <v>6.6159999999999997</v>
      </c>
      <c r="O343" s="49">
        <v>6.6243999999999996</v>
      </c>
      <c r="P343" s="49">
        <v>6.8498999999999999</v>
      </c>
      <c r="Q343" s="49">
        <v>6.8575999999999997</v>
      </c>
      <c r="R343" s="49">
        <v>6.1382000000000003</v>
      </c>
      <c r="S343" s="49">
        <v>6.1479999999999997</v>
      </c>
      <c r="T343" s="49">
        <v>15.1815</v>
      </c>
      <c r="U343" s="49">
        <v>15.1875</v>
      </c>
      <c r="V343" s="49">
        <v>16.739699999999999</v>
      </c>
      <c r="W343" s="49">
        <v>16.748000000000001</v>
      </c>
      <c r="X343" s="49">
        <v>13.7933</v>
      </c>
      <c r="Y343" s="49">
        <v>13.7974</v>
      </c>
      <c r="Z343" s="49">
        <v>8.9748000000000001</v>
      </c>
      <c r="AA343" s="49">
        <v>8.9786999999999999</v>
      </c>
      <c r="AB343" s="49">
        <v>10.0985</v>
      </c>
      <c r="AC343" s="49">
        <v>10.098000000000001</v>
      </c>
      <c r="AD343" s="49">
        <v>7.7115</v>
      </c>
      <c r="AE343" s="49">
        <v>7.7202000000000002</v>
      </c>
      <c r="AH343" s="16">
        <f t="shared" si="35"/>
        <v>20080430</v>
      </c>
      <c r="AI343" s="16">
        <f t="shared" si="36"/>
        <v>11.738099999999999</v>
      </c>
      <c r="AJ343" s="16">
        <f t="shared" si="37"/>
        <v>3.0802000000000014</v>
      </c>
      <c r="AK343" s="16">
        <f t="shared" si="38"/>
        <v>-12.492199999999999</v>
      </c>
      <c r="AL343" s="52">
        <v>0.621</v>
      </c>
      <c r="AM343" s="17">
        <f t="shared" si="39"/>
        <v>11.686349999999999</v>
      </c>
      <c r="AN343" s="17">
        <f t="shared" si="40"/>
        <v>3.0802000000000014</v>
      </c>
      <c r="AO343" s="17">
        <f t="shared" si="41"/>
        <v>-12.492199999999999</v>
      </c>
    </row>
    <row r="344" spans="1:41">
      <c r="AL344" s="52"/>
    </row>
    <row r="345" spans="1:41">
      <c r="AK345" s="20" t="s">
        <v>92</v>
      </c>
      <c r="AL345" s="20" t="s">
        <v>106</v>
      </c>
      <c r="AM345" s="21">
        <f>+AVERAGE(AM4:AM297)</f>
        <v>0.23635060941043093</v>
      </c>
      <c r="AN345" s="21">
        <f>+AVERAGE(AN4:AN297)</f>
        <v>0.86728639455782319</v>
      </c>
      <c r="AO345" s="21">
        <f>+AVERAGE(AO4:AO297)</f>
        <v>0.12618163265306143</v>
      </c>
    </row>
    <row r="346" spans="1:41">
      <c r="AL346" s="20" t="s">
        <v>93</v>
      </c>
      <c r="AM346" s="21">
        <f>AVERAGE(AM262:AM297)</f>
        <v>1.5301388888888903E-2</v>
      </c>
      <c r="AN346" s="21">
        <f>AVERAGE(AN262:AN297)</f>
        <v>1.3216944444444443</v>
      </c>
      <c r="AO346" s="21">
        <f>AVERAGE(AO262:AO297)</f>
        <v>1.3236444444444446</v>
      </c>
    </row>
    <row r="347" spans="1:41">
      <c r="AM347" s="22" t="s">
        <v>89</v>
      </c>
      <c r="AN347" s="22" t="s">
        <v>90</v>
      </c>
      <c r="AO347" s="22" t="s">
        <v>91</v>
      </c>
    </row>
    <row r="348" spans="1:41">
      <c r="AK348" s="20" t="s">
        <v>96</v>
      </c>
      <c r="AM348" s="21">
        <f>+AM345*12/100</f>
        <v>2.8362073129251712E-2</v>
      </c>
      <c r="AN348" s="21">
        <f>+AN345*12/100</f>
        <v>0.10407436734693878</v>
      </c>
      <c r="AO348" s="21">
        <f>+AO345*12/100</f>
        <v>1.5141795918367371E-2</v>
      </c>
    </row>
  </sheetData>
  <phoneticPr fontId="2"/>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AQ86"/>
  <sheetViews>
    <sheetView tabSelected="1" topLeftCell="H7" workbookViewId="0">
      <selection activeCell="AD34" sqref="AD34"/>
    </sheetView>
  </sheetViews>
  <sheetFormatPr defaultRowHeight="12"/>
  <cols>
    <col min="1" max="1" width="6.7109375" bestFit="1" customWidth="1"/>
    <col min="2" max="2" width="27" bestFit="1" customWidth="1"/>
    <col min="3" max="3" width="12.85546875" bestFit="1" customWidth="1"/>
    <col min="4" max="4" width="15.28515625" bestFit="1" customWidth="1"/>
    <col min="18" max="18" width="9" customWidth="1"/>
    <col min="19" max="19" width="12.7109375" bestFit="1" customWidth="1"/>
    <col min="20" max="20" width="13.85546875" bestFit="1" customWidth="1"/>
    <col min="21" max="21" width="9" customWidth="1"/>
    <col min="22" max="23" width="10.140625" bestFit="1" customWidth="1"/>
    <col min="24" max="24" width="12" customWidth="1"/>
    <col min="25" max="25" width="10.85546875" customWidth="1"/>
    <col min="26" max="26" width="10.140625" bestFit="1" customWidth="1"/>
    <col min="28" max="34" width="9.140625" style="6"/>
    <col min="35" max="35" width="9.42578125" style="6" bestFit="1" customWidth="1"/>
    <col min="36" max="39" width="9.140625" style="6"/>
  </cols>
  <sheetData>
    <row r="2" spans="1:43">
      <c r="S2" s="61"/>
      <c r="T2" s="62"/>
      <c r="U2" s="61"/>
    </row>
    <row r="3" spans="1:43">
      <c r="S3" s="61"/>
      <c r="T3" s="62"/>
      <c r="U3" s="61"/>
    </row>
    <row r="4" spans="1:43">
      <c r="S4" s="61"/>
      <c r="T4" s="63"/>
      <c r="U4" s="61"/>
    </row>
    <row r="5" spans="1:43">
      <c r="Z5" s="1"/>
      <c r="AA5" s="1"/>
      <c r="AB5" s="7"/>
      <c r="AC5" s="7"/>
      <c r="AD5" s="7"/>
    </row>
    <row r="6" spans="1:43">
      <c r="Z6" s="2"/>
    </row>
    <row r="8" spans="1:43">
      <c r="A8" s="23"/>
      <c r="B8" s="24"/>
      <c r="C8" s="66" t="s">
        <v>118</v>
      </c>
      <c r="D8" s="98" t="s">
        <v>109</v>
      </c>
      <c r="E8" s="23" t="s">
        <v>51</v>
      </c>
      <c r="F8" s="24"/>
      <c r="G8" s="25"/>
      <c r="H8" s="23" t="s">
        <v>53</v>
      </c>
      <c r="I8" s="24"/>
      <c r="J8" s="25"/>
      <c r="K8" s="23" t="s">
        <v>54</v>
      </c>
      <c r="L8" s="24"/>
      <c r="M8" s="25"/>
      <c r="N8" s="23" t="s">
        <v>55</v>
      </c>
      <c r="O8" s="25"/>
      <c r="P8" s="23" t="s">
        <v>56</v>
      </c>
      <c r="Q8" s="24"/>
      <c r="R8" s="25"/>
      <c r="S8" s="23" t="s">
        <v>58</v>
      </c>
      <c r="T8" s="74" t="s">
        <v>113</v>
      </c>
      <c r="U8" s="75" t="s">
        <v>36</v>
      </c>
      <c r="V8" s="76"/>
      <c r="W8" s="74" t="s">
        <v>35</v>
      </c>
      <c r="X8" s="75" t="s">
        <v>114</v>
      </c>
      <c r="Y8" s="76"/>
      <c r="Z8" s="75" t="s">
        <v>117</v>
      </c>
      <c r="AA8" s="25"/>
      <c r="AC8" s="8"/>
    </row>
    <row r="9" spans="1:43">
      <c r="A9" s="26"/>
      <c r="B9" s="27"/>
      <c r="C9" s="67"/>
      <c r="D9" s="28"/>
      <c r="E9" s="26" t="s">
        <v>52</v>
      </c>
      <c r="F9" s="27"/>
      <c r="G9" s="28"/>
      <c r="H9" s="26" t="s">
        <v>30</v>
      </c>
      <c r="I9" s="27"/>
      <c r="J9" s="28"/>
      <c r="K9" s="26" t="s">
        <v>31</v>
      </c>
      <c r="L9" s="27"/>
      <c r="M9" s="28"/>
      <c r="N9" s="26" t="s">
        <v>26</v>
      </c>
      <c r="O9" s="28"/>
      <c r="P9" s="26"/>
      <c r="Q9" s="27"/>
      <c r="R9" s="28"/>
      <c r="S9" s="26" t="s">
        <v>57</v>
      </c>
      <c r="T9" s="42"/>
      <c r="U9" s="38"/>
      <c r="V9" s="39"/>
      <c r="W9" s="42"/>
      <c r="X9" s="38"/>
      <c r="Y9" s="39"/>
      <c r="Z9" s="38"/>
      <c r="AA9" s="28"/>
      <c r="AC9" s="7"/>
      <c r="AD9" s="9"/>
      <c r="AI9" s="10"/>
    </row>
    <row r="10" spans="1:43">
      <c r="A10" s="26"/>
      <c r="B10" s="27"/>
      <c r="C10" s="68"/>
      <c r="D10" s="99"/>
      <c r="E10" s="26" t="s">
        <v>27</v>
      </c>
      <c r="F10" s="27" t="s">
        <v>28</v>
      </c>
      <c r="G10" s="28" t="s">
        <v>29</v>
      </c>
      <c r="H10" s="26" t="s">
        <v>27</v>
      </c>
      <c r="I10" s="27" t="s">
        <v>28</v>
      </c>
      <c r="J10" s="28" t="s">
        <v>29</v>
      </c>
      <c r="K10" s="26" t="s">
        <v>27</v>
      </c>
      <c r="L10" s="27" t="s">
        <v>28</v>
      </c>
      <c r="M10" s="28" t="s">
        <v>29</v>
      </c>
      <c r="N10" s="26" t="s">
        <v>28</v>
      </c>
      <c r="O10" s="28" t="s">
        <v>29</v>
      </c>
      <c r="P10" s="26" t="s">
        <v>27</v>
      </c>
      <c r="Q10" s="27" t="s">
        <v>28</v>
      </c>
      <c r="R10" s="28" t="s">
        <v>29</v>
      </c>
      <c r="S10" s="26"/>
      <c r="T10" s="42"/>
      <c r="U10" s="38" t="s">
        <v>33</v>
      </c>
      <c r="V10" s="39" t="s">
        <v>34</v>
      </c>
      <c r="W10" s="42"/>
      <c r="X10" s="51" t="s">
        <v>107</v>
      </c>
      <c r="Y10" s="39" t="s">
        <v>108</v>
      </c>
      <c r="Z10" s="38" t="s">
        <v>115</v>
      </c>
      <c r="AA10" s="28" t="s">
        <v>116</v>
      </c>
      <c r="AC10" s="7"/>
      <c r="AD10" s="9"/>
    </row>
    <row r="11" spans="1:43">
      <c r="A11" s="77"/>
      <c r="B11" s="78"/>
      <c r="C11" s="69"/>
      <c r="D11" s="35"/>
      <c r="E11" s="37"/>
      <c r="F11" s="36"/>
      <c r="G11" s="35"/>
      <c r="H11" s="37"/>
      <c r="I11" s="36"/>
      <c r="J11" s="35"/>
      <c r="K11" s="37"/>
      <c r="L11" s="36"/>
      <c r="M11" s="35"/>
      <c r="N11" s="37"/>
      <c r="O11" s="35"/>
      <c r="P11" s="37"/>
      <c r="Q11" s="36"/>
      <c r="R11" s="35"/>
      <c r="S11" s="55"/>
      <c r="T11" s="57"/>
      <c r="U11" s="41"/>
      <c r="V11" s="40"/>
      <c r="W11" s="43"/>
      <c r="X11" s="44"/>
      <c r="Y11" s="40"/>
      <c r="Z11" s="41"/>
      <c r="AA11" s="79"/>
      <c r="AB11" s="11"/>
      <c r="AC11" s="7"/>
      <c r="AD11" s="9"/>
    </row>
    <row r="12" spans="1:43">
      <c r="A12" s="80">
        <v>4151</v>
      </c>
      <c r="B12" s="65" t="s">
        <v>0</v>
      </c>
      <c r="C12" s="72">
        <v>0.70548503378680116</v>
      </c>
      <c r="D12" s="81">
        <v>434.24400000000003</v>
      </c>
      <c r="E12" s="29">
        <v>518.23900000000003</v>
      </c>
      <c r="F12" s="30">
        <f t="shared" ref="F12:G27" si="0">+E12+I12-N12</f>
        <v>545.28179161024684</v>
      </c>
      <c r="G12" s="31">
        <f t="shared" si="0"/>
        <v>574.62743599451005</v>
      </c>
      <c r="H12" s="29">
        <v>23.067676237322793</v>
      </c>
      <c r="I12" s="30">
        <v>34.542791610246773</v>
      </c>
      <c r="J12" s="31">
        <v>36.845644384263224</v>
      </c>
      <c r="K12" s="29">
        <v>1.6166026473595487</v>
      </c>
      <c r="L12" s="30">
        <v>62.177024898444195</v>
      </c>
      <c r="M12" s="31">
        <v>66.782730446477089</v>
      </c>
      <c r="N12" s="29">
        <v>7.5</v>
      </c>
      <c r="O12" s="31">
        <v>7.5</v>
      </c>
      <c r="P12" s="32">
        <f t="shared" ref="P12:R46" si="1">+H12/E12</f>
        <v>4.4511656276974121E-2</v>
      </c>
      <c r="Q12" s="33">
        <f t="shared" si="1"/>
        <v>6.3348514734445888E-2</v>
      </c>
      <c r="R12" s="34">
        <f t="shared" si="1"/>
        <v>6.4120927885203252E-2</v>
      </c>
      <c r="S12" s="56">
        <v>62.589503258914824</v>
      </c>
      <c r="T12" s="58">
        <v>0.05</v>
      </c>
      <c r="U12" s="47"/>
      <c r="V12" s="47"/>
      <c r="W12" s="54">
        <v>787</v>
      </c>
      <c r="X12" s="45" t="e">
        <f t="shared" ref="X12:Y46" si="2">U12/V12</f>
        <v>#DIV/0!</v>
      </c>
      <c r="Y12" s="46">
        <f t="shared" si="2"/>
        <v>0</v>
      </c>
      <c r="Z12" s="45">
        <f t="shared" ref="Z12:Z46" si="3">+(G12+F12)/W12/2</f>
        <v>0.71150522719488996</v>
      </c>
      <c r="AA12" s="82">
        <f t="shared" ref="AA12:AA46" si="4">+(I12+J12)/W12/2</f>
        <v>4.5354787798290976E-2</v>
      </c>
      <c r="AB12" s="15"/>
      <c r="AC12" s="11"/>
      <c r="AD12" s="12"/>
      <c r="AE12" s="13"/>
      <c r="AF12" s="14"/>
      <c r="AG12" s="15"/>
      <c r="AH12" s="15"/>
      <c r="AI12" s="15"/>
      <c r="AK12" s="14"/>
      <c r="AL12" s="14"/>
      <c r="AM12" s="14"/>
      <c r="AN12" s="3"/>
      <c r="AO12" s="5"/>
      <c r="AP12" s="5"/>
      <c r="AQ12" s="4"/>
    </row>
    <row r="13" spans="1:43">
      <c r="A13" s="80">
        <v>4501</v>
      </c>
      <c r="B13" s="65" t="s">
        <v>1</v>
      </c>
      <c r="C13" s="72">
        <v>-0.17272492703724054</v>
      </c>
      <c r="D13" s="81">
        <v>439.49900000000002</v>
      </c>
      <c r="E13" s="29">
        <v>1553.1179999999999</v>
      </c>
      <c r="F13" s="30">
        <f t="shared" si="0"/>
        <v>1645.9851737592121</v>
      </c>
      <c r="G13" s="31">
        <f t="shared" si="0"/>
        <v>1716.0991671926442</v>
      </c>
      <c r="H13" s="29">
        <v>98.773831112243712</v>
      </c>
      <c r="I13" s="30">
        <v>122.86717375921219</v>
      </c>
      <c r="J13" s="31">
        <v>100.11399343343216</v>
      </c>
      <c r="K13" s="29">
        <v>-0.38225342947310459</v>
      </c>
      <c r="L13" s="30">
        <v>177.47480654108426</v>
      </c>
      <c r="M13" s="31">
        <v>186.57607867139629</v>
      </c>
      <c r="N13" s="29">
        <v>30</v>
      </c>
      <c r="O13" s="31">
        <v>30</v>
      </c>
      <c r="P13" s="32">
        <f t="shared" si="1"/>
        <v>6.3597119544196723E-2</v>
      </c>
      <c r="Q13" s="33">
        <f t="shared" si="1"/>
        <v>7.4646585958365499E-2</v>
      </c>
      <c r="R13" s="34">
        <f t="shared" si="1"/>
        <v>5.8338116670266789E-2</v>
      </c>
      <c r="S13" s="56">
        <v>170.47724295727005</v>
      </c>
      <c r="T13" s="58">
        <v>0.05</v>
      </c>
      <c r="U13" s="47"/>
      <c r="V13" s="47"/>
      <c r="W13" s="42">
        <v>2365</v>
      </c>
      <c r="X13" s="45" t="e">
        <f t="shared" si="2"/>
        <v>#DIV/0!</v>
      </c>
      <c r="Y13" s="46">
        <f t="shared" si="2"/>
        <v>0</v>
      </c>
      <c r="Z13" s="45">
        <f t="shared" si="3"/>
        <v>0.7108000720828449</v>
      </c>
      <c r="AA13" s="82">
        <f t="shared" si="4"/>
        <v>4.7141895812398388E-2</v>
      </c>
      <c r="AB13" s="15"/>
      <c r="AC13" s="11"/>
      <c r="AD13" s="12"/>
      <c r="AE13" s="13"/>
      <c r="AF13" s="14"/>
      <c r="AG13" s="15"/>
      <c r="AH13" s="15"/>
      <c r="AI13" s="15"/>
      <c r="AK13" s="14"/>
      <c r="AL13" s="14"/>
      <c r="AM13" s="14"/>
      <c r="AN13" s="3"/>
      <c r="AO13" s="5"/>
      <c r="AP13" s="5"/>
      <c r="AQ13" s="4"/>
    </row>
    <row r="14" spans="1:43">
      <c r="A14" s="80">
        <v>4502</v>
      </c>
      <c r="B14" s="65" t="s">
        <v>2</v>
      </c>
      <c r="C14" s="72">
        <v>0.1663577558863315</v>
      </c>
      <c r="D14" s="81">
        <v>889.27200000000005</v>
      </c>
      <c r="E14" s="29">
        <v>2002.7729999999999</v>
      </c>
      <c r="F14" s="30">
        <f t="shared" si="0"/>
        <v>2243.882446828417</v>
      </c>
      <c r="G14" s="31">
        <f t="shared" si="0"/>
        <v>2488.3654396585071</v>
      </c>
      <c r="H14" s="29">
        <v>320.78374220710873</v>
      </c>
      <c r="I14" s="30">
        <v>326.10944682841694</v>
      </c>
      <c r="J14" s="31">
        <v>329.48299283009021</v>
      </c>
      <c r="K14" s="29">
        <v>0.19004309142759471</v>
      </c>
      <c r="L14" s="30">
        <v>502.65835424931851</v>
      </c>
      <c r="M14" s="31">
        <v>508.280930918774</v>
      </c>
      <c r="N14" s="29">
        <v>85</v>
      </c>
      <c r="O14" s="31">
        <v>85</v>
      </c>
      <c r="P14" s="32">
        <f t="shared" si="1"/>
        <v>0.1601697956818415</v>
      </c>
      <c r="Q14" s="33">
        <f t="shared" si="1"/>
        <v>0.14533267876369887</v>
      </c>
      <c r="R14" s="34">
        <f t="shared" si="1"/>
        <v>0.13240940722730304</v>
      </c>
      <c r="S14" s="56">
        <v>132.11783152173663</v>
      </c>
      <c r="T14" s="58">
        <v>0.05</v>
      </c>
      <c r="U14" s="47"/>
      <c r="V14" s="47"/>
      <c r="W14" s="42">
        <v>4790</v>
      </c>
      <c r="X14" s="45" t="e">
        <f t="shared" si="2"/>
        <v>#DIV/0!</v>
      </c>
      <c r="Y14" s="46">
        <f t="shared" si="2"/>
        <v>0</v>
      </c>
      <c r="Z14" s="45">
        <f t="shared" si="3"/>
        <v>0.49397159566669357</v>
      </c>
      <c r="AA14" s="82">
        <f t="shared" si="4"/>
        <v>6.843344881612809E-2</v>
      </c>
      <c r="AB14" s="15"/>
      <c r="AC14" s="11"/>
      <c r="AD14" s="12"/>
      <c r="AE14" s="13"/>
      <c r="AF14" s="14"/>
      <c r="AG14" s="15"/>
      <c r="AH14" s="15"/>
      <c r="AI14" s="15"/>
      <c r="AK14" s="14"/>
      <c r="AL14" s="14"/>
      <c r="AM14" s="14"/>
      <c r="AN14" s="3"/>
      <c r="AO14" s="5"/>
      <c r="AP14" s="5"/>
      <c r="AQ14" s="4"/>
    </row>
    <row r="15" spans="1:43">
      <c r="A15" s="80">
        <v>4503</v>
      </c>
      <c r="B15" s="65" t="s">
        <v>3</v>
      </c>
      <c r="C15" s="72">
        <v>0.24578181537277738</v>
      </c>
      <c r="D15" s="81">
        <v>361.22199999999998</v>
      </c>
      <c r="E15" s="29">
        <v>2008.1610000000001</v>
      </c>
      <c r="F15" s="30">
        <f t="shared" si="0"/>
        <v>2111.4274621756149</v>
      </c>
      <c r="G15" s="31">
        <f t="shared" si="0"/>
        <v>2343.4236252000155</v>
      </c>
      <c r="H15" s="29">
        <v>166.26340588336259</v>
      </c>
      <c r="I15" s="30">
        <v>134.266462175615</v>
      </c>
      <c r="J15" s="31">
        <v>262.99616302440052</v>
      </c>
      <c r="K15" s="29">
        <v>0.69209516585368558</v>
      </c>
      <c r="L15" s="30">
        <v>267.14873401952264</v>
      </c>
      <c r="M15" s="31">
        <v>490.00337742440939</v>
      </c>
      <c r="N15" s="29">
        <v>31</v>
      </c>
      <c r="O15" s="31">
        <v>31</v>
      </c>
      <c r="P15" s="32">
        <f t="shared" si="1"/>
        <v>8.279386258540157E-2</v>
      </c>
      <c r="Q15" s="33">
        <f t="shared" si="1"/>
        <v>6.3590374086196097E-2</v>
      </c>
      <c r="R15" s="34">
        <f t="shared" si="1"/>
        <v>0.11222732424315869</v>
      </c>
      <c r="S15" s="56">
        <v>164.72402863616171</v>
      </c>
      <c r="T15" s="58">
        <v>0.05</v>
      </c>
      <c r="U15" s="47"/>
      <c r="V15" s="47"/>
      <c r="W15" s="42">
        <v>3670</v>
      </c>
      <c r="X15" s="45" t="e">
        <f t="shared" si="2"/>
        <v>#DIV/0!</v>
      </c>
      <c r="Y15" s="46">
        <f t="shared" si="2"/>
        <v>0</v>
      </c>
      <c r="Z15" s="45">
        <f t="shared" si="3"/>
        <v>0.60692794105935022</v>
      </c>
      <c r="AA15" s="82">
        <f t="shared" si="4"/>
        <v>5.4122973460492579E-2</v>
      </c>
      <c r="AB15" s="15"/>
      <c r="AC15" s="11"/>
      <c r="AD15" s="12"/>
      <c r="AE15" s="13"/>
      <c r="AF15" s="14"/>
      <c r="AG15" s="15"/>
      <c r="AH15" s="15"/>
      <c r="AI15" s="15"/>
      <c r="AK15" s="14"/>
      <c r="AL15" s="14"/>
      <c r="AM15" s="14"/>
      <c r="AN15" s="3"/>
      <c r="AO15" s="5"/>
      <c r="AP15" s="5"/>
      <c r="AQ15" s="4"/>
    </row>
    <row r="16" spans="1:43">
      <c r="A16" s="80">
        <v>4505</v>
      </c>
      <c r="B16" s="65" t="s">
        <v>4</v>
      </c>
      <c r="C16" s="72">
        <v>0.31443852279968554</v>
      </c>
      <c r="D16" s="81">
        <v>286.45299999999997</v>
      </c>
      <c r="E16" s="29">
        <v>1473.645</v>
      </c>
      <c r="F16" s="30">
        <f t="shared" si="0"/>
        <v>1529.1738651192343</v>
      </c>
      <c r="G16" s="31">
        <f t="shared" si="0"/>
        <v>1578.7680742914197</v>
      </c>
      <c r="H16" s="29">
        <v>93.072860120159334</v>
      </c>
      <c r="I16" s="30">
        <v>85.528865119234226</v>
      </c>
      <c r="J16" s="31">
        <v>79.594209172185316</v>
      </c>
      <c r="K16" s="29">
        <v>1.1031478113337967</v>
      </c>
      <c r="L16" s="30">
        <v>122.18409302747747</v>
      </c>
      <c r="M16" s="31">
        <v>132.65701528697554</v>
      </c>
      <c r="N16" s="29">
        <v>30</v>
      </c>
      <c r="O16" s="31">
        <v>30</v>
      </c>
      <c r="P16" s="32">
        <f t="shared" si="1"/>
        <v>6.3158264113921156E-2</v>
      </c>
      <c r="Q16" s="33">
        <f t="shared" si="1"/>
        <v>5.5931419618242877E-2</v>
      </c>
      <c r="R16" s="34">
        <f t="shared" si="1"/>
        <v>5.0415390625319474E-2</v>
      </c>
      <c r="S16" s="56">
        <v>154.72279337727338</v>
      </c>
      <c r="T16" s="58">
        <v>0.05</v>
      </c>
      <c r="U16" s="47"/>
      <c r="V16" s="47"/>
      <c r="W16" s="42">
        <v>1945</v>
      </c>
      <c r="X16" s="45" t="e">
        <f t="shared" si="2"/>
        <v>#DIV/0!</v>
      </c>
      <c r="Y16" s="46">
        <f t="shared" si="2"/>
        <v>0</v>
      </c>
      <c r="Z16" s="45">
        <f t="shared" si="3"/>
        <v>0.79895679676366427</v>
      </c>
      <c r="AA16" s="82">
        <f t="shared" si="4"/>
        <v>4.244809107748574E-2</v>
      </c>
      <c r="AB16" s="15"/>
      <c r="AC16" s="11"/>
      <c r="AD16" s="12"/>
      <c r="AE16" s="13"/>
      <c r="AF16" s="14"/>
      <c r="AG16" s="15"/>
      <c r="AH16" s="15"/>
      <c r="AI16" s="15"/>
      <c r="AK16" s="14"/>
      <c r="AL16" s="14"/>
      <c r="AM16" s="14"/>
      <c r="AN16" s="3"/>
      <c r="AO16" s="5"/>
      <c r="AP16" s="5"/>
      <c r="AQ16" s="4"/>
    </row>
    <row r="17" spans="1:43">
      <c r="A17" s="80">
        <v>4506</v>
      </c>
      <c r="B17" s="65" t="s">
        <v>97</v>
      </c>
      <c r="C17" s="72">
        <v>0.69286762487595932</v>
      </c>
      <c r="D17" s="81">
        <v>168.184</v>
      </c>
      <c r="E17" s="29">
        <v>770.4</v>
      </c>
      <c r="F17" s="30">
        <f t="shared" si="0"/>
        <v>797.26438662417354</v>
      </c>
      <c r="G17" s="31">
        <f t="shared" si="0"/>
        <v>824.72336012938217</v>
      </c>
      <c r="H17" s="29">
        <v>47.376682680873323</v>
      </c>
      <c r="I17" s="30">
        <v>36.864386624173527</v>
      </c>
      <c r="J17" s="31">
        <v>37.458973505208583</v>
      </c>
      <c r="K17" s="29">
        <v>4.1026494791418919</v>
      </c>
      <c r="L17" s="30">
        <v>54.107406174190174</v>
      </c>
      <c r="M17" s="31">
        <v>55.296579936260287</v>
      </c>
      <c r="N17" s="29">
        <v>10</v>
      </c>
      <c r="O17" s="31">
        <v>10</v>
      </c>
      <c r="P17" s="32">
        <f t="shared" si="1"/>
        <v>6.1496213241008985E-2</v>
      </c>
      <c r="Q17" s="33">
        <f t="shared" si="1"/>
        <v>4.6238596935537286E-2</v>
      </c>
      <c r="R17" s="34">
        <f t="shared" si="1"/>
        <v>4.5420046667930009E-2</v>
      </c>
      <c r="S17" s="56">
        <v>95.043162434231078</v>
      </c>
      <c r="T17" s="58">
        <v>0.05</v>
      </c>
      <c r="U17" s="47"/>
      <c r="V17" s="47"/>
      <c r="W17" s="42">
        <v>900</v>
      </c>
      <c r="X17" s="45" t="e">
        <f t="shared" si="2"/>
        <v>#DIV/0!</v>
      </c>
      <c r="Y17" s="46">
        <f t="shared" si="2"/>
        <v>0</v>
      </c>
      <c r="Z17" s="45">
        <f t="shared" si="3"/>
        <v>0.90110430375197537</v>
      </c>
      <c r="AA17" s="82">
        <f t="shared" si="4"/>
        <v>4.1290755627434506E-2</v>
      </c>
      <c r="AB17" s="15"/>
      <c r="AC17" s="11"/>
      <c r="AD17" s="12"/>
      <c r="AE17" s="13"/>
      <c r="AF17" s="14"/>
      <c r="AG17" s="15"/>
      <c r="AH17" s="15"/>
      <c r="AI17" s="15"/>
      <c r="AK17" s="14"/>
      <c r="AL17" s="14"/>
      <c r="AM17" s="14"/>
      <c r="AN17" s="3"/>
      <c r="AO17" s="5"/>
      <c r="AP17" s="5"/>
      <c r="AQ17" s="4"/>
    </row>
    <row r="18" spans="1:43">
      <c r="A18" s="80">
        <v>4507</v>
      </c>
      <c r="B18" s="65" t="s">
        <v>5</v>
      </c>
      <c r="C18" s="72">
        <v>0.64331618452348738</v>
      </c>
      <c r="D18" s="81">
        <v>351.13600000000002</v>
      </c>
      <c r="E18" s="29">
        <v>832.11900000000003</v>
      </c>
      <c r="F18" s="30">
        <f t="shared" si="0"/>
        <v>874.88118900938673</v>
      </c>
      <c r="G18" s="31">
        <f t="shared" si="0"/>
        <v>920.49127740818381</v>
      </c>
      <c r="H18" s="29">
        <v>6.2767702542604571</v>
      </c>
      <c r="I18" s="30">
        <v>51.262189009386674</v>
      </c>
      <c r="J18" s="31">
        <v>54.110088398797046</v>
      </c>
      <c r="K18" s="29">
        <v>1.8255035086120477</v>
      </c>
      <c r="L18" s="30">
        <v>76.893283514080011</v>
      </c>
      <c r="M18" s="31">
        <v>81.165132598195569</v>
      </c>
      <c r="N18" s="29">
        <v>8.5</v>
      </c>
      <c r="O18" s="31">
        <v>8.5</v>
      </c>
      <c r="P18" s="32">
        <f t="shared" si="1"/>
        <v>7.5431161339429295E-3</v>
      </c>
      <c r="Q18" s="33">
        <f t="shared" si="1"/>
        <v>5.8593314901912552E-2</v>
      </c>
      <c r="R18" s="34">
        <f t="shared" si="1"/>
        <v>5.8783923027662111E-2</v>
      </c>
      <c r="S18" s="56">
        <v>84.015351894727388</v>
      </c>
      <c r="T18" s="58">
        <v>0.05</v>
      </c>
      <c r="U18" s="47"/>
      <c r="V18" s="47"/>
      <c r="W18" s="42">
        <v>1876</v>
      </c>
      <c r="X18" s="45" t="e">
        <f t="shared" si="2"/>
        <v>#DIV/0!</v>
      </c>
      <c r="Y18" s="46">
        <f t="shared" si="2"/>
        <v>0</v>
      </c>
      <c r="Z18" s="45">
        <f t="shared" si="3"/>
        <v>0.47851078529252949</v>
      </c>
      <c r="AA18" s="82">
        <f t="shared" si="4"/>
        <v>2.8084295684483934E-2</v>
      </c>
      <c r="AB18" s="15"/>
      <c r="AC18" s="11"/>
      <c r="AD18" s="12"/>
      <c r="AE18" s="13"/>
      <c r="AF18" s="14"/>
      <c r="AG18" s="15"/>
      <c r="AH18" s="15"/>
      <c r="AI18" s="15"/>
      <c r="AK18" s="14"/>
      <c r="AL18" s="14"/>
      <c r="AM18" s="14"/>
      <c r="AN18" s="3"/>
      <c r="AO18" s="5"/>
      <c r="AP18" s="5"/>
      <c r="AQ18" s="4"/>
    </row>
    <row r="19" spans="1:43">
      <c r="A19" s="80">
        <v>4508</v>
      </c>
      <c r="B19" s="65" t="s">
        <v>98</v>
      </c>
      <c r="C19" s="72">
        <v>0.25521996544329706</v>
      </c>
      <c r="D19" s="81">
        <v>267.59800000000001</v>
      </c>
      <c r="E19" s="29">
        <v>722.03800000000001</v>
      </c>
      <c r="F19" s="30">
        <f t="shared" si="0"/>
        <v>770.07134853025809</v>
      </c>
      <c r="G19" s="31">
        <f t="shared" si="0"/>
        <v>815.86252783653094</v>
      </c>
      <c r="H19" s="29">
        <v>66.095411774377979</v>
      </c>
      <c r="I19" s="30">
        <v>62.033348530258074</v>
      </c>
      <c r="J19" s="31">
        <v>59.791179306272838</v>
      </c>
      <c r="K19" s="29">
        <v>0.95665886890036544</v>
      </c>
      <c r="L19" s="30">
        <v>103.51347917398485</v>
      </c>
      <c r="M19" s="31">
        <v>100.89761507933541</v>
      </c>
      <c r="N19" s="29">
        <v>14</v>
      </c>
      <c r="O19" s="31">
        <v>14</v>
      </c>
      <c r="P19" s="32">
        <f t="shared" si="1"/>
        <v>9.1540073755644408E-2</v>
      </c>
      <c r="Q19" s="33">
        <f t="shared" si="1"/>
        <v>8.0555326007977851E-2</v>
      </c>
      <c r="R19" s="34">
        <f t="shared" si="1"/>
        <v>7.3285850576842282E-2</v>
      </c>
      <c r="S19" s="56">
        <v>87.847060311200934</v>
      </c>
      <c r="T19" s="58">
        <v>0.05</v>
      </c>
      <c r="U19" s="47"/>
      <c r="V19" s="47"/>
      <c r="W19" s="42">
        <v>976</v>
      </c>
      <c r="X19" s="45" t="e">
        <f t="shared" si="2"/>
        <v>#DIV/0!</v>
      </c>
      <c r="Y19" s="46">
        <f t="shared" si="2"/>
        <v>0</v>
      </c>
      <c r="Z19" s="45">
        <f t="shared" si="3"/>
        <v>0.81246612518790418</v>
      </c>
      <c r="AA19" s="82">
        <f t="shared" si="4"/>
        <v>6.2410106473632633E-2</v>
      </c>
      <c r="AB19" s="15"/>
      <c r="AC19" s="11"/>
      <c r="AD19" s="12"/>
      <c r="AE19" s="13"/>
      <c r="AF19" s="14"/>
      <c r="AG19" s="15"/>
      <c r="AH19" s="15"/>
      <c r="AI19" s="15"/>
      <c r="AK19" s="14"/>
      <c r="AL19" s="14"/>
      <c r="AM19" s="14"/>
      <c r="AN19" s="3"/>
      <c r="AO19" s="5"/>
      <c r="AP19" s="5"/>
      <c r="AQ19" s="4"/>
    </row>
    <row r="20" spans="1:43">
      <c r="A20" s="80">
        <v>4509</v>
      </c>
      <c r="B20" s="65" t="s">
        <v>6</v>
      </c>
      <c r="C20" s="72">
        <v>0.81034562107457131</v>
      </c>
      <c r="D20" s="81">
        <v>458.435</v>
      </c>
      <c r="E20" s="29">
        <v>430.90300000000002</v>
      </c>
      <c r="F20" s="30">
        <f t="shared" si="0"/>
        <v>437.26300741653671</v>
      </c>
      <c r="G20" s="31">
        <f t="shared" si="0"/>
        <v>444.71368199417583</v>
      </c>
      <c r="H20" s="29">
        <v>23.597674697612529</v>
      </c>
      <c r="I20" s="30">
        <v>16.360007416536696</v>
      </c>
      <c r="J20" s="31">
        <v>17.450674577639141</v>
      </c>
      <c r="K20" s="29">
        <v>1.7516114607305289</v>
      </c>
      <c r="L20" s="30">
        <v>50.170689410712534</v>
      </c>
      <c r="M20" s="31">
        <v>54.533358055122321</v>
      </c>
      <c r="N20" s="29">
        <v>10</v>
      </c>
      <c r="O20" s="31">
        <v>10</v>
      </c>
      <c r="P20" s="32">
        <f t="shared" si="1"/>
        <v>5.4763310298634557E-2</v>
      </c>
      <c r="Q20" s="33">
        <f t="shared" si="1"/>
        <v>3.741457003919875E-2</v>
      </c>
      <c r="R20" s="34">
        <f t="shared" si="1"/>
        <v>3.9240246666995243E-2</v>
      </c>
      <c r="S20" s="56">
        <v>103.1890467486509</v>
      </c>
      <c r="T20" s="58">
        <v>0.05</v>
      </c>
      <c r="U20" s="47"/>
      <c r="V20" s="47"/>
      <c r="W20" s="42">
        <v>1138</v>
      </c>
      <c r="X20" s="45" t="e">
        <f t="shared" si="2"/>
        <v>#DIV/0!</v>
      </c>
      <c r="Y20" s="46">
        <f t="shared" si="2"/>
        <v>0</v>
      </c>
      <c r="Z20" s="45">
        <f t="shared" si="3"/>
        <v>0.38751172645461884</v>
      </c>
      <c r="AA20" s="82">
        <f t="shared" si="4"/>
        <v>1.4855308433293427E-2</v>
      </c>
      <c r="AB20" s="15"/>
      <c r="AC20" s="11"/>
      <c r="AD20" s="12"/>
      <c r="AE20" s="13"/>
      <c r="AF20" s="14"/>
      <c r="AG20" s="15"/>
      <c r="AH20" s="15"/>
      <c r="AI20" s="15"/>
      <c r="AK20" s="14"/>
      <c r="AL20" s="14"/>
      <c r="AM20" s="14"/>
      <c r="AN20" s="3"/>
      <c r="AO20" s="5"/>
      <c r="AP20" s="5"/>
      <c r="AQ20" s="4"/>
    </row>
    <row r="21" spans="1:43">
      <c r="A21" s="80">
        <v>4511</v>
      </c>
      <c r="B21" s="65" t="s">
        <v>25</v>
      </c>
      <c r="C21" s="72">
        <v>0.58151192375967675</v>
      </c>
      <c r="D21" s="81">
        <v>330.29700000000003</v>
      </c>
      <c r="E21" s="29">
        <v>1138.203</v>
      </c>
      <c r="F21" s="30">
        <f t="shared" si="0"/>
        <v>1231.2509719767361</v>
      </c>
      <c r="G21" s="31">
        <f t="shared" si="0"/>
        <v>1318.2437875336439</v>
      </c>
      <c r="H21" s="29">
        <v>125.54761320871822</v>
      </c>
      <c r="I21" s="30">
        <v>115.04797197673608</v>
      </c>
      <c r="J21" s="31">
        <v>108.99281555690786</v>
      </c>
      <c r="K21" s="29">
        <v>1.7469126271204398</v>
      </c>
      <c r="L21" s="30">
        <v>190.73742722458874</v>
      </c>
      <c r="M21" s="31">
        <v>202.84774006424519</v>
      </c>
      <c r="N21" s="29">
        <v>22</v>
      </c>
      <c r="O21" s="31">
        <v>22</v>
      </c>
      <c r="P21" s="32">
        <f t="shared" si="1"/>
        <v>0.11030335819596172</v>
      </c>
      <c r="Q21" s="33">
        <f t="shared" si="1"/>
        <v>9.3439903476405017E-2</v>
      </c>
      <c r="R21" s="34">
        <f t="shared" si="1"/>
        <v>8.2680318001594352E-2</v>
      </c>
      <c r="S21" s="56">
        <v>150.03541738480908</v>
      </c>
      <c r="T21" s="58">
        <v>0.05</v>
      </c>
      <c r="U21" s="47"/>
      <c r="V21" s="47"/>
      <c r="W21" s="42">
        <v>2585</v>
      </c>
      <c r="X21" s="45" t="e">
        <f t="shared" si="2"/>
        <v>#DIV/0!</v>
      </c>
      <c r="Y21" s="46">
        <f t="shared" si="2"/>
        <v>0</v>
      </c>
      <c r="Z21" s="45">
        <f t="shared" si="3"/>
        <v>0.49313244864804257</v>
      </c>
      <c r="AA21" s="82">
        <f t="shared" si="4"/>
        <v>4.3334775151575231E-2</v>
      </c>
      <c r="AB21" s="15"/>
      <c r="AC21" s="11"/>
      <c r="AD21" s="12"/>
      <c r="AE21" s="13"/>
      <c r="AF21" s="14"/>
      <c r="AG21" s="15"/>
      <c r="AH21" s="15"/>
      <c r="AI21" s="15"/>
      <c r="AK21" s="14"/>
      <c r="AL21" s="14"/>
      <c r="AM21" s="14"/>
      <c r="AN21" s="3"/>
      <c r="AO21" s="5"/>
      <c r="AP21" s="5"/>
      <c r="AQ21" s="4"/>
    </row>
    <row r="22" spans="1:43">
      <c r="A22" s="80">
        <v>4512</v>
      </c>
      <c r="B22" s="65" t="s">
        <v>7</v>
      </c>
      <c r="C22" s="72">
        <v>0.47569009341040458</v>
      </c>
      <c r="D22" s="81">
        <v>34.838000000000001</v>
      </c>
      <c r="E22" s="29">
        <v>338.88299999999998</v>
      </c>
      <c r="F22" s="30">
        <f t="shared" si="0"/>
        <v>344.2165438314484</v>
      </c>
      <c r="G22" s="31">
        <f t="shared" si="0"/>
        <v>349.8371305471037</v>
      </c>
      <c r="H22" s="29">
        <v>11.07985533038636</v>
      </c>
      <c r="I22" s="30">
        <v>10.333543831448418</v>
      </c>
      <c r="J22" s="31">
        <v>10.620586715655319</v>
      </c>
      <c r="K22" s="29">
        <v>13.691945576669154</v>
      </c>
      <c r="L22" s="30">
        <v>16.93553016820713</v>
      </c>
      <c r="M22" s="31">
        <v>17.509615936620929</v>
      </c>
      <c r="N22" s="29">
        <v>5</v>
      </c>
      <c r="O22" s="31">
        <v>5</v>
      </c>
      <c r="P22" s="32">
        <f t="shared" si="1"/>
        <v>3.2695223219773084E-2</v>
      </c>
      <c r="Q22" s="33">
        <f t="shared" si="1"/>
        <v>3.0020474078399955E-2</v>
      </c>
      <c r="R22" s="34">
        <f t="shared" si="1"/>
        <v>3.0358660611713752E-2</v>
      </c>
      <c r="S22" s="56">
        <v>25.941974538632415</v>
      </c>
      <c r="T22" s="58">
        <v>0.05</v>
      </c>
      <c r="U22" s="47"/>
      <c r="V22" s="47"/>
      <c r="W22" s="42">
        <v>333</v>
      </c>
      <c r="X22" s="45" t="e">
        <f t="shared" si="2"/>
        <v>#DIV/0!</v>
      </c>
      <c r="Y22" s="46">
        <f t="shared" si="2"/>
        <v>0</v>
      </c>
      <c r="Z22" s="45">
        <f t="shared" si="3"/>
        <v>1.0421226342020302</v>
      </c>
      <c r="AA22" s="82">
        <f t="shared" si="4"/>
        <v>3.1462658479134743E-2</v>
      </c>
      <c r="AB22" s="15"/>
      <c r="AC22" s="11"/>
      <c r="AD22" s="12"/>
      <c r="AE22" s="13"/>
      <c r="AF22" s="14"/>
      <c r="AG22" s="15"/>
      <c r="AH22" s="15"/>
      <c r="AI22" s="15"/>
      <c r="AK22" s="14"/>
      <c r="AL22" s="14"/>
      <c r="AM22" s="14"/>
      <c r="AN22" s="3"/>
      <c r="AO22" s="5"/>
      <c r="AP22" s="5"/>
      <c r="AQ22" s="4"/>
    </row>
    <row r="23" spans="1:43">
      <c r="A23" s="80">
        <v>4514</v>
      </c>
      <c r="B23" s="65" t="s">
        <v>99</v>
      </c>
      <c r="C23" s="72">
        <v>0.71471906051364886</v>
      </c>
      <c r="D23" s="81">
        <v>23.957999999999998</v>
      </c>
      <c r="E23" s="29">
        <v>1377.7439999999999</v>
      </c>
      <c r="F23" s="30">
        <f t="shared" si="0"/>
        <v>1379.1007075715836</v>
      </c>
      <c r="G23" s="31">
        <f t="shared" si="0"/>
        <v>1380.8748122547793</v>
      </c>
      <c r="H23" s="29">
        <v>11.311461724684866</v>
      </c>
      <c r="I23" s="30">
        <v>13.356707571583605</v>
      </c>
      <c r="J23" s="31">
        <v>13.774104683195594</v>
      </c>
      <c r="K23" s="29">
        <v>29.885633191418318</v>
      </c>
      <c r="L23" s="30">
        <v>28.800400701227147</v>
      </c>
      <c r="M23" s="31">
        <v>29.635194924451124</v>
      </c>
      <c r="N23" s="29">
        <v>12</v>
      </c>
      <c r="O23" s="31">
        <v>12</v>
      </c>
      <c r="P23" s="32">
        <f t="shared" si="1"/>
        <v>8.2101331776330486E-3</v>
      </c>
      <c r="Q23" s="33">
        <f t="shared" si="1"/>
        <v>9.6850849965141594E-3</v>
      </c>
      <c r="R23" s="34">
        <f t="shared" si="1"/>
        <v>9.9749119622975588E-3</v>
      </c>
      <c r="S23" s="56">
        <v>177.32203617708711</v>
      </c>
      <c r="T23" s="58">
        <v>0.05</v>
      </c>
      <c r="U23" s="47"/>
      <c r="V23" s="47"/>
      <c r="W23" s="42">
        <v>1000</v>
      </c>
      <c r="X23" s="45" t="e">
        <f t="shared" si="2"/>
        <v>#DIV/0!</v>
      </c>
      <c r="Y23" s="46">
        <f t="shared" si="2"/>
        <v>0</v>
      </c>
      <c r="Z23" s="45">
        <f t="shared" si="3"/>
        <v>1.3799877599131813</v>
      </c>
      <c r="AA23" s="82">
        <f t="shared" si="4"/>
        <v>1.3565406127389601E-2</v>
      </c>
      <c r="AB23" s="15"/>
      <c r="AC23" s="11"/>
      <c r="AD23" s="12"/>
      <c r="AE23" s="13"/>
      <c r="AF23" s="14"/>
      <c r="AG23" s="15"/>
      <c r="AH23" s="15"/>
      <c r="AI23" s="15"/>
      <c r="AK23" s="14"/>
      <c r="AL23" s="14"/>
      <c r="AM23" s="14"/>
      <c r="AN23" s="3"/>
      <c r="AO23" s="5"/>
      <c r="AP23" s="5"/>
      <c r="AQ23" s="4"/>
    </row>
    <row r="24" spans="1:43">
      <c r="A24" s="80">
        <v>4516</v>
      </c>
      <c r="B24" s="65" t="s">
        <v>8</v>
      </c>
      <c r="C24" s="72">
        <v>0.35420286703478066</v>
      </c>
      <c r="D24" s="81">
        <v>70.251000000000005</v>
      </c>
      <c r="E24" s="29">
        <v>930.89099999999996</v>
      </c>
      <c r="F24" s="30">
        <f t="shared" si="0"/>
        <v>989.21742951701754</v>
      </c>
      <c r="G24" s="31">
        <f t="shared" si="0"/>
        <v>1006.2633078675036</v>
      </c>
      <c r="H24" s="29">
        <v>21.864457445445616</v>
      </c>
      <c r="I24" s="30">
        <v>68.326429517017544</v>
      </c>
      <c r="J24" s="31">
        <v>27.04587835048611</v>
      </c>
      <c r="K24" s="29">
        <v>5.0675435225121337</v>
      </c>
      <c r="L24" s="30">
        <v>48.39788757455409</v>
      </c>
      <c r="M24" s="31">
        <v>49.821354856158628</v>
      </c>
      <c r="N24" s="29">
        <v>10</v>
      </c>
      <c r="O24" s="31">
        <v>10</v>
      </c>
      <c r="P24" s="32">
        <f t="shared" si="1"/>
        <v>2.348766659624555E-2</v>
      </c>
      <c r="Q24" s="33">
        <f t="shared" si="1"/>
        <v>6.9071194540494221E-2</v>
      </c>
      <c r="R24" s="34">
        <f t="shared" si="1"/>
        <v>2.6877536067376199E-2</v>
      </c>
      <c r="S24" s="56">
        <v>118.28562931071974</v>
      </c>
      <c r="T24" s="58">
        <v>0.05</v>
      </c>
      <c r="U24" s="47"/>
      <c r="V24" s="47"/>
      <c r="W24" s="42">
        <v>756</v>
      </c>
      <c r="X24" s="45" t="e">
        <f t="shared" si="2"/>
        <v>#DIV/0!</v>
      </c>
      <c r="Y24" s="46">
        <f t="shared" si="2"/>
        <v>0</v>
      </c>
      <c r="Z24" s="45">
        <f t="shared" si="3"/>
        <v>1.3197623924500801</v>
      </c>
      <c r="AA24" s="82">
        <f t="shared" si="4"/>
        <v>6.3076923192793413E-2</v>
      </c>
      <c r="AB24" s="15"/>
      <c r="AC24" s="11"/>
      <c r="AD24" s="12"/>
      <c r="AE24" s="13"/>
      <c r="AF24" s="14"/>
      <c r="AG24" s="15"/>
      <c r="AH24" s="15"/>
      <c r="AI24" s="15"/>
      <c r="AK24" s="14"/>
      <c r="AL24" s="14"/>
      <c r="AM24" s="14"/>
      <c r="AN24" s="3"/>
      <c r="AO24" s="5"/>
      <c r="AP24" s="5"/>
      <c r="AQ24" s="4"/>
    </row>
    <row r="25" spans="1:43">
      <c r="A25" s="80">
        <v>4518</v>
      </c>
      <c r="B25" s="65" t="s">
        <v>9</v>
      </c>
      <c r="C25" s="72">
        <v>0.71155041458577772</v>
      </c>
      <c r="D25" s="81">
        <v>197.15</v>
      </c>
      <c r="E25" s="29">
        <v>157.393</v>
      </c>
      <c r="F25" s="30">
        <f t="shared" si="0"/>
        <v>159.92913999492771</v>
      </c>
      <c r="G25" s="31">
        <f t="shared" si="0"/>
        <v>148.77012401724573</v>
      </c>
      <c r="H25" s="29">
        <v>-24.849099670301801</v>
      </c>
      <c r="I25" s="30">
        <v>2.5361399949277197</v>
      </c>
      <c r="J25" s="31">
        <v>-11.159015977681968</v>
      </c>
      <c r="K25" s="29">
        <v>3.6317524727364949</v>
      </c>
      <c r="L25" s="30">
        <v>10.144559979710879</v>
      </c>
      <c r="M25" s="31">
        <v>-11.159015977681968</v>
      </c>
      <c r="N25" s="29">
        <v>0</v>
      </c>
      <c r="O25" s="31">
        <v>0</v>
      </c>
      <c r="P25" s="32">
        <f t="shared" si="1"/>
        <v>-0.15787931909488859</v>
      </c>
      <c r="Q25" s="33">
        <f t="shared" si="1"/>
        <v>1.5857898035393399E-2</v>
      </c>
      <c r="R25" s="34">
        <f t="shared" si="1"/>
        <v>-7.5008447101841444E-2</v>
      </c>
      <c r="S25" s="56">
        <v>26.378264030425868</v>
      </c>
      <c r="T25" s="58">
        <v>0.05</v>
      </c>
      <c r="U25" s="47"/>
      <c r="V25" s="47"/>
      <c r="W25" s="42">
        <v>441</v>
      </c>
      <c r="X25" s="45" t="e">
        <f t="shared" si="2"/>
        <v>#DIV/0!</v>
      </c>
      <c r="Y25" s="46">
        <f t="shared" si="2"/>
        <v>0</v>
      </c>
      <c r="Z25" s="45">
        <f t="shared" si="3"/>
        <v>0.34999916554668192</v>
      </c>
      <c r="AA25" s="82">
        <f t="shared" si="4"/>
        <v>-9.7765033818075376E-3</v>
      </c>
      <c r="AB25" s="15"/>
      <c r="AC25" s="11"/>
      <c r="AD25" s="12"/>
      <c r="AE25" s="13"/>
      <c r="AF25" s="14"/>
      <c r="AG25" s="15"/>
      <c r="AH25" s="15"/>
      <c r="AI25" s="15"/>
      <c r="AK25" s="14"/>
      <c r="AL25" s="14"/>
      <c r="AM25" s="14"/>
      <c r="AN25" s="3"/>
      <c r="AO25" s="5"/>
      <c r="AP25" s="5"/>
      <c r="AQ25" s="4"/>
    </row>
    <row r="26" spans="1:43">
      <c r="A26" s="80">
        <v>4519</v>
      </c>
      <c r="B26" s="65" t="s">
        <v>10</v>
      </c>
      <c r="C26" s="72">
        <v>0.26691180606521098</v>
      </c>
      <c r="D26" s="81">
        <v>550.97199999999998</v>
      </c>
      <c r="E26" s="29">
        <v>538.53399999999999</v>
      </c>
      <c r="F26" s="30">
        <f t="shared" si="0"/>
        <v>579.52066356911064</v>
      </c>
      <c r="G26" s="31">
        <f t="shared" si="0"/>
        <v>628.67471132471348</v>
      </c>
      <c r="H26" s="29">
        <v>68.836528898020219</v>
      </c>
      <c r="I26" s="30">
        <v>58.986663569110597</v>
      </c>
      <c r="J26" s="31">
        <v>67.154047755602818</v>
      </c>
      <c r="K26" s="29">
        <v>0.48822807692586923</v>
      </c>
      <c r="L26" s="30">
        <v>99.823584501571773</v>
      </c>
      <c r="M26" s="31">
        <v>115.25086574272378</v>
      </c>
      <c r="N26" s="29">
        <v>18</v>
      </c>
      <c r="O26" s="31">
        <v>18</v>
      </c>
      <c r="P26" s="32">
        <f t="shared" si="1"/>
        <v>0.12782206675533991</v>
      </c>
      <c r="Q26" s="33">
        <f t="shared" si="1"/>
        <v>0.1017852637140283</v>
      </c>
      <c r="R26" s="34">
        <f t="shared" si="1"/>
        <v>0.10681843335816546</v>
      </c>
      <c r="S26" s="56">
        <v>105.48860207832909</v>
      </c>
      <c r="T26" s="58">
        <v>0.05</v>
      </c>
      <c r="U26" s="47"/>
      <c r="V26" s="47"/>
      <c r="W26" s="42">
        <v>1712</v>
      </c>
      <c r="X26" s="45" t="e">
        <f t="shared" si="2"/>
        <v>#DIV/0!</v>
      </c>
      <c r="Y26" s="46">
        <f t="shared" si="2"/>
        <v>0</v>
      </c>
      <c r="Z26" s="45">
        <f t="shared" si="3"/>
        <v>0.35286079874235515</v>
      </c>
      <c r="AA26" s="82">
        <f t="shared" si="4"/>
        <v>3.6840161017731722E-2</v>
      </c>
      <c r="AB26" s="15"/>
      <c r="AC26" s="11"/>
      <c r="AD26" s="12"/>
      <c r="AE26" s="13"/>
      <c r="AF26" s="14"/>
      <c r="AG26" s="15"/>
      <c r="AH26" s="15"/>
      <c r="AI26" s="15"/>
      <c r="AK26" s="14"/>
      <c r="AL26" s="14"/>
      <c r="AM26" s="14"/>
      <c r="AN26" s="3"/>
      <c r="AO26" s="5"/>
      <c r="AP26" s="5"/>
      <c r="AQ26" s="4"/>
    </row>
    <row r="27" spans="1:43">
      <c r="A27" s="80">
        <v>4521</v>
      </c>
      <c r="B27" s="65" t="s">
        <v>11</v>
      </c>
      <c r="C27" s="72">
        <v>0.63846220136935716</v>
      </c>
      <c r="D27" s="81">
        <v>94.518000000000001</v>
      </c>
      <c r="E27" s="29">
        <v>456.33600000000001</v>
      </c>
      <c r="F27" s="30">
        <f t="shared" si="0"/>
        <v>481.24998463784675</v>
      </c>
      <c r="G27" s="31">
        <f t="shared" si="0"/>
        <v>511.45396694809449</v>
      </c>
      <c r="H27" s="29">
        <v>31.919845955267778</v>
      </c>
      <c r="I27" s="30">
        <v>34.91398463784676</v>
      </c>
      <c r="J27" s="31">
        <v>40.203982310247781</v>
      </c>
      <c r="K27" s="29">
        <v>6.8135170020525191</v>
      </c>
      <c r="L27" s="30">
        <v>65.595971137772693</v>
      </c>
      <c r="M27" s="31">
        <v>76.175966482574751</v>
      </c>
      <c r="N27" s="29">
        <v>10</v>
      </c>
      <c r="O27" s="31">
        <v>10</v>
      </c>
      <c r="P27" s="32">
        <f t="shared" si="1"/>
        <v>6.994812146152786E-2</v>
      </c>
      <c r="Q27" s="33">
        <f t="shared" si="1"/>
        <v>7.2548541823061974E-2</v>
      </c>
      <c r="R27" s="34">
        <f t="shared" si="1"/>
        <v>7.8607235271142065E-2</v>
      </c>
      <c r="S27" s="56">
        <v>67.748359585174953</v>
      </c>
      <c r="T27" s="58">
        <v>0.05</v>
      </c>
      <c r="U27" s="47"/>
      <c r="V27" s="47"/>
      <c r="W27" s="42">
        <v>638</v>
      </c>
      <c r="X27" s="45" t="e">
        <f t="shared" si="2"/>
        <v>#DIV/0!</v>
      </c>
      <c r="Y27" s="46">
        <f t="shared" si="2"/>
        <v>0</v>
      </c>
      <c r="Z27" s="45">
        <f t="shared" si="3"/>
        <v>0.7779811532805182</v>
      </c>
      <c r="AA27" s="82">
        <f t="shared" si="4"/>
        <v>5.8869880053365624E-2</v>
      </c>
      <c r="AB27" s="15"/>
      <c r="AC27" s="11"/>
      <c r="AD27" s="12"/>
      <c r="AE27" s="13"/>
      <c r="AF27" s="14"/>
      <c r="AG27" s="15"/>
      <c r="AH27" s="15"/>
      <c r="AI27" s="15"/>
      <c r="AK27" s="14"/>
      <c r="AL27" s="14"/>
      <c r="AM27" s="14"/>
      <c r="AN27" s="3"/>
      <c r="AO27" s="5"/>
      <c r="AP27" s="5"/>
      <c r="AQ27" s="4"/>
    </row>
    <row r="28" spans="1:43">
      <c r="A28" s="80">
        <v>4523</v>
      </c>
      <c r="B28" s="65" t="s">
        <v>12</v>
      </c>
      <c r="C28" s="72">
        <v>0.6103086557312758</v>
      </c>
      <c r="D28" s="81">
        <v>296.56700000000001</v>
      </c>
      <c r="E28" s="29">
        <v>1414.3889999999999</v>
      </c>
      <c r="F28" s="30">
        <f t="shared" ref="F28:G43" si="5">+E28+I28-N28</f>
        <v>1547.7288051705009</v>
      </c>
      <c r="G28" s="31">
        <f t="shared" si="5"/>
        <v>1687.1380651353654</v>
      </c>
      <c r="H28" s="29">
        <v>169.0950105709671</v>
      </c>
      <c r="I28" s="30">
        <v>175.33980517050111</v>
      </c>
      <c r="J28" s="31">
        <v>181.40925996486459</v>
      </c>
      <c r="K28" s="29">
        <v>2.06361463008359</v>
      </c>
      <c r="L28" s="30">
        <v>289.98506239736719</v>
      </c>
      <c r="M28" s="31">
        <v>301.78678005307404</v>
      </c>
      <c r="N28" s="29">
        <v>42</v>
      </c>
      <c r="O28" s="31">
        <v>42</v>
      </c>
      <c r="P28" s="32">
        <f t="shared" si="1"/>
        <v>0.11955339766568258</v>
      </c>
      <c r="Q28" s="33">
        <f t="shared" si="1"/>
        <v>0.1132884550476434</v>
      </c>
      <c r="R28" s="34">
        <f t="shared" si="1"/>
        <v>0.1075248456031424</v>
      </c>
      <c r="S28" s="56">
        <v>227.57566266807498</v>
      </c>
      <c r="T28" s="58">
        <v>0.05</v>
      </c>
      <c r="U28" s="47"/>
      <c r="V28" s="47"/>
      <c r="W28" s="42">
        <v>3140</v>
      </c>
      <c r="X28" s="45" t="e">
        <f t="shared" si="2"/>
        <v>#DIV/0!</v>
      </c>
      <c r="Y28" s="46">
        <f t="shared" si="2"/>
        <v>0</v>
      </c>
      <c r="Z28" s="45">
        <f t="shared" si="3"/>
        <v>0.51510618953915077</v>
      </c>
      <c r="AA28" s="82">
        <f t="shared" si="4"/>
        <v>5.6807175976969063E-2</v>
      </c>
      <c r="AB28" s="15"/>
      <c r="AC28" s="11"/>
      <c r="AD28" s="12"/>
      <c r="AE28" s="13"/>
      <c r="AF28" s="14"/>
      <c r="AG28" s="15"/>
      <c r="AH28" s="15"/>
      <c r="AI28" s="15"/>
      <c r="AK28" s="14"/>
      <c r="AL28" s="14"/>
      <c r="AM28" s="14"/>
      <c r="AN28" s="3"/>
      <c r="AO28" s="5"/>
      <c r="AP28" s="5"/>
      <c r="AQ28" s="4"/>
    </row>
    <row r="29" spans="1:43">
      <c r="A29" s="80">
        <v>4527</v>
      </c>
      <c r="B29" s="65" t="s">
        <v>13</v>
      </c>
      <c r="C29" s="72">
        <v>0.10487873179097527</v>
      </c>
      <c r="D29" s="81">
        <v>53.718000000000004</v>
      </c>
      <c r="E29" s="29">
        <v>813.06100000000004</v>
      </c>
      <c r="F29" s="30">
        <f t="shared" si="5"/>
        <v>870.66236267173019</v>
      </c>
      <c r="G29" s="31">
        <f t="shared" si="5"/>
        <v>931.05608544621919</v>
      </c>
      <c r="H29" s="29">
        <v>69.678692430842545</v>
      </c>
      <c r="I29" s="30">
        <v>72.601362671730143</v>
      </c>
      <c r="J29" s="31">
        <v>75.393722774488978</v>
      </c>
      <c r="K29" s="29">
        <v>1.9360363379128038</v>
      </c>
      <c r="L29" s="30">
        <v>126.58699132506793</v>
      </c>
      <c r="M29" s="31">
        <v>132.17171153058564</v>
      </c>
      <c r="N29" s="29">
        <v>15</v>
      </c>
      <c r="O29" s="31">
        <v>15</v>
      </c>
      <c r="P29" s="32">
        <f t="shared" si="1"/>
        <v>8.5699218669746238E-2</v>
      </c>
      <c r="Q29" s="33">
        <f t="shared" si="1"/>
        <v>8.3386357082146395E-2</v>
      </c>
      <c r="R29" s="34">
        <f t="shared" si="1"/>
        <v>8.0976564089966382E-2</v>
      </c>
      <c r="S29" s="56">
        <v>42.20034045409686</v>
      </c>
      <c r="T29" s="58">
        <v>0.05</v>
      </c>
      <c r="U29" s="47"/>
      <c r="V29" s="47"/>
      <c r="W29" s="42">
        <v>1247</v>
      </c>
      <c r="X29" s="45" t="e">
        <f t="shared" si="2"/>
        <v>#DIV/0!</v>
      </c>
      <c r="Y29" s="46">
        <f t="shared" si="2"/>
        <v>0</v>
      </c>
      <c r="Z29" s="45">
        <f t="shared" si="3"/>
        <v>0.72242119010342798</v>
      </c>
      <c r="AA29" s="82">
        <f t="shared" si="4"/>
        <v>5.9340451261515284E-2</v>
      </c>
      <c r="AB29" s="15"/>
      <c r="AC29" s="11"/>
      <c r="AD29" s="12"/>
      <c r="AE29" s="13"/>
      <c r="AF29" s="14"/>
      <c r="AG29" s="15"/>
      <c r="AH29" s="15"/>
      <c r="AI29" s="15"/>
      <c r="AK29" s="14"/>
      <c r="AL29" s="14"/>
      <c r="AM29" s="14"/>
      <c r="AN29" s="3"/>
      <c r="AO29" s="5"/>
      <c r="AP29" s="5"/>
      <c r="AQ29" s="4"/>
    </row>
    <row r="30" spans="1:43">
      <c r="A30" s="80">
        <v>4528</v>
      </c>
      <c r="B30" s="65" t="s">
        <v>14</v>
      </c>
      <c r="C30" s="72">
        <v>0.13036642175402904</v>
      </c>
      <c r="D30" s="81">
        <v>122.919</v>
      </c>
      <c r="E30" s="29">
        <v>2907.752</v>
      </c>
      <c r="F30" s="30">
        <f t="shared" si="5"/>
        <v>3141.7975503217567</v>
      </c>
      <c r="G30" s="31">
        <f t="shared" si="5"/>
        <v>3353.0638720458192</v>
      </c>
      <c r="H30" s="29">
        <v>251.63725705545932</v>
      </c>
      <c r="I30" s="30">
        <v>279.04555032175659</v>
      </c>
      <c r="J30" s="31">
        <v>256.26632172406221</v>
      </c>
      <c r="K30" s="29">
        <v>1.0738779196055939</v>
      </c>
      <c r="L30" s="30">
        <v>453.14394031842107</v>
      </c>
      <c r="M30" s="31">
        <v>454.77102807539927</v>
      </c>
      <c r="N30" s="29">
        <v>45</v>
      </c>
      <c r="O30" s="31">
        <v>45</v>
      </c>
      <c r="P30" s="32">
        <f t="shared" si="1"/>
        <v>8.6540137210965484E-2</v>
      </c>
      <c r="Q30" s="33">
        <f t="shared" si="1"/>
        <v>8.8817164649319644E-2</v>
      </c>
      <c r="R30" s="34">
        <f t="shared" si="1"/>
        <v>7.6427509735358945E-2</v>
      </c>
      <c r="S30" s="56">
        <v>251.443545961544</v>
      </c>
      <c r="T30" s="58">
        <v>0.05</v>
      </c>
      <c r="U30" s="47"/>
      <c r="V30" s="47"/>
      <c r="W30" s="42">
        <v>5110</v>
      </c>
      <c r="X30" s="45" t="e">
        <f t="shared" si="2"/>
        <v>#DIV/0!</v>
      </c>
      <c r="Y30" s="46">
        <f t="shared" si="2"/>
        <v>0</v>
      </c>
      <c r="Z30" s="45">
        <f t="shared" si="3"/>
        <v>0.63550503154281568</v>
      </c>
      <c r="AA30" s="82">
        <f t="shared" si="4"/>
        <v>5.2378852450667195E-2</v>
      </c>
      <c r="AB30" s="15"/>
      <c r="AC30" s="11"/>
      <c r="AD30" s="12"/>
      <c r="AE30" s="13"/>
      <c r="AF30" s="14"/>
      <c r="AG30" s="15"/>
      <c r="AH30" s="15"/>
      <c r="AI30" s="15"/>
      <c r="AK30" s="14"/>
      <c r="AL30" s="14"/>
      <c r="AM30" s="14"/>
      <c r="AN30" s="3"/>
      <c r="AO30" s="5"/>
      <c r="AP30" s="5"/>
      <c r="AQ30" s="4"/>
    </row>
    <row r="31" spans="1:43">
      <c r="A31" s="80">
        <v>4529</v>
      </c>
      <c r="B31" s="65" t="s">
        <v>104</v>
      </c>
      <c r="C31" s="72">
        <v>0.82061423553321255</v>
      </c>
      <c r="D31" s="81">
        <v>70.179000000000002</v>
      </c>
      <c r="E31" s="29">
        <v>335</v>
      </c>
      <c r="F31" s="30">
        <f t="shared" si="5"/>
        <v>340.54956610951996</v>
      </c>
      <c r="G31" s="31">
        <f t="shared" si="5"/>
        <v>351.79884295871989</v>
      </c>
      <c r="H31" s="29">
        <v>3.9043018566807737</v>
      </c>
      <c r="I31" s="30">
        <v>8.549566109519942</v>
      </c>
      <c r="J31" s="31">
        <v>14.249276849199903</v>
      </c>
      <c r="K31" s="29">
        <v>11.641659185796319</v>
      </c>
      <c r="L31" s="30">
        <v>29.923481383319796</v>
      </c>
      <c r="M31" s="31">
        <v>32.773336753159768</v>
      </c>
      <c r="N31" s="29">
        <v>3</v>
      </c>
      <c r="O31" s="31">
        <v>3</v>
      </c>
      <c r="P31" s="32">
        <f t="shared" si="1"/>
        <v>1.1654632408002309E-2</v>
      </c>
      <c r="Q31" s="33">
        <f t="shared" si="1"/>
        <v>2.5105203354657692E-2</v>
      </c>
      <c r="R31" s="34">
        <f t="shared" si="1"/>
        <v>4.0504046941598142E-2</v>
      </c>
      <c r="S31" s="56">
        <v>40.907076499554563</v>
      </c>
      <c r="T31" s="58">
        <v>0.05</v>
      </c>
      <c r="U31" s="47"/>
      <c r="V31" s="47"/>
      <c r="W31" s="42">
        <v>361</v>
      </c>
      <c r="X31" s="45" t="e">
        <f t="shared" si="2"/>
        <v>#DIV/0!</v>
      </c>
      <c r="Y31" s="46">
        <f t="shared" si="2"/>
        <v>0</v>
      </c>
      <c r="Z31" s="45">
        <f t="shared" si="3"/>
        <v>0.95893131449894708</v>
      </c>
      <c r="AA31" s="82">
        <f t="shared" si="4"/>
        <v>3.1577344818171531E-2</v>
      </c>
      <c r="AB31" s="15"/>
      <c r="AC31" s="11"/>
      <c r="AD31" s="12"/>
      <c r="AE31" s="13"/>
      <c r="AF31" s="14"/>
      <c r="AG31" s="15"/>
      <c r="AH31" s="15"/>
      <c r="AI31" s="15"/>
      <c r="AK31" s="14"/>
      <c r="AL31" s="14"/>
      <c r="AM31" s="14"/>
      <c r="AN31" s="3"/>
      <c r="AO31" s="5"/>
      <c r="AP31" s="5"/>
      <c r="AQ31" s="4"/>
    </row>
    <row r="32" spans="1:43">
      <c r="A32" s="80">
        <v>4530</v>
      </c>
      <c r="B32" s="65" t="s">
        <v>15</v>
      </c>
      <c r="C32" s="72">
        <v>7.3308314246986733E-4</v>
      </c>
      <c r="D32" s="81">
        <v>95.165000000000006</v>
      </c>
      <c r="E32" s="29">
        <v>729.81700000000001</v>
      </c>
      <c r="F32" s="30">
        <f t="shared" si="5"/>
        <v>833.50732732622282</v>
      </c>
      <c r="G32" s="31">
        <f t="shared" si="5"/>
        <v>939.29926764041397</v>
      </c>
      <c r="H32" s="29">
        <v>113.71827877896284</v>
      </c>
      <c r="I32" s="30">
        <v>117.69032732622287</v>
      </c>
      <c r="J32" s="31">
        <v>119.79194031419114</v>
      </c>
      <c r="K32" s="29">
        <v>2.1016129879682655E-2</v>
      </c>
      <c r="L32" s="30">
        <v>195.45000788104872</v>
      </c>
      <c r="M32" s="31">
        <v>198.60242736300108</v>
      </c>
      <c r="N32" s="29">
        <v>14</v>
      </c>
      <c r="O32" s="31">
        <v>14</v>
      </c>
      <c r="P32" s="32">
        <f t="shared" si="1"/>
        <v>0.15581752518639994</v>
      </c>
      <c r="Q32" s="33">
        <f t="shared" si="1"/>
        <v>0.14119891147658808</v>
      </c>
      <c r="R32" s="34">
        <f t="shared" si="1"/>
        <v>0.12753330534912152</v>
      </c>
      <c r="S32" s="56">
        <v>78.238679952718329</v>
      </c>
      <c r="T32" s="58">
        <v>0.05</v>
      </c>
      <c r="U32" s="47"/>
      <c r="V32" s="47"/>
      <c r="W32" s="42">
        <v>2020</v>
      </c>
      <c r="X32" s="45" t="e">
        <f t="shared" si="2"/>
        <v>#DIV/0!</v>
      </c>
      <c r="Y32" s="46">
        <f t="shared" si="2"/>
        <v>0</v>
      </c>
      <c r="Z32" s="45">
        <f t="shared" si="3"/>
        <v>0.43881351360560317</v>
      </c>
      <c r="AA32" s="82">
        <f t="shared" si="4"/>
        <v>5.8782739514953969E-2</v>
      </c>
      <c r="AB32" s="15"/>
      <c r="AC32" s="11"/>
      <c r="AD32" s="12"/>
      <c r="AE32" s="13"/>
      <c r="AF32" s="14"/>
      <c r="AG32" s="15"/>
      <c r="AH32" s="15"/>
      <c r="AI32" s="15"/>
      <c r="AK32" s="14"/>
      <c r="AL32" s="14"/>
      <c r="AM32" s="14"/>
      <c r="AN32" s="3"/>
      <c r="AO32" s="5"/>
      <c r="AP32" s="5"/>
      <c r="AQ32" s="4"/>
    </row>
    <row r="33" spans="1:43">
      <c r="A33" s="80">
        <v>4534</v>
      </c>
      <c r="B33" s="65" t="s">
        <v>16</v>
      </c>
      <c r="C33" s="72">
        <v>0.72100055015349074</v>
      </c>
      <c r="D33" s="81">
        <v>142.59899999999999</v>
      </c>
      <c r="E33" s="29">
        <v>491.86200000000002</v>
      </c>
      <c r="F33" s="30">
        <f t="shared" si="5"/>
        <v>497.58861098605183</v>
      </c>
      <c r="G33" s="31">
        <f t="shared" si="5"/>
        <v>507.52282511097553</v>
      </c>
      <c r="H33" s="29">
        <v>29.902032973583268</v>
      </c>
      <c r="I33" s="30">
        <v>14.726610986051798</v>
      </c>
      <c r="J33" s="31">
        <v>18.934214124923738</v>
      </c>
      <c r="K33" s="29">
        <v>5.0491237666463293</v>
      </c>
      <c r="L33" s="30">
        <v>35.063359490599517</v>
      </c>
      <c r="M33" s="31">
        <v>36.465893870223496</v>
      </c>
      <c r="N33" s="29">
        <v>9</v>
      </c>
      <c r="O33" s="31">
        <v>9</v>
      </c>
      <c r="P33" s="32">
        <f t="shared" si="1"/>
        <v>6.0793541630748599E-2</v>
      </c>
      <c r="Q33" s="33">
        <f t="shared" si="1"/>
        <v>2.9595956701799604E-2</v>
      </c>
      <c r="R33" s="34">
        <f t="shared" si="1"/>
        <v>3.73071183956772E-2</v>
      </c>
      <c r="S33" s="56">
        <v>64.610301826515823</v>
      </c>
      <c r="T33" s="58">
        <v>0.05</v>
      </c>
      <c r="U33" s="47"/>
      <c r="V33" s="47"/>
      <c r="W33" s="42">
        <v>661</v>
      </c>
      <c r="X33" s="45" t="e">
        <f t="shared" si="2"/>
        <v>#DIV/0!</v>
      </c>
      <c r="Y33" s="46">
        <f t="shared" si="2"/>
        <v>0</v>
      </c>
      <c r="Z33" s="45">
        <f t="shared" si="3"/>
        <v>0.76029609387067121</v>
      </c>
      <c r="AA33" s="82">
        <f t="shared" si="4"/>
        <v>2.5462046226153962E-2</v>
      </c>
      <c r="AB33" s="15"/>
      <c r="AC33" s="11"/>
      <c r="AD33" s="12"/>
      <c r="AE33" s="13"/>
      <c r="AF33" s="14"/>
      <c r="AG33" s="15"/>
      <c r="AH33" s="15"/>
      <c r="AI33" s="15"/>
      <c r="AK33" s="14"/>
      <c r="AL33" s="14"/>
      <c r="AM33" s="14"/>
      <c r="AN33" s="3"/>
      <c r="AO33" s="5"/>
      <c r="AP33" s="5"/>
      <c r="AQ33" s="4"/>
    </row>
    <row r="34" spans="1:43">
      <c r="A34" s="80">
        <v>4535</v>
      </c>
      <c r="B34" s="65" t="s">
        <v>17</v>
      </c>
      <c r="C34" s="72">
        <v>0.30733851654197353</v>
      </c>
      <c r="D34" s="81">
        <v>340.96600000000001</v>
      </c>
      <c r="E34" s="29">
        <v>1468.654</v>
      </c>
      <c r="F34" s="30">
        <f t="shared" si="5"/>
        <v>1552.1692185261873</v>
      </c>
      <c r="G34" s="31">
        <f t="shared" si="5"/>
        <v>1637.1508589243501</v>
      </c>
      <c r="H34" s="29">
        <v>119.9826375650358</v>
      </c>
      <c r="I34" s="30">
        <v>108.51521852618735</v>
      </c>
      <c r="J34" s="31">
        <v>109.98164039816287</v>
      </c>
      <c r="K34" s="29">
        <v>0.89745018564900891</v>
      </c>
      <c r="L34" s="30">
        <v>187.70199961286463</v>
      </c>
      <c r="M34" s="31">
        <v>190.63484335681562</v>
      </c>
      <c r="N34" s="29">
        <v>25</v>
      </c>
      <c r="O34" s="31">
        <v>25</v>
      </c>
      <c r="P34" s="32">
        <f t="shared" si="1"/>
        <v>8.1695646193750054E-2</v>
      </c>
      <c r="Q34" s="33">
        <f t="shared" si="1"/>
        <v>6.9911976884340296E-2</v>
      </c>
      <c r="R34" s="34">
        <f t="shared" si="1"/>
        <v>6.7178684113706907E-2</v>
      </c>
      <c r="S34" s="56">
        <v>71.184036194360175</v>
      </c>
      <c r="T34" s="58">
        <v>0.05</v>
      </c>
      <c r="U34" s="47"/>
      <c r="V34" s="47"/>
      <c r="W34" s="42">
        <v>2420</v>
      </c>
      <c r="X34" s="45" t="e">
        <f t="shared" si="2"/>
        <v>#DIV/0!</v>
      </c>
      <c r="Y34" s="46">
        <f t="shared" si="2"/>
        <v>0</v>
      </c>
      <c r="Z34" s="45">
        <f t="shared" si="3"/>
        <v>0.65895042922531766</v>
      </c>
      <c r="AA34" s="82">
        <f t="shared" si="4"/>
        <v>4.5143979116601285E-2</v>
      </c>
      <c r="AB34" s="15"/>
      <c r="AC34" s="11"/>
      <c r="AD34" s="12"/>
      <c r="AE34" s="13"/>
      <c r="AF34" s="14"/>
      <c r="AG34" s="15"/>
      <c r="AH34" s="15"/>
      <c r="AI34" s="15"/>
      <c r="AK34" s="14"/>
      <c r="AL34" s="14"/>
      <c r="AM34" s="14"/>
      <c r="AN34" s="3"/>
      <c r="AO34" s="5"/>
      <c r="AP34" s="5"/>
      <c r="AQ34" s="4"/>
    </row>
    <row r="35" spans="1:43">
      <c r="A35" s="80">
        <v>4536</v>
      </c>
      <c r="B35" s="65" t="s">
        <v>18</v>
      </c>
      <c r="C35" s="72">
        <v>0.36619117409243068</v>
      </c>
      <c r="D35" s="81">
        <v>87.962999999999994</v>
      </c>
      <c r="E35" s="29">
        <v>1176.6199999999999</v>
      </c>
      <c r="F35" s="30">
        <f t="shared" si="5"/>
        <v>1227.5673301274398</v>
      </c>
      <c r="G35" s="31">
        <f t="shared" si="5"/>
        <v>1279.6515018814728</v>
      </c>
      <c r="H35" s="29">
        <v>71.859759216943488</v>
      </c>
      <c r="I35" s="30">
        <v>90.947330127439955</v>
      </c>
      <c r="J35" s="31">
        <v>92.084171754032951</v>
      </c>
      <c r="K35" s="29">
        <v>4.2404192671918883</v>
      </c>
      <c r="L35" s="30">
        <v>156.88414446983393</v>
      </c>
      <c r="M35" s="31">
        <v>162.56835260279891</v>
      </c>
      <c r="N35" s="29">
        <v>40</v>
      </c>
      <c r="O35" s="31">
        <v>40</v>
      </c>
      <c r="P35" s="32">
        <f t="shared" si="1"/>
        <v>6.1073039058441546E-2</v>
      </c>
      <c r="Q35" s="33">
        <f t="shared" si="1"/>
        <v>7.4087447503183607E-2</v>
      </c>
      <c r="R35" s="34">
        <f t="shared" si="1"/>
        <v>7.196035140711475E-2</v>
      </c>
      <c r="S35" s="56">
        <v>137.11909707542239</v>
      </c>
      <c r="T35" s="58">
        <v>0.05</v>
      </c>
      <c r="U35" s="47"/>
      <c r="V35" s="47"/>
      <c r="W35" s="42">
        <v>1715</v>
      </c>
      <c r="X35" s="45" t="e">
        <f t="shared" si="2"/>
        <v>#DIV/0!</v>
      </c>
      <c r="Y35" s="46">
        <f t="shared" si="2"/>
        <v>0</v>
      </c>
      <c r="Z35" s="45">
        <f t="shared" si="3"/>
        <v>0.7309675895069716</v>
      </c>
      <c r="AA35" s="82">
        <f t="shared" si="4"/>
        <v>5.3361953901304056E-2</v>
      </c>
      <c r="AB35" s="15"/>
      <c r="AC35" s="11"/>
      <c r="AD35" s="12"/>
      <c r="AE35" s="13"/>
      <c r="AF35" s="14"/>
      <c r="AG35" s="15"/>
      <c r="AH35" s="15"/>
      <c r="AI35" s="15"/>
      <c r="AK35" s="14"/>
      <c r="AL35" s="14"/>
      <c r="AM35" s="14"/>
      <c r="AN35" s="3"/>
      <c r="AO35" s="5"/>
      <c r="AP35" s="5"/>
      <c r="AQ35" s="4"/>
    </row>
    <row r="36" spans="1:43">
      <c r="A36" s="80">
        <v>4537</v>
      </c>
      <c r="B36" s="65" t="s">
        <v>19</v>
      </c>
      <c r="C36" s="72">
        <v>0.36804398608068001</v>
      </c>
      <c r="D36" s="81">
        <v>122.947</v>
      </c>
      <c r="E36" s="29">
        <v>491.952</v>
      </c>
      <c r="F36" s="30">
        <f t="shared" si="5"/>
        <v>504.35275805021672</v>
      </c>
      <c r="G36" s="31">
        <f t="shared" si="5"/>
        <v>518.38023330378132</v>
      </c>
      <c r="H36" s="29">
        <v>27.280047500142338</v>
      </c>
      <c r="I36" s="30">
        <v>24.400758050216758</v>
      </c>
      <c r="J36" s="31">
        <v>26.027475253564546</v>
      </c>
      <c r="K36" s="29">
        <v>2.9524917240762281</v>
      </c>
      <c r="L36" s="30">
        <v>42.294647287042388</v>
      </c>
      <c r="M36" s="31">
        <v>46.361440295411846</v>
      </c>
      <c r="N36" s="29">
        <v>12</v>
      </c>
      <c r="O36" s="31">
        <v>12</v>
      </c>
      <c r="P36" s="32">
        <f t="shared" si="1"/>
        <v>5.5452661032259931E-2</v>
      </c>
      <c r="Q36" s="33">
        <f t="shared" si="1"/>
        <v>4.8380340269274895E-2</v>
      </c>
      <c r="R36" s="34">
        <f t="shared" si="1"/>
        <v>5.020923557922765E-2</v>
      </c>
      <c r="S36" s="56">
        <v>29.704595185020878</v>
      </c>
      <c r="T36" s="58">
        <v>0.05</v>
      </c>
      <c r="U36" s="47"/>
      <c r="V36" s="47"/>
      <c r="W36" s="42">
        <v>710</v>
      </c>
      <c r="X36" s="45" t="e">
        <f t="shared" si="2"/>
        <v>#DIV/0!</v>
      </c>
      <c r="Y36" s="46">
        <f t="shared" si="2"/>
        <v>0</v>
      </c>
      <c r="Z36" s="45">
        <f t="shared" si="3"/>
        <v>0.72023450095351971</v>
      </c>
      <c r="AA36" s="82">
        <f t="shared" si="4"/>
        <v>3.5512840354775567E-2</v>
      </c>
      <c r="AB36" s="15"/>
      <c r="AC36" s="11"/>
      <c r="AD36" s="12"/>
      <c r="AE36" s="13"/>
      <c r="AF36" s="14"/>
      <c r="AG36" s="15"/>
      <c r="AH36" s="15"/>
      <c r="AI36" s="15"/>
      <c r="AK36" s="14"/>
      <c r="AL36" s="14"/>
      <c r="AM36" s="14"/>
      <c r="AN36" s="3"/>
      <c r="AO36" s="5"/>
      <c r="AP36" s="5"/>
      <c r="AQ36" s="4"/>
    </row>
    <row r="37" spans="1:43">
      <c r="A37" s="80">
        <v>4538</v>
      </c>
      <c r="B37" s="65" t="s">
        <v>20</v>
      </c>
      <c r="C37" s="72">
        <v>0.81219509409113422</v>
      </c>
      <c r="D37" s="81">
        <v>94.512</v>
      </c>
      <c r="E37" s="29">
        <v>442.01799999999997</v>
      </c>
      <c r="F37" s="30">
        <f t="shared" si="5"/>
        <v>442.89543355341118</v>
      </c>
      <c r="G37" s="31">
        <f t="shared" si="5"/>
        <v>444.3019004570848</v>
      </c>
      <c r="H37" s="29">
        <v>5.8828508549178942</v>
      </c>
      <c r="I37" s="30">
        <v>6.8774335534112074</v>
      </c>
      <c r="J37" s="31">
        <v>7.406466903673607</v>
      </c>
      <c r="K37" s="29">
        <v>8.6020822752666337</v>
      </c>
      <c r="L37" s="30">
        <v>11.109700355510411</v>
      </c>
      <c r="M37" s="31">
        <v>12.16776705603521</v>
      </c>
      <c r="N37" s="29">
        <v>6</v>
      </c>
      <c r="O37" s="31">
        <v>6</v>
      </c>
      <c r="P37" s="32">
        <f t="shared" si="1"/>
        <v>1.3309075320276311E-2</v>
      </c>
      <c r="Q37" s="33">
        <f t="shared" si="1"/>
        <v>1.5528346043743573E-2</v>
      </c>
      <c r="R37" s="34">
        <f t="shared" si="1"/>
        <v>1.6669896968826942E-2</v>
      </c>
      <c r="S37" s="56">
        <v>20.430054668934538</v>
      </c>
      <c r="T37" s="58">
        <v>0.05</v>
      </c>
      <c r="U37" s="47"/>
      <c r="V37" s="47"/>
      <c r="W37" s="42">
        <v>373</v>
      </c>
      <c r="X37" s="45" t="e">
        <f t="shared" si="2"/>
        <v>#DIV/0!</v>
      </c>
      <c r="Y37" s="46">
        <f t="shared" si="2"/>
        <v>0</v>
      </c>
      <c r="Z37" s="45">
        <f t="shared" si="3"/>
        <v>1.1892725656977159</v>
      </c>
      <c r="AA37" s="82">
        <f t="shared" si="4"/>
        <v>1.9147319647566777E-2</v>
      </c>
      <c r="AB37" s="15"/>
      <c r="AC37" s="11"/>
      <c r="AD37" s="12"/>
      <c r="AE37" s="13"/>
      <c r="AF37" s="14"/>
      <c r="AG37" s="15"/>
      <c r="AH37" s="15"/>
      <c r="AI37" s="15"/>
      <c r="AK37" s="14"/>
      <c r="AL37" s="14"/>
      <c r="AM37" s="14"/>
      <c r="AN37" s="3"/>
      <c r="AO37" s="5"/>
      <c r="AP37" s="5"/>
      <c r="AQ37" s="4"/>
    </row>
    <row r="38" spans="1:43">
      <c r="A38" s="80">
        <v>4539</v>
      </c>
      <c r="B38" s="65" t="s">
        <v>21</v>
      </c>
      <c r="C38" s="72">
        <v>0.75659556635973457</v>
      </c>
      <c r="D38" s="81">
        <v>38.521999999999998</v>
      </c>
      <c r="E38" s="29">
        <v>95.14</v>
      </c>
      <c r="F38" s="30">
        <f t="shared" si="5"/>
        <v>113.3114345049582</v>
      </c>
      <c r="G38" s="31">
        <f t="shared" si="5"/>
        <v>139.27062665489851</v>
      </c>
      <c r="H38" s="29">
        <v>-37.978298115362648</v>
      </c>
      <c r="I38" s="30">
        <v>18.171434504958203</v>
      </c>
      <c r="J38" s="31">
        <v>25.959192149940296</v>
      </c>
      <c r="K38" s="29">
        <v>19.599190073204923</v>
      </c>
      <c r="L38" s="30">
        <v>31.151030579928353</v>
      </c>
      <c r="M38" s="31">
        <v>35.0449094024194</v>
      </c>
      <c r="N38" s="29">
        <v>0</v>
      </c>
      <c r="O38" s="31">
        <v>0</v>
      </c>
      <c r="P38" s="32">
        <f t="shared" si="1"/>
        <v>-0.39918328899897676</v>
      </c>
      <c r="Q38" s="33">
        <f t="shared" si="1"/>
        <v>0.16036717374858642</v>
      </c>
      <c r="R38" s="34">
        <f t="shared" si="1"/>
        <v>0.18639387768581742</v>
      </c>
      <c r="S38" s="56">
        <v>44.642522623068089</v>
      </c>
      <c r="T38" s="58">
        <v>0.05</v>
      </c>
      <c r="U38" s="47"/>
      <c r="V38" s="47"/>
      <c r="W38" s="42">
        <v>444</v>
      </c>
      <c r="X38" s="45" t="e">
        <f t="shared" si="2"/>
        <v>#DIV/0!</v>
      </c>
      <c r="Y38" s="46">
        <f t="shared" si="2"/>
        <v>0</v>
      </c>
      <c r="Z38" s="45">
        <f t="shared" si="3"/>
        <v>0.28443925806290171</v>
      </c>
      <c r="AA38" s="82">
        <f t="shared" si="4"/>
        <v>4.969665163839921E-2</v>
      </c>
      <c r="AB38" s="15"/>
      <c r="AC38" s="11"/>
      <c r="AD38" s="12"/>
      <c r="AE38" s="13"/>
      <c r="AF38" s="14"/>
      <c r="AG38" s="15"/>
      <c r="AH38" s="15"/>
      <c r="AI38" s="15"/>
      <c r="AK38" s="14"/>
      <c r="AL38" s="14"/>
      <c r="AM38" s="14"/>
      <c r="AN38" s="3"/>
      <c r="AO38" s="5"/>
      <c r="AP38" s="5"/>
      <c r="AQ38" s="4"/>
    </row>
    <row r="39" spans="1:43">
      <c r="A39" s="80">
        <v>4540</v>
      </c>
      <c r="B39" s="65" t="s">
        <v>22</v>
      </c>
      <c r="C39" s="72">
        <v>0.13349061702980547</v>
      </c>
      <c r="D39" s="81">
        <v>70.772000000000006</v>
      </c>
      <c r="E39" s="29">
        <v>408.82</v>
      </c>
      <c r="F39" s="30">
        <f t="shared" si="5"/>
        <v>525.9889368676877</v>
      </c>
      <c r="G39" s="31">
        <f t="shared" si="5"/>
        <v>631.85396823602548</v>
      </c>
      <c r="H39" s="29">
        <v>119.80726841123607</v>
      </c>
      <c r="I39" s="30">
        <v>127.16893686768776</v>
      </c>
      <c r="J39" s="31">
        <v>115.86503136833774</v>
      </c>
      <c r="K39" s="29">
        <v>1.8368846436443791</v>
      </c>
      <c r="L39" s="30">
        <v>141.29881874187529</v>
      </c>
      <c r="M39" s="31">
        <v>152.60272424122533</v>
      </c>
      <c r="N39" s="29">
        <v>10</v>
      </c>
      <c r="O39" s="31">
        <v>10</v>
      </c>
      <c r="P39" s="32">
        <f t="shared" si="1"/>
        <v>0.29305628005292322</v>
      </c>
      <c r="Q39" s="33">
        <f t="shared" si="1"/>
        <v>0.24177112474074156</v>
      </c>
      <c r="R39" s="34">
        <f t="shared" si="1"/>
        <v>0.18337311656331484</v>
      </c>
      <c r="S39" s="56">
        <v>76.840151949224961</v>
      </c>
      <c r="T39" s="58">
        <v>0.05</v>
      </c>
      <c r="U39" s="47"/>
      <c r="V39" s="47"/>
      <c r="W39" s="42">
        <v>1542</v>
      </c>
      <c r="X39" s="45" t="e">
        <f t="shared" si="2"/>
        <v>#DIV/0!</v>
      </c>
      <c r="Y39" s="46">
        <f t="shared" si="2"/>
        <v>0</v>
      </c>
      <c r="Z39" s="45">
        <f t="shared" si="3"/>
        <v>0.37543544264063339</v>
      </c>
      <c r="AA39" s="82">
        <f t="shared" si="4"/>
        <v>7.8804788662783884E-2</v>
      </c>
      <c r="AB39" s="15"/>
      <c r="AC39" s="11"/>
      <c r="AD39" s="12"/>
      <c r="AE39" s="13"/>
      <c r="AF39" s="14"/>
      <c r="AG39" s="15"/>
      <c r="AH39" s="15"/>
      <c r="AI39" s="15"/>
      <c r="AK39" s="14"/>
      <c r="AL39" s="14"/>
      <c r="AM39" s="14"/>
      <c r="AN39" s="3"/>
      <c r="AO39" s="5"/>
      <c r="AP39" s="5"/>
      <c r="AQ39" s="4"/>
    </row>
    <row r="40" spans="1:43">
      <c r="A40" s="80">
        <v>4544</v>
      </c>
      <c r="B40" s="65" t="s">
        <v>100</v>
      </c>
      <c r="C40" s="72">
        <v>0.83369431770101743</v>
      </c>
      <c r="D40" s="81">
        <v>43.271000000000001</v>
      </c>
      <c r="E40" s="29">
        <v>990.178</v>
      </c>
      <c r="F40" s="30">
        <f t="shared" si="5"/>
        <v>1070.9296812645882</v>
      </c>
      <c r="G40" s="31">
        <f t="shared" si="5"/>
        <v>1156.3033957615955</v>
      </c>
      <c r="H40" s="29">
        <v>116.84500011555082</v>
      </c>
      <c r="I40" s="30">
        <v>94.751681264588285</v>
      </c>
      <c r="J40" s="31">
        <v>99.373714497007228</v>
      </c>
      <c r="K40" s="29">
        <v>19.320098911511174</v>
      </c>
      <c r="L40" s="30">
        <v>154.83811328603454</v>
      </c>
      <c r="M40" s="31">
        <v>171.01522959950083</v>
      </c>
      <c r="N40" s="29">
        <v>14</v>
      </c>
      <c r="O40" s="31">
        <v>14</v>
      </c>
      <c r="P40" s="32">
        <f t="shared" si="1"/>
        <v>0.11800403575473381</v>
      </c>
      <c r="Q40" s="33">
        <f t="shared" si="1"/>
        <v>8.8476099712450268E-2</v>
      </c>
      <c r="R40" s="34">
        <f t="shared" si="1"/>
        <v>8.5940865400256861E-2</v>
      </c>
      <c r="S40" s="56">
        <v>64.305229910954438</v>
      </c>
      <c r="T40" s="58">
        <v>0.05</v>
      </c>
      <c r="U40" s="47"/>
      <c r="V40" s="47"/>
      <c r="W40" s="42">
        <v>1497</v>
      </c>
      <c r="X40" s="45" t="e">
        <f t="shared" si="2"/>
        <v>#DIV/0!</v>
      </c>
      <c r="Y40" s="46">
        <f t="shared" si="2"/>
        <v>0</v>
      </c>
      <c r="Z40" s="45">
        <f t="shared" si="3"/>
        <v>0.74389882332203872</v>
      </c>
      <c r="AA40" s="82">
        <f t="shared" si="4"/>
        <v>6.4838141536939051E-2</v>
      </c>
      <c r="AB40" s="15"/>
      <c r="AC40" s="11"/>
      <c r="AD40" s="12"/>
      <c r="AE40" s="13"/>
      <c r="AF40" s="14"/>
      <c r="AG40" s="15"/>
      <c r="AH40" s="15"/>
      <c r="AI40" s="15"/>
      <c r="AK40" s="14"/>
      <c r="AL40" s="14"/>
      <c r="AM40" s="14"/>
      <c r="AN40" s="3"/>
      <c r="AO40" s="5"/>
      <c r="AP40" s="5"/>
      <c r="AQ40" s="4"/>
    </row>
    <row r="41" spans="1:43">
      <c r="A41" s="80">
        <v>4547</v>
      </c>
      <c r="B41" s="65" t="s">
        <v>23</v>
      </c>
      <c r="C41" s="72">
        <v>0.21250927047864582</v>
      </c>
      <c r="D41" s="81">
        <v>56.795000000000002</v>
      </c>
      <c r="E41" s="29">
        <v>2047.0989999999999</v>
      </c>
      <c r="F41" s="30">
        <f t="shared" si="5"/>
        <v>2110.3809790474511</v>
      </c>
      <c r="G41" s="31">
        <f t="shared" si="5"/>
        <v>2164.3311507174926</v>
      </c>
      <c r="H41" s="29">
        <v>98.582621709657531</v>
      </c>
      <c r="I41" s="30">
        <v>83.281979047451372</v>
      </c>
      <c r="J41" s="31">
        <v>73.950171670041385</v>
      </c>
      <c r="K41" s="29">
        <v>3.6446870323091818</v>
      </c>
      <c r="L41" s="30">
        <v>115.85526894973148</v>
      </c>
      <c r="M41" s="31">
        <v>122.89814244211638</v>
      </c>
      <c r="N41" s="29">
        <v>20</v>
      </c>
      <c r="O41" s="31">
        <v>20</v>
      </c>
      <c r="P41" s="32">
        <f t="shared" si="1"/>
        <v>4.8157232117087417E-2</v>
      </c>
      <c r="Q41" s="33">
        <f t="shared" si="1"/>
        <v>3.9463006857198751E-2</v>
      </c>
      <c r="R41" s="34">
        <f t="shared" si="1"/>
        <v>3.4167678844120655E-2</v>
      </c>
      <c r="S41" s="56">
        <v>173.54791048687966</v>
      </c>
      <c r="T41" s="58">
        <v>0.05</v>
      </c>
      <c r="U41" s="47"/>
      <c r="V41" s="47"/>
      <c r="W41" s="42">
        <v>2455</v>
      </c>
      <c r="X41" s="45" t="e">
        <f t="shared" si="2"/>
        <v>#DIV/0!</v>
      </c>
      <c r="Y41" s="46">
        <f t="shared" si="2"/>
        <v>0</v>
      </c>
      <c r="Z41" s="45">
        <f t="shared" si="3"/>
        <v>0.87061346838389897</v>
      </c>
      <c r="AA41" s="82">
        <f t="shared" si="4"/>
        <v>3.2022841286658402E-2</v>
      </c>
      <c r="AB41" s="15"/>
      <c r="AC41" s="11"/>
      <c r="AD41" s="12"/>
      <c r="AE41" s="13"/>
      <c r="AF41" s="14"/>
      <c r="AG41" s="15"/>
      <c r="AH41" s="15"/>
      <c r="AI41" s="15"/>
      <c r="AK41" s="14"/>
      <c r="AL41" s="14"/>
      <c r="AM41" s="14"/>
      <c r="AN41" s="3"/>
      <c r="AO41" s="5"/>
      <c r="AP41" s="5"/>
      <c r="AQ41" s="4"/>
    </row>
    <row r="42" spans="1:43">
      <c r="A42" s="80">
        <v>4549</v>
      </c>
      <c r="B42" s="65" t="s">
        <v>101</v>
      </c>
      <c r="C42" s="72">
        <v>1.759673911462561</v>
      </c>
      <c r="D42" s="81">
        <v>23.771000000000001</v>
      </c>
      <c r="E42" s="29">
        <v>862.94200000000001</v>
      </c>
      <c r="F42" s="30">
        <f t="shared" si="5"/>
        <v>890.38257885658993</v>
      </c>
      <c r="G42" s="31">
        <f t="shared" si="5"/>
        <v>920.34724168103992</v>
      </c>
      <c r="H42" s="29">
        <v>26.923562323839974</v>
      </c>
      <c r="I42" s="30">
        <v>37.440578856589958</v>
      </c>
      <c r="J42" s="31">
        <v>39.96466282444996</v>
      </c>
      <c r="K42" s="29">
        <v>73.955660258297911</v>
      </c>
      <c r="L42" s="30">
        <v>70.674351100079932</v>
      </c>
      <c r="M42" s="31">
        <v>75.72251903579992</v>
      </c>
      <c r="N42" s="29">
        <v>10</v>
      </c>
      <c r="O42" s="31">
        <v>10</v>
      </c>
      <c r="P42" s="32">
        <f t="shared" si="1"/>
        <v>3.1199735699316958E-2</v>
      </c>
      <c r="Q42" s="33">
        <f t="shared" si="1"/>
        <v>4.2049990358830176E-2</v>
      </c>
      <c r="R42" s="34">
        <f t="shared" si="1"/>
        <v>4.3423461292124252E-2</v>
      </c>
      <c r="S42" s="56">
        <v>83.921504605993121</v>
      </c>
      <c r="T42" s="58">
        <v>0.05</v>
      </c>
      <c r="U42" s="47"/>
      <c r="V42" s="47"/>
      <c r="W42" s="42">
        <v>1020</v>
      </c>
      <c r="X42" s="45" t="e">
        <f t="shared" si="2"/>
        <v>#DIV/0!</v>
      </c>
      <c r="Y42" s="46">
        <f t="shared" si="2"/>
        <v>0</v>
      </c>
      <c r="Z42" s="45">
        <f t="shared" si="3"/>
        <v>0.88761265712628912</v>
      </c>
      <c r="AA42" s="82">
        <f t="shared" si="4"/>
        <v>3.7943745922078387E-2</v>
      </c>
      <c r="AB42" s="15"/>
      <c r="AC42" s="11"/>
      <c r="AD42" s="12"/>
      <c r="AE42" s="13"/>
      <c r="AF42" s="14"/>
      <c r="AG42" s="15"/>
      <c r="AH42" s="15"/>
      <c r="AI42" s="15"/>
      <c r="AK42" s="14"/>
      <c r="AL42" s="14"/>
      <c r="AM42" s="14"/>
      <c r="AN42" s="3"/>
      <c r="AO42" s="5"/>
      <c r="AP42" s="5"/>
      <c r="AQ42" s="4"/>
    </row>
    <row r="43" spans="1:43">
      <c r="A43" s="80">
        <v>4551</v>
      </c>
      <c r="B43" s="65" t="s">
        <v>24</v>
      </c>
      <c r="C43" s="72">
        <v>0.54401114331825318</v>
      </c>
      <c r="D43" s="81">
        <v>28.8</v>
      </c>
      <c r="E43" s="29">
        <v>1963.7850000000001</v>
      </c>
      <c r="F43" s="30">
        <f t="shared" si="5"/>
        <v>2111.923888888889</v>
      </c>
      <c r="G43" s="31">
        <f t="shared" si="5"/>
        <v>2242.7016666666668</v>
      </c>
      <c r="H43" s="29">
        <v>170.59027777777777</v>
      </c>
      <c r="I43" s="30">
        <v>170.13888888888889</v>
      </c>
      <c r="J43" s="31">
        <v>152.7777777777778</v>
      </c>
      <c r="K43" s="29">
        <v>18.784722222222225</v>
      </c>
      <c r="L43" s="30">
        <v>309.02777777777777</v>
      </c>
      <c r="M43" s="31">
        <v>243.05555555555554</v>
      </c>
      <c r="N43" s="29">
        <v>22</v>
      </c>
      <c r="O43" s="31">
        <v>22</v>
      </c>
      <c r="P43" s="32">
        <f t="shared" si="1"/>
        <v>8.6868103065140923E-2</v>
      </c>
      <c r="Q43" s="33">
        <f t="shared" si="1"/>
        <v>8.0561089243799025E-2</v>
      </c>
      <c r="R43" s="34">
        <f t="shared" si="1"/>
        <v>6.8122202809458729E-2</v>
      </c>
      <c r="S43" s="56">
        <v>12.494909775450907</v>
      </c>
      <c r="T43" s="58">
        <v>0.05</v>
      </c>
      <c r="U43" s="47"/>
      <c r="V43" s="47"/>
      <c r="W43" s="42">
        <v>2265</v>
      </c>
      <c r="X43" s="45" t="e">
        <f t="shared" si="2"/>
        <v>#DIV/0!</v>
      </c>
      <c r="Y43" s="46">
        <f t="shared" si="2"/>
        <v>0</v>
      </c>
      <c r="Z43" s="45">
        <f t="shared" si="3"/>
        <v>0.96128599460387554</v>
      </c>
      <c r="AA43" s="82">
        <f t="shared" si="4"/>
        <v>7.1284032376747616E-2</v>
      </c>
      <c r="AB43" s="15"/>
    </row>
    <row r="44" spans="1:43">
      <c r="A44" s="80">
        <v>4555</v>
      </c>
      <c r="B44" s="65" t="s">
        <v>102</v>
      </c>
      <c r="C44" s="72">
        <v>-0.26339119740026218</v>
      </c>
      <c r="D44" s="81">
        <v>13.64</v>
      </c>
      <c r="E44" s="29">
        <v>1895.1610000000001</v>
      </c>
      <c r="F44" s="30">
        <f t="shared" ref="F44:G46" si="6">+E44+I44-N44</f>
        <v>2032.5803548387098</v>
      </c>
      <c r="G44" s="31">
        <f t="shared" si="6"/>
        <v>2201.5246363636365</v>
      </c>
      <c r="H44" s="29">
        <v>167.30205278592376</v>
      </c>
      <c r="I44" s="30">
        <v>177.41935483870967</v>
      </c>
      <c r="J44" s="31">
        <v>208.94428152492671</v>
      </c>
      <c r="K44" s="29">
        <v>-18.988269794721408</v>
      </c>
      <c r="L44" s="30">
        <v>324.78005865102637</v>
      </c>
      <c r="M44" s="31">
        <v>381.23167155425222</v>
      </c>
      <c r="N44" s="29">
        <v>40</v>
      </c>
      <c r="O44" s="31">
        <v>40</v>
      </c>
      <c r="P44" s="32">
        <f t="shared" si="1"/>
        <v>8.8278543504179199E-2</v>
      </c>
      <c r="Q44" s="33">
        <f t="shared" si="1"/>
        <v>8.7287744573713702E-2</v>
      </c>
      <c r="R44" s="34">
        <f t="shared" si="1"/>
        <v>9.4908899983990172E-2</v>
      </c>
      <c r="S44" s="56">
        <v>138.88150647251842</v>
      </c>
      <c r="T44" s="58">
        <v>0.05</v>
      </c>
      <c r="U44" s="47"/>
      <c r="V44" s="47"/>
      <c r="W44" s="42">
        <v>4600</v>
      </c>
      <c r="X44" s="45" t="e">
        <f t="shared" si="2"/>
        <v>#DIV/0!</v>
      </c>
      <c r="Y44" s="46">
        <f t="shared" si="2"/>
        <v>0</v>
      </c>
      <c r="Z44" s="45">
        <f t="shared" si="3"/>
        <v>0.46022880339155936</v>
      </c>
      <c r="AA44" s="82">
        <f t="shared" si="4"/>
        <v>4.199604743083004E-2</v>
      </c>
      <c r="AB44" s="15"/>
    </row>
    <row r="45" spans="1:43">
      <c r="A45" s="80">
        <v>4559</v>
      </c>
      <c r="B45" s="65" t="s">
        <v>103</v>
      </c>
      <c r="C45" s="72">
        <v>0.18571702091076281</v>
      </c>
      <c r="D45" s="81">
        <v>48.29</v>
      </c>
      <c r="E45" s="29">
        <v>607.37199999999996</v>
      </c>
      <c r="F45" s="30">
        <f t="shared" si="6"/>
        <v>606.90316587285145</v>
      </c>
      <c r="G45" s="31">
        <f t="shared" si="6"/>
        <v>607.46974280389304</v>
      </c>
      <c r="H45" s="29">
        <v>32.180575688548352</v>
      </c>
      <c r="I45" s="30">
        <v>15.531165872851522</v>
      </c>
      <c r="J45" s="31">
        <v>16.566576931041624</v>
      </c>
      <c r="K45" s="29">
        <v>3.8724373576309792</v>
      </c>
      <c r="L45" s="30">
        <v>33.133153862083248</v>
      </c>
      <c r="M45" s="31">
        <v>35.203975978463447</v>
      </c>
      <c r="N45" s="29">
        <v>16</v>
      </c>
      <c r="O45" s="31">
        <v>16</v>
      </c>
      <c r="P45" s="32">
        <f t="shared" si="1"/>
        <v>5.2983304611586235E-2</v>
      </c>
      <c r="Q45" s="33">
        <f t="shared" si="1"/>
        <v>2.5590846688885723E-2</v>
      </c>
      <c r="R45" s="34">
        <f t="shared" si="1"/>
        <v>2.7271443767018604E-2</v>
      </c>
      <c r="S45" s="56">
        <v>95.645406538824432</v>
      </c>
      <c r="T45" s="58">
        <v>0.05</v>
      </c>
      <c r="U45" s="47"/>
      <c r="V45" s="47"/>
      <c r="W45" s="42">
        <v>1120</v>
      </c>
      <c r="X45" s="45" t="e">
        <f t="shared" si="2"/>
        <v>#DIV/0!</v>
      </c>
      <c r="Y45" s="46">
        <f t="shared" si="2"/>
        <v>0</v>
      </c>
      <c r="Z45" s="45">
        <f t="shared" si="3"/>
        <v>0.54213076280211803</v>
      </c>
      <c r="AA45" s="82">
        <f t="shared" si="4"/>
        <v>1.4329349466023726E-2</v>
      </c>
      <c r="AB45" s="15"/>
    </row>
    <row r="46" spans="1:43">
      <c r="A46" s="83">
        <v>4560</v>
      </c>
      <c r="B46" s="84" t="s">
        <v>105</v>
      </c>
      <c r="C46" s="73">
        <v>0.72108819045126804</v>
      </c>
      <c r="D46" s="85">
        <v>86.346000000000004</v>
      </c>
      <c r="E46" s="86">
        <v>1063.8130000000001</v>
      </c>
      <c r="F46" s="87">
        <f t="shared" si="6"/>
        <v>1085.1894621406898</v>
      </c>
      <c r="G46" s="88">
        <f t="shared" si="6"/>
        <v>1108.8821867602437</v>
      </c>
      <c r="H46" s="86">
        <v>65.920830148472433</v>
      </c>
      <c r="I46" s="87">
        <v>39.376462140689782</v>
      </c>
      <c r="J46" s="88">
        <v>41.692724619553886</v>
      </c>
      <c r="K46" s="86">
        <v>8.3153822991221364</v>
      </c>
      <c r="L46" s="87">
        <v>78.752924281379563</v>
      </c>
      <c r="M46" s="88">
        <v>82.227317999675705</v>
      </c>
      <c r="N46" s="86">
        <v>18</v>
      </c>
      <c r="O46" s="88">
        <v>18</v>
      </c>
      <c r="P46" s="89">
        <f t="shared" si="1"/>
        <v>6.1966558171852031E-2</v>
      </c>
      <c r="Q46" s="90">
        <f t="shared" si="1"/>
        <v>3.6285334049424085E-2</v>
      </c>
      <c r="R46" s="79">
        <f t="shared" si="1"/>
        <v>3.7598876704264754E-2</v>
      </c>
      <c r="S46" s="91">
        <v>95.613098147255727</v>
      </c>
      <c r="T46" s="92">
        <v>0.05</v>
      </c>
      <c r="U46" s="94"/>
      <c r="V46" s="94"/>
      <c r="W46" s="43">
        <v>1597</v>
      </c>
      <c r="X46" s="95" t="e">
        <f t="shared" si="2"/>
        <v>#DIV/0!</v>
      </c>
      <c r="Y46" s="96">
        <f t="shared" si="2"/>
        <v>0</v>
      </c>
      <c r="Z46" s="95">
        <f t="shared" si="3"/>
        <v>0.6869353941455647</v>
      </c>
      <c r="AA46" s="97">
        <f t="shared" si="4"/>
        <v>2.538171157177322E-2</v>
      </c>
      <c r="AB46" s="15"/>
    </row>
    <row r="49" spans="3:19">
      <c r="R49" s="27"/>
      <c r="S49" s="27"/>
    </row>
    <row r="50" spans="3:19">
      <c r="C50" s="49"/>
      <c r="R50" s="27"/>
      <c r="S50" s="27"/>
    </row>
    <row r="51" spans="3:19">
      <c r="C51" s="49"/>
      <c r="R51" s="27"/>
      <c r="S51" s="27"/>
    </row>
    <row r="52" spans="3:19">
      <c r="C52" s="49"/>
      <c r="R52" s="27"/>
      <c r="S52" s="60"/>
    </row>
    <row r="53" spans="3:19">
      <c r="C53" s="49"/>
      <c r="R53" s="27"/>
      <c r="S53" s="60"/>
    </row>
    <row r="54" spans="3:19">
      <c r="C54" s="49"/>
      <c r="R54" s="27"/>
      <c r="S54" s="60"/>
    </row>
    <row r="55" spans="3:19">
      <c r="C55" s="49"/>
      <c r="R55" s="27"/>
      <c r="S55" s="60"/>
    </row>
    <row r="56" spans="3:19">
      <c r="C56" s="49"/>
      <c r="R56" s="27"/>
      <c r="S56" s="60"/>
    </row>
    <row r="57" spans="3:19">
      <c r="C57" s="49"/>
      <c r="R57" s="27"/>
      <c r="S57" s="60"/>
    </row>
    <row r="58" spans="3:19">
      <c r="C58" s="49"/>
      <c r="R58" s="27"/>
      <c r="S58" s="60"/>
    </row>
    <row r="59" spans="3:19">
      <c r="C59" s="49"/>
      <c r="R59" s="27"/>
      <c r="S59" s="60"/>
    </row>
    <row r="60" spans="3:19">
      <c r="C60" s="49"/>
      <c r="R60" s="27"/>
      <c r="S60" s="60"/>
    </row>
    <row r="61" spans="3:19">
      <c r="C61" s="49"/>
      <c r="R61" s="27"/>
      <c r="S61" s="60"/>
    </row>
    <row r="62" spans="3:19">
      <c r="C62" s="49"/>
      <c r="R62" s="27"/>
      <c r="S62" s="60"/>
    </row>
    <row r="63" spans="3:19">
      <c r="C63" s="49"/>
      <c r="R63" s="27"/>
      <c r="S63" s="60"/>
    </row>
    <row r="64" spans="3:19">
      <c r="C64" s="49"/>
      <c r="R64" s="27"/>
      <c r="S64" s="60"/>
    </row>
    <row r="65" spans="3:19">
      <c r="C65" s="49"/>
      <c r="R65" s="27"/>
      <c r="S65" s="60"/>
    </row>
    <row r="66" spans="3:19">
      <c r="C66" s="49"/>
      <c r="R66" s="27"/>
      <c r="S66" s="60"/>
    </row>
    <row r="67" spans="3:19">
      <c r="C67" s="49"/>
      <c r="R67" s="27"/>
      <c r="S67" s="60"/>
    </row>
    <row r="68" spans="3:19">
      <c r="C68" s="49"/>
      <c r="R68" s="27"/>
      <c r="S68" s="60"/>
    </row>
    <row r="69" spans="3:19">
      <c r="C69" s="49"/>
      <c r="R69" s="27"/>
      <c r="S69" s="60"/>
    </row>
    <row r="70" spans="3:19">
      <c r="C70" s="49"/>
      <c r="R70" s="27"/>
      <c r="S70" s="60"/>
    </row>
    <row r="71" spans="3:19">
      <c r="C71" s="49"/>
      <c r="R71" s="27"/>
      <c r="S71" s="60"/>
    </row>
    <row r="72" spans="3:19">
      <c r="C72" s="49"/>
      <c r="R72" s="27"/>
      <c r="S72" s="60"/>
    </row>
    <row r="73" spans="3:19">
      <c r="C73" s="49"/>
      <c r="R73" s="27"/>
      <c r="S73" s="60"/>
    </row>
    <row r="74" spans="3:19">
      <c r="C74" s="49"/>
      <c r="R74" s="27"/>
      <c r="S74" s="60"/>
    </row>
    <row r="75" spans="3:19">
      <c r="C75" s="49"/>
      <c r="R75" s="27"/>
      <c r="S75" s="60"/>
    </row>
    <row r="76" spans="3:19">
      <c r="C76" s="49"/>
      <c r="R76" s="27"/>
      <c r="S76" s="60"/>
    </row>
    <row r="77" spans="3:19">
      <c r="C77" s="49"/>
      <c r="R77" s="27"/>
      <c r="S77" s="60"/>
    </row>
    <row r="78" spans="3:19">
      <c r="C78" s="49"/>
      <c r="R78" s="27"/>
      <c r="S78" s="60"/>
    </row>
    <row r="79" spans="3:19">
      <c r="C79" s="49"/>
      <c r="R79" s="27"/>
      <c r="S79" s="60"/>
    </row>
    <row r="80" spans="3:19">
      <c r="C80" s="49"/>
      <c r="R80" s="27"/>
      <c r="S80" s="60"/>
    </row>
    <row r="81" spans="3:19">
      <c r="C81" s="49"/>
      <c r="R81" s="27"/>
      <c r="S81" s="60"/>
    </row>
    <row r="82" spans="3:19">
      <c r="C82" s="49"/>
      <c r="R82" s="27"/>
      <c r="S82" s="60"/>
    </row>
    <row r="83" spans="3:19">
      <c r="C83" s="49"/>
      <c r="R83" s="27"/>
      <c r="S83" s="60"/>
    </row>
    <row r="84" spans="3:19">
      <c r="C84" s="49"/>
      <c r="R84" s="27"/>
      <c r="S84" s="60"/>
    </row>
    <row r="85" spans="3:19">
      <c r="R85" s="27"/>
      <c r="S85" s="60"/>
    </row>
    <row r="86" spans="3:19">
      <c r="R86" s="27"/>
      <c r="S86" s="60"/>
    </row>
  </sheetData>
  <phoneticPr fontId="2"/>
  <pageMargins left="0.78700000000000003" right="0.78700000000000003" top="0.98399999999999999" bottom="0.98399999999999999" header="0.5" footer="0.5"/>
  <headerFooter alignWithMargins="0">
    <oddHeader>&amp;A</oddHeader>
    <oddFooter>Page &amp;P</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AQ86"/>
  <sheetViews>
    <sheetView topLeftCell="H1" workbookViewId="0">
      <selection activeCell="AC34" sqref="AC34"/>
    </sheetView>
  </sheetViews>
  <sheetFormatPr defaultRowHeight="12"/>
  <cols>
    <col min="1" max="1" width="6.7109375" bestFit="1" customWidth="1"/>
    <col min="2" max="2" width="27" bestFit="1" customWidth="1"/>
    <col min="3" max="3" width="12.85546875" bestFit="1" customWidth="1"/>
    <col min="4" max="4" width="15.28515625" bestFit="1" customWidth="1"/>
    <col min="18" max="18" width="9" customWidth="1"/>
    <col min="19" max="19" width="12.7109375" bestFit="1" customWidth="1"/>
    <col min="20" max="20" width="13.85546875" bestFit="1" customWidth="1"/>
    <col min="21" max="21" width="9" customWidth="1"/>
    <col min="22" max="23" width="10.140625" bestFit="1" customWidth="1"/>
    <col min="24" max="24" width="12" customWidth="1"/>
    <col min="25" max="25" width="10.85546875" customWidth="1"/>
    <col min="26" max="26" width="10.140625" bestFit="1" customWidth="1"/>
    <col min="28" max="34" width="9.140625" style="6"/>
    <col min="35" max="35" width="9.42578125" style="6" bestFit="1" customWidth="1"/>
    <col min="36" max="39" width="9.140625" style="6"/>
  </cols>
  <sheetData>
    <row r="2" spans="1:43">
      <c r="S2" s="61"/>
      <c r="T2" s="62"/>
      <c r="U2" s="61"/>
    </row>
    <row r="3" spans="1:43">
      <c r="S3" s="61"/>
      <c r="T3" s="62"/>
      <c r="U3" s="61"/>
    </row>
    <row r="4" spans="1:43">
      <c r="S4" s="61"/>
      <c r="T4" s="63"/>
      <c r="U4" s="61"/>
    </row>
    <row r="5" spans="1:43">
      <c r="Z5" s="1"/>
      <c r="AA5" s="1"/>
      <c r="AB5" s="7"/>
      <c r="AC5" s="7"/>
      <c r="AD5" s="7"/>
    </row>
    <row r="6" spans="1:43">
      <c r="Z6" s="2"/>
    </row>
    <row r="8" spans="1:43">
      <c r="A8" s="23"/>
      <c r="B8" s="24"/>
      <c r="C8" s="66" t="s">
        <v>118</v>
      </c>
      <c r="D8" s="98" t="s">
        <v>109</v>
      </c>
      <c r="E8" s="23" t="s">
        <v>51</v>
      </c>
      <c r="F8" s="24"/>
      <c r="G8" s="25"/>
      <c r="H8" s="23" t="s">
        <v>53</v>
      </c>
      <c r="I8" s="24"/>
      <c r="J8" s="25"/>
      <c r="K8" s="23" t="s">
        <v>54</v>
      </c>
      <c r="L8" s="24"/>
      <c r="M8" s="25"/>
      <c r="N8" s="23" t="s">
        <v>55</v>
      </c>
      <c r="O8" s="25"/>
      <c r="P8" s="23" t="s">
        <v>56</v>
      </c>
      <c r="Q8" s="24"/>
      <c r="R8" s="25"/>
      <c r="S8" s="23" t="s">
        <v>58</v>
      </c>
      <c r="T8" s="74" t="s">
        <v>113</v>
      </c>
      <c r="U8" s="75" t="s">
        <v>36</v>
      </c>
      <c r="V8" s="76"/>
      <c r="W8" s="74" t="s">
        <v>35</v>
      </c>
      <c r="X8" s="75" t="s">
        <v>114</v>
      </c>
      <c r="Y8" s="76"/>
      <c r="Z8" s="75" t="s">
        <v>117</v>
      </c>
      <c r="AA8" s="25"/>
      <c r="AC8" s="8"/>
    </row>
    <row r="9" spans="1:43">
      <c r="A9" s="26"/>
      <c r="B9" s="27"/>
      <c r="C9" s="67"/>
      <c r="D9" s="28"/>
      <c r="E9" s="26" t="s">
        <v>52</v>
      </c>
      <c r="F9" s="27"/>
      <c r="G9" s="28"/>
      <c r="H9" s="26" t="s">
        <v>30</v>
      </c>
      <c r="I9" s="27"/>
      <c r="J9" s="28"/>
      <c r="K9" s="26" t="s">
        <v>31</v>
      </c>
      <c r="L9" s="27"/>
      <c r="M9" s="28"/>
      <c r="N9" s="26" t="s">
        <v>26</v>
      </c>
      <c r="O9" s="28"/>
      <c r="P9" s="26"/>
      <c r="Q9" s="27"/>
      <c r="R9" s="28"/>
      <c r="S9" s="26" t="s">
        <v>57</v>
      </c>
      <c r="T9" s="42"/>
      <c r="U9" s="38"/>
      <c r="V9" s="39"/>
      <c r="W9" s="42"/>
      <c r="X9" s="38"/>
      <c r="Y9" s="39"/>
      <c r="Z9" s="38"/>
      <c r="AA9" s="28"/>
      <c r="AC9" s="7"/>
      <c r="AD9" s="9"/>
      <c r="AI9" s="10"/>
    </row>
    <row r="10" spans="1:43">
      <c r="A10" s="26"/>
      <c r="B10" s="27"/>
      <c r="C10" s="68"/>
      <c r="D10" s="99"/>
      <c r="E10" s="26" t="s">
        <v>27</v>
      </c>
      <c r="F10" s="27" t="s">
        <v>28</v>
      </c>
      <c r="G10" s="28" t="s">
        <v>29</v>
      </c>
      <c r="H10" s="26" t="s">
        <v>27</v>
      </c>
      <c r="I10" s="27" t="s">
        <v>28</v>
      </c>
      <c r="J10" s="28" t="s">
        <v>29</v>
      </c>
      <c r="K10" s="26" t="s">
        <v>27</v>
      </c>
      <c r="L10" s="27" t="s">
        <v>28</v>
      </c>
      <c r="M10" s="28" t="s">
        <v>29</v>
      </c>
      <c r="N10" s="26" t="s">
        <v>28</v>
      </c>
      <c r="O10" s="28" t="s">
        <v>29</v>
      </c>
      <c r="P10" s="26" t="s">
        <v>27</v>
      </c>
      <c r="Q10" s="27" t="s">
        <v>28</v>
      </c>
      <c r="R10" s="28" t="s">
        <v>29</v>
      </c>
      <c r="S10" s="26"/>
      <c r="T10" s="42"/>
      <c r="U10" s="38" t="s">
        <v>33</v>
      </c>
      <c r="V10" s="39" t="s">
        <v>34</v>
      </c>
      <c r="W10" s="42"/>
      <c r="X10" s="51" t="s">
        <v>107</v>
      </c>
      <c r="Y10" s="39" t="s">
        <v>108</v>
      </c>
      <c r="Z10" s="38" t="s">
        <v>115</v>
      </c>
      <c r="AA10" s="28" t="s">
        <v>116</v>
      </c>
      <c r="AC10" s="7"/>
      <c r="AD10" s="9"/>
    </row>
    <row r="11" spans="1:43">
      <c r="A11" s="77"/>
      <c r="B11" s="78"/>
      <c r="C11" s="69"/>
      <c r="D11" s="35"/>
      <c r="E11" s="37"/>
      <c r="F11" s="36"/>
      <c r="G11" s="35"/>
      <c r="H11" s="37"/>
      <c r="I11" s="36"/>
      <c r="J11" s="35"/>
      <c r="K11" s="37"/>
      <c r="L11" s="36"/>
      <c r="M11" s="35"/>
      <c r="N11" s="37"/>
      <c r="O11" s="35"/>
      <c r="P11" s="37"/>
      <c r="Q11" s="36"/>
      <c r="R11" s="35"/>
      <c r="S11" s="55"/>
      <c r="T11" s="57"/>
      <c r="U11" s="41"/>
      <c r="V11" s="40"/>
      <c r="W11" s="43"/>
      <c r="X11" s="44"/>
      <c r="Y11" s="40"/>
      <c r="Z11" s="41"/>
      <c r="AA11" s="79"/>
      <c r="AB11" s="11"/>
      <c r="AC11" s="7"/>
      <c r="AD11" s="9"/>
    </row>
    <row r="12" spans="1:43">
      <c r="A12" s="80">
        <v>4151</v>
      </c>
      <c r="B12" s="65" t="s">
        <v>0</v>
      </c>
      <c r="C12" s="72">
        <v>0.70548503378680116</v>
      </c>
      <c r="D12" s="81">
        <v>434.24400000000003</v>
      </c>
      <c r="E12" s="29">
        <v>518.23900000000003</v>
      </c>
      <c r="F12" s="30">
        <f t="shared" ref="F12:F46" si="0">+E12+I12-N12</f>
        <v>545.28179161024684</v>
      </c>
      <c r="G12" s="31">
        <f t="shared" ref="G12:G46" si="1">+F12+J12-O12</f>
        <v>574.62743599451005</v>
      </c>
      <c r="H12" s="29">
        <v>23.067676237322793</v>
      </c>
      <c r="I12" s="30">
        <v>34.542791610246773</v>
      </c>
      <c r="J12" s="31">
        <v>36.845644384263224</v>
      </c>
      <c r="K12" s="29">
        <v>1.6166026473595487</v>
      </c>
      <c r="L12" s="30">
        <v>62.177024898444195</v>
      </c>
      <c r="M12" s="31">
        <v>66.782730446477089</v>
      </c>
      <c r="N12" s="29">
        <v>7.5</v>
      </c>
      <c r="O12" s="31">
        <v>7.5</v>
      </c>
      <c r="P12" s="32">
        <f t="shared" ref="P12:P46" si="2">+H12/E12</f>
        <v>4.4511656276974121E-2</v>
      </c>
      <c r="Q12" s="33">
        <f t="shared" ref="Q12:Q46" si="3">+I12/F12</f>
        <v>6.3348514734445888E-2</v>
      </c>
      <c r="R12" s="34">
        <f t="shared" ref="R12:R46" si="4">+J12/G12</f>
        <v>6.4120927885203252E-2</v>
      </c>
      <c r="S12" s="56">
        <v>62.589503258914824</v>
      </c>
      <c r="T12" s="58">
        <v>4.2901801354494777E-2</v>
      </c>
      <c r="U12" s="64">
        <f t="shared" ref="U12:U46" si="5">E12+(Q12-T12)/T12*E12</f>
        <v>765.22826293924311</v>
      </c>
      <c r="V12" s="47">
        <f t="shared" ref="V12:V46" si="6">E12+(Q12-T12)/(1+T12)*E12+(R12-T12)/(1+T12)/T12*F12</f>
        <v>787.00000021460528</v>
      </c>
      <c r="W12" s="54">
        <v>787</v>
      </c>
      <c r="X12" s="45">
        <f t="shared" ref="X12:X46" si="7">U12/V12</f>
        <v>0.9723357849181381</v>
      </c>
      <c r="Y12" s="46">
        <f t="shared" ref="Y12:Y46" si="8">V12/W12</f>
        <v>1.0000000002726879</v>
      </c>
      <c r="Z12" s="45">
        <f t="shared" ref="Z12:Z46" si="9">+(G12+F12)/W12/2</f>
        <v>0.71150522719488996</v>
      </c>
      <c r="AA12" s="82">
        <f t="shared" ref="AA12:AA46" si="10">+(I12+J12)/W12/2</f>
        <v>4.5354787798290976E-2</v>
      </c>
      <c r="AB12" s="15"/>
      <c r="AC12" s="11"/>
      <c r="AD12" s="12"/>
      <c r="AE12" s="13"/>
      <c r="AF12" s="14"/>
      <c r="AG12" s="15"/>
      <c r="AH12" s="15"/>
      <c r="AI12" s="15"/>
      <c r="AK12" s="14"/>
      <c r="AL12" s="14"/>
      <c r="AM12" s="14"/>
      <c r="AN12" s="3"/>
      <c r="AO12" s="5"/>
      <c r="AP12" s="5"/>
      <c r="AQ12" s="4"/>
    </row>
    <row r="13" spans="1:43">
      <c r="A13" s="80">
        <v>4501</v>
      </c>
      <c r="B13" s="65" t="s">
        <v>1</v>
      </c>
      <c r="C13" s="72">
        <v>-0.17272492703724054</v>
      </c>
      <c r="D13" s="81">
        <v>439.49900000000002</v>
      </c>
      <c r="E13" s="29">
        <v>1553.1179999999999</v>
      </c>
      <c r="F13" s="30">
        <f t="shared" si="0"/>
        <v>1645.9851737592121</v>
      </c>
      <c r="G13" s="31">
        <f t="shared" si="1"/>
        <v>1716.0991671926442</v>
      </c>
      <c r="H13" s="29">
        <v>98.773831112243712</v>
      </c>
      <c r="I13" s="30">
        <v>122.86717375921219</v>
      </c>
      <c r="J13" s="31">
        <v>100.11399343343216</v>
      </c>
      <c r="K13" s="29">
        <v>-0.38225342947310459</v>
      </c>
      <c r="L13" s="30">
        <v>177.47480654108426</v>
      </c>
      <c r="M13" s="31">
        <v>186.57607867139629</v>
      </c>
      <c r="N13" s="29">
        <v>30</v>
      </c>
      <c r="O13" s="31">
        <v>30</v>
      </c>
      <c r="P13" s="32">
        <f t="shared" si="2"/>
        <v>6.3597119544196723E-2</v>
      </c>
      <c r="Q13" s="33">
        <f t="shared" si="3"/>
        <v>7.4646585958365499E-2</v>
      </c>
      <c r="R13" s="34">
        <f t="shared" si="4"/>
        <v>5.8338116670266789E-2</v>
      </c>
      <c r="S13" s="56">
        <v>170.47724295727005</v>
      </c>
      <c r="T13" s="58">
        <v>3.9431725723703577E-2</v>
      </c>
      <c r="U13" s="64">
        <f t="shared" si="5"/>
        <v>2940.1441139765475</v>
      </c>
      <c r="V13" s="47">
        <f t="shared" si="6"/>
        <v>2364.9999998003782</v>
      </c>
      <c r="W13" s="42">
        <v>2365</v>
      </c>
      <c r="X13" s="45">
        <f t="shared" si="7"/>
        <v>1.2431899003064335</v>
      </c>
      <c r="Y13" s="46">
        <f t="shared" si="8"/>
        <v>0.9999999999155933</v>
      </c>
      <c r="Z13" s="45">
        <f t="shared" si="9"/>
        <v>0.7108000720828449</v>
      </c>
      <c r="AA13" s="82">
        <f t="shared" si="10"/>
        <v>4.7141895812398388E-2</v>
      </c>
      <c r="AB13" s="15"/>
      <c r="AC13" s="11"/>
      <c r="AD13" s="12"/>
      <c r="AE13" s="13"/>
      <c r="AF13" s="14"/>
      <c r="AG13" s="15"/>
      <c r="AH13" s="15"/>
      <c r="AI13" s="15"/>
      <c r="AK13" s="14"/>
      <c r="AL13" s="14"/>
      <c r="AM13" s="14"/>
      <c r="AN13" s="3"/>
      <c r="AO13" s="5"/>
      <c r="AP13" s="5"/>
      <c r="AQ13" s="4"/>
    </row>
    <row r="14" spans="1:43">
      <c r="A14" s="80">
        <v>4502</v>
      </c>
      <c r="B14" s="65" t="s">
        <v>2</v>
      </c>
      <c r="C14" s="72">
        <v>0.1663577558863315</v>
      </c>
      <c r="D14" s="81">
        <v>889.27200000000005</v>
      </c>
      <c r="E14" s="29">
        <v>2002.7729999999999</v>
      </c>
      <c r="F14" s="30">
        <f t="shared" si="0"/>
        <v>2243.882446828417</v>
      </c>
      <c r="G14" s="31">
        <f t="shared" si="1"/>
        <v>2488.3654396585071</v>
      </c>
      <c r="H14" s="29">
        <v>320.78374220710873</v>
      </c>
      <c r="I14" s="30">
        <v>326.10944682841694</v>
      </c>
      <c r="J14" s="31">
        <v>329.48299283009021</v>
      </c>
      <c r="K14" s="29">
        <v>0.19004309142759471</v>
      </c>
      <c r="L14" s="30">
        <v>502.65835424931851</v>
      </c>
      <c r="M14" s="31">
        <v>508.280930918774</v>
      </c>
      <c r="N14" s="29">
        <v>85</v>
      </c>
      <c r="O14" s="31">
        <v>85</v>
      </c>
      <c r="P14" s="32">
        <f t="shared" si="2"/>
        <v>0.1601697956818415</v>
      </c>
      <c r="Q14" s="33">
        <f t="shared" si="3"/>
        <v>0.14533267876369887</v>
      </c>
      <c r="R14" s="34">
        <f t="shared" si="4"/>
        <v>0.13240940722730304</v>
      </c>
      <c r="S14" s="56">
        <v>132.11783152173663</v>
      </c>
      <c r="T14" s="58">
        <v>5.9146011257408891E-2</v>
      </c>
      <c r="U14" s="64">
        <f t="shared" si="5"/>
        <v>4921.1833369261894</v>
      </c>
      <c r="V14" s="47">
        <f t="shared" si="6"/>
        <v>4790.0000141480741</v>
      </c>
      <c r="W14" s="42">
        <v>4790</v>
      </c>
      <c r="X14" s="45">
        <f t="shared" si="7"/>
        <v>1.0273869149041008</v>
      </c>
      <c r="Y14" s="46">
        <f t="shared" si="8"/>
        <v>1.0000000029536689</v>
      </c>
      <c r="Z14" s="45">
        <f t="shared" si="9"/>
        <v>0.49397159566669357</v>
      </c>
      <c r="AA14" s="82">
        <f t="shared" si="10"/>
        <v>6.843344881612809E-2</v>
      </c>
      <c r="AB14" s="15"/>
      <c r="AC14" s="11"/>
      <c r="AD14" s="12"/>
      <c r="AE14" s="13"/>
      <c r="AF14" s="14"/>
      <c r="AG14" s="15"/>
      <c r="AH14" s="15"/>
      <c r="AI14" s="15"/>
      <c r="AK14" s="14"/>
      <c r="AL14" s="14"/>
      <c r="AM14" s="14"/>
      <c r="AN14" s="3"/>
      <c r="AO14" s="5"/>
      <c r="AP14" s="5"/>
      <c r="AQ14" s="4"/>
    </row>
    <row r="15" spans="1:43">
      <c r="A15" s="80">
        <v>4503</v>
      </c>
      <c r="B15" s="65" t="s">
        <v>3</v>
      </c>
      <c r="C15" s="72">
        <v>0.24578181537277738</v>
      </c>
      <c r="D15" s="81">
        <v>361.22199999999998</v>
      </c>
      <c r="E15" s="29">
        <v>2008.1610000000001</v>
      </c>
      <c r="F15" s="30">
        <f t="shared" si="0"/>
        <v>2111.4274621756149</v>
      </c>
      <c r="G15" s="31">
        <f t="shared" si="1"/>
        <v>2343.4236252000155</v>
      </c>
      <c r="H15" s="29">
        <v>166.26340588336259</v>
      </c>
      <c r="I15" s="30">
        <v>134.266462175615</v>
      </c>
      <c r="J15" s="31">
        <v>262.99616302440052</v>
      </c>
      <c r="K15" s="29">
        <v>0.69209516585368558</v>
      </c>
      <c r="L15" s="30">
        <v>267.14873401952264</v>
      </c>
      <c r="M15" s="31">
        <v>490.00337742440939</v>
      </c>
      <c r="N15" s="29">
        <v>31</v>
      </c>
      <c r="O15" s="31">
        <v>31</v>
      </c>
      <c r="P15" s="32">
        <f t="shared" si="2"/>
        <v>8.279386258540157E-2</v>
      </c>
      <c r="Q15" s="33">
        <f t="shared" si="3"/>
        <v>6.3590374086196097E-2</v>
      </c>
      <c r="R15" s="34">
        <f t="shared" si="4"/>
        <v>0.11222732424315869</v>
      </c>
      <c r="S15" s="56">
        <v>164.72402863616171</v>
      </c>
      <c r="T15" s="58">
        <v>6.1225738190733001E-2</v>
      </c>
      <c r="U15" s="64">
        <f t="shared" si="5"/>
        <v>2085.7193884293256</v>
      </c>
      <c r="V15" s="47">
        <f t="shared" si="6"/>
        <v>3670.000150944436</v>
      </c>
      <c r="W15" s="42">
        <v>3670</v>
      </c>
      <c r="X15" s="45">
        <f t="shared" si="7"/>
        <v>0.56831588627934737</v>
      </c>
      <c r="Y15" s="46">
        <f t="shared" si="8"/>
        <v>1.0000000411292742</v>
      </c>
      <c r="Z15" s="45">
        <f t="shared" si="9"/>
        <v>0.60692794105935022</v>
      </c>
      <c r="AA15" s="82">
        <f t="shared" si="10"/>
        <v>5.4122973460492579E-2</v>
      </c>
      <c r="AB15" s="15"/>
      <c r="AC15" s="11"/>
      <c r="AD15" s="12"/>
      <c r="AE15" s="13"/>
      <c r="AF15" s="14"/>
      <c r="AG15" s="15"/>
      <c r="AH15" s="15"/>
      <c r="AI15" s="15"/>
      <c r="AK15" s="14"/>
      <c r="AL15" s="14"/>
      <c r="AM15" s="14"/>
      <c r="AN15" s="3"/>
      <c r="AO15" s="5"/>
      <c r="AP15" s="5"/>
      <c r="AQ15" s="4"/>
    </row>
    <row r="16" spans="1:43">
      <c r="A16" s="80">
        <v>4505</v>
      </c>
      <c r="B16" s="65" t="s">
        <v>4</v>
      </c>
      <c r="C16" s="72">
        <v>0.31443852279968554</v>
      </c>
      <c r="D16" s="81">
        <v>286.45299999999997</v>
      </c>
      <c r="E16" s="29">
        <v>1473.645</v>
      </c>
      <c r="F16" s="30">
        <f t="shared" si="0"/>
        <v>1529.1738651192343</v>
      </c>
      <c r="G16" s="31">
        <f t="shared" si="1"/>
        <v>1578.7680742914197</v>
      </c>
      <c r="H16" s="29">
        <v>93.072860120159334</v>
      </c>
      <c r="I16" s="30">
        <v>85.528865119234226</v>
      </c>
      <c r="J16" s="31">
        <v>79.594209172185316</v>
      </c>
      <c r="K16" s="29">
        <v>1.1031478113337967</v>
      </c>
      <c r="L16" s="30">
        <v>122.18409302747747</v>
      </c>
      <c r="M16" s="31">
        <v>132.65701528697554</v>
      </c>
      <c r="N16" s="29">
        <v>30</v>
      </c>
      <c r="O16" s="31">
        <v>30</v>
      </c>
      <c r="P16" s="32">
        <f t="shared" si="2"/>
        <v>6.3158264113921156E-2</v>
      </c>
      <c r="Q16" s="33">
        <f t="shared" si="3"/>
        <v>5.5931419618242877E-2</v>
      </c>
      <c r="R16" s="34">
        <f t="shared" si="4"/>
        <v>5.0415390625319474E-2</v>
      </c>
      <c r="S16" s="56">
        <v>154.72279337727338</v>
      </c>
      <c r="T16" s="58">
        <v>3.8675923812706743E-2</v>
      </c>
      <c r="U16" s="64">
        <f t="shared" si="5"/>
        <v>2131.1205716111667</v>
      </c>
      <c r="V16" s="47">
        <f t="shared" si="6"/>
        <v>1944.9999990844194</v>
      </c>
      <c r="W16" s="42">
        <v>1945</v>
      </c>
      <c r="X16" s="45">
        <f t="shared" si="7"/>
        <v>1.095691811112782</v>
      </c>
      <c r="Y16" s="46">
        <f t="shared" si="8"/>
        <v>0.99999999952926444</v>
      </c>
      <c r="Z16" s="45">
        <f t="shared" si="9"/>
        <v>0.79895679676366427</v>
      </c>
      <c r="AA16" s="82">
        <f t="shared" si="10"/>
        <v>4.244809107748574E-2</v>
      </c>
      <c r="AB16" s="15"/>
      <c r="AC16" s="11"/>
      <c r="AD16" s="12"/>
      <c r="AE16" s="13"/>
      <c r="AF16" s="14"/>
      <c r="AG16" s="15"/>
      <c r="AH16" s="15"/>
      <c r="AI16" s="15"/>
      <c r="AK16" s="14"/>
      <c r="AL16" s="14"/>
      <c r="AM16" s="14"/>
      <c r="AN16" s="3"/>
      <c r="AO16" s="5"/>
      <c r="AP16" s="5"/>
      <c r="AQ16" s="4"/>
    </row>
    <row r="17" spans="1:43">
      <c r="A17" s="80">
        <v>4506</v>
      </c>
      <c r="B17" s="65" t="s">
        <v>97</v>
      </c>
      <c r="C17" s="72">
        <v>0.69286762487595932</v>
      </c>
      <c r="D17" s="81">
        <v>168.184</v>
      </c>
      <c r="E17" s="29">
        <v>770.4</v>
      </c>
      <c r="F17" s="30">
        <f t="shared" si="0"/>
        <v>797.26438662417354</v>
      </c>
      <c r="G17" s="31">
        <f t="shared" si="1"/>
        <v>824.72336012938217</v>
      </c>
      <c r="H17" s="29">
        <v>47.376682680873323</v>
      </c>
      <c r="I17" s="30">
        <v>36.864386624173527</v>
      </c>
      <c r="J17" s="31">
        <v>37.458973505208583</v>
      </c>
      <c r="K17" s="29">
        <v>4.1026494791418919</v>
      </c>
      <c r="L17" s="30">
        <v>54.107406174190174</v>
      </c>
      <c r="M17" s="31">
        <v>55.296579936260287</v>
      </c>
      <c r="N17" s="29">
        <v>10</v>
      </c>
      <c r="O17" s="31">
        <v>10</v>
      </c>
      <c r="P17" s="32">
        <f t="shared" si="2"/>
        <v>6.1496213241008985E-2</v>
      </c>
      <c r="Q17" s="33">
        <f t="shared" si="3"/>
        <v>4.6238596935537286E-2</v>
      </c>
      <c r="R17" s="34">
        <f t="shared" si="4"/>
        <v>4.5420046667930009E-2</v>
      </c>
      <c r="S17" s="56">
        <v>95.043162434231078</v>
      </c>
      <c r="T17" s="58">
        <v>3.908778224164499E-2</v>
      </c>
      <c r="U17" s="64">
        <f t="shared" si="5"/>
        <v>911.33886437755541</v>
      </c>
      <c r="V17" s="47">
        <f t="shared" si="6"/>
        <v>900.00089799680347</v>
      </c>
      <c r="W17" s="42">
        <v>900</v>
      </c>
      <c r="X17" s="45">
        <f t="shared" si="7"/>
        <v>1.0125977278533695</v>
      </c>
      <c r="Y17" s="46">
        <f t="shared" si="8"/>
        <v>1.0000009977742261</v>
      </c>
      <c r="Z17" s="45">
        <f t="shared" si="9"/>
        <v>0.90110430375197537</v>
      </c>
      <c r="AA17" s="82">
        <f t="shared" si="10"/>
        <v>4.1290755627434506E-2</v>
      </c>
      <c r="AB17" s="15"/>
      <c r="AC17" s="11"/>
      <c r="AD17" s="12"/>
      <c r="AE17" s="13"/>
      <c r="AF17" s="14"/>
      <c r="AG17" s="15"/>
      <c r="AH17" s="15"/>
      <c r="AI17" s="15"/>
      <c r="AK17" s="14"/>
      <c r="AL17" s="14"/>
      <c r="AM17" s="14"/>
      <c r="AN17" s="3"/>
      <c r="AO17" s="5"/>
      <c r="AP17" s="5"/>
      <c r="AQ17" s="4"/>
    </row>
    <row r="18" spans="1:43">
      <c r="A18" s="80">
        <v>4507</v>
      </c>
      <c r="B18" s="65" t="s">
        <v>5</v>
      </c>
      <c r="C18" s="72">
        <v>0.64331618452348738</v>
      </c>
      <c r="D18" s="81">
        <v>351.13600000000002</v>
      </c>
      <c r="E18" s="29">
        <v>832.11900000000003</v>
      </c>
      <c r="F18" s="30">
        <f t="shared" si="0"/>
        <v>874.88118900938673</v>
      </c>
      <c r="G18" s="31">
        <f t="shared" si="1"/>
        <v>920.49127740818381</v>
      </c>
      <c r="H18" s="29">
        <v>6.2767702542604571</v>
      </c>
      <c r="I18" s="30">
        <v>51.262189009386674</v>
      </c>
      <c r="J18" s="31">
        <v>54.110088398797046</v>
      </c>
      <c r="K18" s="29">
        <v>1.8255035086120477</v>
      </c>
      <c r="L18" s="30">
        <v>76.893283514080011</v>
      </c>
      <c r="M18" s="31">
        <v>81.165132598195569</v>
      </c>
      <c r="N18" s="29">
        <v>8.5</v>
      </c>
      <c r="O18" s="31">
        <v>8.5</v>
      </c>
      <c r="P18" s="32">
        <f t="shared" si="2"/>
        <v>7.5431161339429295E-3</v>
      </c>
      <c r="Q18" s="33">
        <f t="shared" si="3"/>
        <v>5.8593314901912552E-2</v>
      </c>
      <c r="R18" s="34">
        <f t="shared" si="4"/>
        <v>5.8783923027662111E-2</v>
      </c>
      <c r="S18" s="56">
        <v>84.015351894727388</v>
      </c>
      <c r="T18" s="58">
        <v>2.678243155460534E-2</v>
      </c>
      <c r="U18" s="64">
        <f t="shared" si="5"/>
        <v>1820.4699040659245</v>
      </c>
      <c r="V18" s="47">
        <f t="shared" si="6"/>
        <v>1875.9999932391108</v>
      </c>
      <c r="W18" s="42">
        <v>1876</v>
      </c>
      <c r="X18" s="45">
        <f t="shared" si="7"/>
        <v>0.97039973914002642</v>
      </c>
      <c r="Y18" s="46">
        <f t="shared" si="8"/>
        <v>0.99999999639611448</v>
      </c>
      <c r="Z18" s="45">
        <f t="shared" si="9"/>
        <v>0.47851078529252949</v>
      </c>
      <c r="AA18" s="82">
        <f t="shared" si="10"/>
        <v>2.8084295684483934E-2</v>
      </c>
      <c r="AB18" s="15"/>
      <c r="AC18" s="11"/>
      <c r="AD18" s="12"/>
      <c r="AE18" s="13"/>
      <c r="AF18" s="14"/>
      <c r="AG18" s="15"/>
      <c r="AH18" s="15"/>
      <c r="AI18" s="15"/>
      <c r="AK18" s="14"/>
      <c r="AL18" s="14"/>
      <c r="AM18" s="14"/>
      <c r="AN18" s="3"/>
      <c r="AO18" s="5"/>
      <c r="AP18" s="5"/>
      <c r="AQ18" s="4"/>
    </row>
    <row r="19" spans="1:43">
      <c r="A19" s="80">
        <v>4508</v>
      </c>
      <c r="B19" s="65" t="s">
        <v>98</v>
      </c>
      <c r="C19" s="72">
        <v>0.25521996544329706</v>
      </c>
      <c r="D19" s="81">
        <v>267.59800000000001</v>
      </c>
      <c r="E19" s="29">
        <v>722.03800000000001</v>
      </c>
      <c r="F19" s="30">
        <f t="shared" si="0"/>
        <v>770.07134853025809</v>
      </c>
      <c r="G19" s="31">
        <f t="shared" si="1"/>
        <v>815.86252783653094</v>
      </c>
      <c r="H19" s="29">
        <v>66.095411774377979</v>
      </c>
      <c r="I19" s="30">
        <v>62.033348530258074</v>
      </c>
      <c r="J19" s="31">
        <v>59.791179306272838</v>
      </c>
      <c r="K19" s="29">
        <v>0.95665886890036544</v>
      </c>
      <c r="L19" s="30">
        <v>103.51347917398485</v>
      </c>
      <c r="M19" s="31">
        <v>100.89761507933541</v>
      </c>
      <c r="N19" s="29">
        <v>14</v>
      </c>
      <c r="O19" s="31">
        <v>14</v>
      </c>
      <c r="P19" s="32">
        <f t="shared" si="2"/>
        <v>9.1540073755644408E-2</v>
      </c>
      <c r="Q19" s="33">
        <f t="shared" si="3"/>
        <v>8.0555326007977851E-2</v>
      </c>
      <c r="R19" s="34">
        <f t="shared" si="4"/>
        <v>7.3285850576842282E-2</v>
      </c>
      <c r="S19" s="56">
        <v>87.847060311200934</v>
      </c>
      <c r="T19" s="58">
        <v>5.5335445423331284E-2</v>
      </c>
      <c r="U19" s="64">
        <f t="shared" si="5"/>
        <v>1051.1166221791073</v>
      </c>
      <c r="V19" s="47">
        <f t="shared" si="6"/>
        <v>976.00000471081262</v>
      </c>
      <c r="W19" s="42">
        <v>976</v>
      </c>
      <c r="X19" s="45">
        <f t="shared" si="7"/>
        <v>1.0769637470345623</v>
      </c>
      <c r="Y19" s="46">
        <f t="shared" si="8"/>
        <v>1.0000000048266522</v>
      </c>
      <c r="Z19" s="45">
        <f t="shared" si="9"/>
        <v>0.81246612518790418</v>
      </c>
      <c r="AA19" s="82">
        <f t="shared" si="10"/>
        <v>6.2410106473632633E-2</v>
      </c>
      <c r="AB19" s="15"/>
      <c r="AC19" s="11"/>
      <c r="AD19" s="12"/>
      <c r="AE19" s="13"/>
      <c r="AF19" s="14"/>
      <c r="AG19" s="15"/>
      <c r="AH19" s="15"/>
      <c r="AI19" s="15"/>
      <c r="AK19" s="14"/>
      <c r="AL19" s="14"/>
      <c r="AM19" s="14"/>
      <c r="AN19" s="3"/>
      <c r="AO19" s="5"/>
      <c r="AP19" s="5"/>
      <c r="AQ19" s="4"/>
    </row>
    <row r="20" spans="1:43">
      <c r="A20" s="80">
        <v>4509</v>
      </c>
      <c r="B20" s="65" t="s">
        <v>6</v>
      </c>
      <c r="C20" s="72">
        <v>0.81034562107457131</v>
      </c>
      <c r="D20" s="81">
        <v>458.435</v>
      </c>
      <c r="E20" s="29">
        <v>430.90300000000002</v>
      </c>
      <c r="F20" s="30">
        <f t="shared" si="0"/>
        <v>437.26300741653671</v>
      </c>
      <c r="G20" s="31">
        <f t="shared" si="1"/>
        <v>444.71368199417583</v>
      </c>
      <c r="H20" s="29">
        <v>23.597674697612529</v>
      </c>
      <c r="I20" s="30">
        <v>16.360007416536696</v>
      </c>
      <c r="J20" s="31">
        <v>17.450674577639141</v>
      </c>
      <c r="K20" s="29">
        <v>1.7516114607305289</v>
      </c>
      <c r="L20" s="30">
        <v>50.170689410712534</v>
      </c>
      <c r="M20" s="31">
        <v>54.533358055122321</v>
      </c>
      <c r="N20" s="29">
        <v>10</v>
      </c>
      <c r="O20" s="31">
        <v>10</v>
      </c>
      <c r="P20" s="32">
        <f t="shared" si="2"/>
        <v>5.4763310298634557E-2</v>
      </c>
      <c r="Q20" s="33">
        <f t="shared" si="3"/>
        <v>3.741457003919875E-2</v>
      </c>
      <c r="R20" s="34">
        <f t="shared" si="4"/>
        <v>3.9240246666995243E-2</v>
      </c>
      <c r="S20" s="56">
        <v>103.1890467486509</v>
      </c>
      <c r="T20" s="58">
        <v>1.4981666769307053E-2</v>
      </c>
      <c r="U20" s="64">
        <f t="shared" si="5"/>
        <v>1076.1186136264964</v>
      </c>
      <c r="V20" s="47">
        <f t="shared" si="6"/>
        <v>1137.9999129284558</v>
      </c>
      <c r="W20" s="42">
        <v>1138</v>
      </c>
      <c r="X20" s="45">
        <f t="shared" si="7"/>
        <v>0.94562275567955179</v>
      </c>
      <c r="Y20" s="46">
        <f t="shared" si="8"/>
        <v>0.99999992348721956</v>
      </c>
      <c r="Z20" s="45">
        <f t="shared" si="9"/>
        <v>0.38751172645461884</v>
      </c>
      <c r="AA20" s="82">
        <f t="shared" si="10"/>
        <v>1.4855308433293427E-2</v>
      </c>
      <c r="AB20" s="15"/>
      <c r="AC20" s="11"/>
      <c r="AD20" s="12"/>
      <c r="AE20" s="13"/>
      <c r="AF20" s="14"/>
      <c r="AG20" s="15"/>
      <c r="AH20" s="15"/>
      <c r="AI20" s="15"/>
      <c r="AK20" s="14"/>
      <c r="AL20" s="14"/>
      <c r="AM20" s="14"/>
      <c r="AN20" s="3"/>
      <c r="AO20" s="5"/>
      <c r="AP20" s="5"/>
      <c r="AQ20" s="4"/>
    </row>
    <row r="21" spans="1:43">
      <c r="A21" s="80">
        <v>4511</v>
      </c>
      <c r="B21" s="65" t="s">
        <v>25</v>
      </c>
      <c r="C21" s="72">
        <v>0.58151192375967675</v>
      </c>
      <c r="D21" s="81">
        <v>330.29700000000003</v>
      </c>
      <c r="E21" s="29">
        <v>1138.203</v>
      </c>
      <c r="F21" s="30">
        <f t="shared" si="0"/>
        <v>1231.2509719767361</v>
      </c>
      <c r="G21" s="31">
        <f t="shared" si="1"/>
        <v>1318.2437875336439</v>
      </c>
      <c r="H21" s="29">
        <v>125.54761320871822</v>
      </c>
      <c r="I21" s="30">
        <v>115.04797197673608</v>
      </c>
      <c r="J21" s="31">
        <v>108.99281555690786</v>
      </c>
      <c r="K21" s="29">
        <v>1.7469126271204398</v>
      </c>
      <c r="L21" s="30">
        <v>190.73742722458874</v>
      </c>
      <c r="M21" s="31">
        <v>202.84774006424519</v>
      </c>
      <c r="N21" s="29">
        <v>22</v>
      </c>
      <c r="O21" s="31">
        <v>22</v>
      </c>
      <c r="P21" s="32">
        <f t="shared" si="2"/>
        <v>0.11030335819596172</v>
      </c>
      <c r="Q21" s="33">
        <f t="shared" si="3"/>
        <v>9.3439903476405017E-2</v>
      </c>
      <c r="R21" s="34">
        <f t="shared" si="4"/>
        <v>8.2680318001594352E-2</v>
      </c>
      <c r="S21" s="56">
        <v>150.03541738480908</v>
      </c>
      <c r="T21" s="58">
        <v>3.8123929287913694E-2</v>
      </c>
      <c r="U21" s="64">
        <f t="shared" si="5"/>
        <v>2789.6804039627559</v>
      </c>
      <c r="V21" s="47">
        <f t="shared" si="6"/>
        <v>2584.9999960729283</v>
      </c>
      <c r="W21" s="42">
        <v>2585</v>
      </c>
      <c r="X21" s="45">
        <f t="shared" si="7"/>
        <v>1.0791800418571658</v>
      </c>
      <c r="Y21" s="46">
        <f t="shared" si="8"/>
        <v>0.99999999848082333</v>
      </c>
      <c r="Z21" s="45">
        <f t="shared" si="9"/>
        <v>0.49313244864804257</v>
      </c>
      <c r="AA21" s="82">
        <f t="shared" si="10"/>
        <v>4.3334775151575231E-2</v>
      </c>
      <c r="AB21" s="15"/>
      <c r="AC21" s="11"/>
      <c r="AD21" s="12"/>
      <c r="AE21" s="13"/>
      <c r="AF21" s="14"/>
      <c r="AG21" s="15"/>
      <c r="AH21" s="15"/>
      <c r="AI21" s="15"/>
      <c r="AK21" s="14"/>
      <c r="AL21" s="14"/>
      <c r="AM21" s="14"/>
      <c r="AN21" s="3"/>
      <c r="AO21" s="5"/>
      <c r="AP21" s="5"/>
      <c r="AQ21" s="4"/>
    </row>
    <row r="22" spans="1:43">
      <c r="A22" s="80">
        <v>4512</v>
      </c>
      <c r="B22" s="65" t="s">
        <v>7</v>
      </c>
      <c r="C22" s="72">
        <v>0.47569009341040458</v>
      </c>
      <c r="D22" s="81">
        <v>34.838000000000001</v>
      </c>
      <c r="E22" s="29">
        <v>338.88299999999998</v>
      </c>
      <c r="F22" s="30">
        <f t="shared" si="0"/>
        <v>344.2165438314484</v>
      </c>
      <c r="G22" s="31">
        <f t="shared" si="1"/>
        <v>349.8371305471037</v>
      </c>
      <c r="H22" s="29">
        <v>11.07985533038636</v>
      </c>
      <c r="I22" s="30">
        <v>10.333543831448418</v>
      </c>
      <c r="J22" s="31">
        <v>10.620586715655319</v>
      </c>
      <c r="K22" s="29">
        <v>13.691945576669154</v>
      </c>
      <c r="L22" s="30">
        <v>16.93553016820713</v>
      </c>
      <c r="M22" s="31">
        <v>17.509615936620929</v>
      </c>
      <c r="N22" s="29">
        <v>5</v>
      </c>
      <c r="O22" s="31">
        <v>5</v>
      </c>
      <c r="P22" s="32">
        <f t="shared" si="2"/>
        <v>3.2695223219773084E-2</v>
      </c>
      <c r="Q22" s="33">
        <f t="shared" si="3"/>
        <v>3.0020474078399955E-2</v>
      </c>
      <c r="R22" s="34">
        <f t="shared" si="4"/>
        <v>3.0358660611713752E-2</v>
      </c>
      <c r="S22" s="56">
        <v>25.941974538632415</v>
      </c>
      <c r="T22" s="58">
        <v>3.0876581610888802E-2</v>
      </c>
      <c r="U22" s="64">
        <f t="shared" si="5"/>
        <v>329.48687278007145</v>
      </c>
      <c r="V22" s="47">
        <f t="shared" si="6"/>
        <v>333.00064928706729</v>
      </c>
      <c r="W22" s="42">
        <v>333</v>
      </c>
      <c r="X22" s="45">
        <f t="shared" si="7"/>
        <v>0.98944813917174457</v>
      </c>
      <c r="Y22" s="46">
        <f t="shared" si="8"/>
        <v>1.0000019498110129</v>
      </c>
      <c r="Z22" s="45">
        <f t="shared" si="9"/>
        <v>1.0421226342020302</v>
      </c>
      <c r="AA22" s="82">
        <f t="shared" si="10"/>
        <v>3.1462658479134743E-2</v>
      </c>
      <c r="AB22" s="15"/>
      <c r="AC22" s="11"/>
      <c r="AD22" s="12"/>
      <c r="AE22" s="13"/>
      <c r="AF22" s="14"/>
      <c r="AG22" s="15"/>
      <c r="AH22" s="15"/>
      <c r="AI22" s="15"/>
      <c r="AK22" s="14"/>
      <c r="AL22" s="14"/>
      <c r="AM22" s="14"/>
      <c r="AN22" s="3"/>
      <c r="AO22" s="5"/>
      <c r="AP22" s="5"/>
      <c r="AQ22" s="4"/>
    </row>
    <row r="23" spans="1:43">
      <c r="A23" s="80">
        <v>4514</v>
      </c>
      <c r="B23" s="65" t="s">
        <v>99</v>
      </c>
      <c r="C23" s="72">
        <v>0.71471906051364886</v>
      </c>
      <c r="D23" s="81">
        <v>23.957999999999998</v>
      </c>
      <c r="E23" s="29">
        <v>1377.7439999999999</v>
      </c>
      <c r="F23" s="30">
        <f t="shared" si="0"/>
        <v>1379.1007075715836</v>
      </c>
      <c r="G23" s="31">
        <f t="shared" si="1"/>
        <v>1380.8748122547793</v>
      </c>
      <c r="H23" s="29">
        <v>11.311461724684866</v>
      </c>
      <c r="I23" s="30">
        <v>13.356707571583605</v>
      </c>
      <c r="J23" s="31">
        <v>13.774104683195594</v>
      </c>
      <c r="K23" s="29">
        <v>29.885633191418318</v>
      </c>
      <c r="L23" s="30">
        <v>28.800400701227147</v>
      </c>
      <c r="M23" s="31">
        <v>29.635194924451124</v>
      </c>
      <c r="N23" s="29">
        <v>12</v>
      </c>
      <c r="O23" s="31">
        <v>12</v>
      </c>
      <c r="P23" s="32">
        <f t="shared" si="2"/>
        <v>8.2101331776330486E-3</v>
      </c>
      <c r="Q23" s="33">
        <f t="shared" si="3"/>
        <v>9.6850849965141594E-3</v>
      </c>
      <c r="R23" s="34">
        <f t="shared" si="4"/>
        <v>9.9749119622975588E-3</v>
      </c>
      <c r="S23" s="56">
        <v>177.32203617708711</v>
      </c>
      <c r="T23" s="58">
        <v>1.3732437129851078E-2</v>
      </c>
      <c r="U23" s="64">
        <f t="shared" si="5"/>
        <v>971.68242004411843</v>
      </c>
      <c r="V23" s="47">
        <f t="shared" si="6"/>
        <v>999.99999924479118</v>
      </c>
      <c r="W23" s="42">
        <v>1000</v>
      </c>
      <c r="X23" s="45">
        <f t="shared" si="7"/>
        <v>0.97168242077794154</v>
      </c>
      <c r="Y23" s="46">
        <f t="shared" si="8"/>
        <v>0.99999999924479122</v>
      </c>
      <c r="Z23" s="45">
        <f t="shared" si="9"/>
        <v>1.3799877599131813</v>
      </c>
      <c r="AA23" s="82">
        <f t="shared" si="10"/>
        <v>1.3565406127389601E-2</v>
      </c>
      <c r="AB23" s="15"/>
      <c r="AC23" s="11"/>
      <c r="AD23" s="12"/>
      <c r="AE23" s="13"/>
      <c r="AF23" s="14"/>
      <c r="AG23" s="15"/>
      <c r="AH23" s="15"/>
      <c r="AI23" s="15"/>
      <c r="AK23" s="14"/>
      <c r="AL23" s="14"/>
      <c r="AM23" s="14"/>
      <c r="AN23" s="3"/>
      <c r="AO23" s="5"/>
      <c r="AP23" s="5"/>
      <c r="AQ23" s="4"/>
    </row>
    <row r="24" spans="1:43">
      <c r="A24" s="80">
        <v>4516</v>
      </c>
      <c r="B24" s="65" t="s">
        <v>8</v>
      </c>
      <c r="C24" s="72">
        <v>0.35420286703478066</v>
      </c>
      <c r="D24" s="81">
        <v>70.251000000000005</v>
      </c>
      <c r="E24" s="29">
        <v>930.89099999999996</v>
      </c>
      <c r="F24" s="30">
        <f t="shared" si="0"/>
        <v>989.21742951701754</v>
      </c>
      <c r="G24" s="31">
        <f t="shared" si="1"/>
        <v>1006.2633078675036</v>
      </c>
      <c r="H24" s="29">
        <v>21.864457445445616</v>
      </c>
      <c r="I24" s="30">
        <v>68.326429517017544</v>
      </c>
      <c r="J24" s="31">
        <v>27.04587835048611</v>
      </c>
      <c r="K24" s="29">
        <v>5.0675435225121337</v>
      </c>
      <c r="L24" s="30">
        <v>48.39788757455409</v>
      </c>
      <c r="M24" s="31">
        <v>49.821354856158628</v>
      </c>
      <c r="N24" s="29">
        <v>10</v>
      </c>
      <c r="O24" s="31">
        <v>10</v>
      </c>
      <c r="P24" s="32">
        <f t="shared" si="2"/>
        <v>2.348766659624555E-2</v>
      </c>
      <c r="Q24" s="33">
        <f t="shared" si="3"/>
        <v>6.9071194540494221E-2</v>
      </c>
      <c r="R24" s="34">
        <f t="shared" si="4"/>
        <v>2.6877536067376199E-2</v>
      </c>
      <c r="S24" s="56">
        <v>118.28562931071974</v>
      </c>
      <c r="T24" s="58">
        <v>3.4265477815446026E-2</v>
      </c>
      <c r="U24" s="64">
        <f t="shared" si="5"/>
        <v>1876.4586825055558</v>
      </c>
      <c r="V24" s="47">
        <f t="shared" si="6"/>
        <v>755.99997774103235</v>
      </c>
      <c r="W24" s="42">
        <v>756</v>
      </c>
      <c r="X24" s="45">
        <f t="shared" si="7"/>
        <v>2.4820882774527493</v>
      </c>
      <c r="Y24" s="46">
        <f t="shared" si="8"/>
        <v>0.99999997055692114</v>
      </c>
      <c r="Z24" s="45">
        <f t="shared" si="9"/>
        <v>1.3197623924500801</v>
      </c>
      <c r="AA24" s="82">
        <f t="shared" si="10"/>
        <v>6.3076923192793413E-2</v>
      </c>
      <c r="AB24" s="15"/>
      <c r="AC24" s="11"/>
      <c r="AD24" s="12"/>
      <c r="AE24" s="13"/>
      <c r="AF24" s="14"/>
      <c r="AG24" s="15"/>
      <c r="AH24" s="15"/>
      <c r="AI24" s="15"/>
      <c r="AK24" s="14"/>
      <c r="AL24" s="14"/>
      <c r="AM24" s="14"/>
      <c r="AN24" s="3"/>
      <c r="AO24" s="5"/>
      <c r="AP24" s="5"/>
      <c r="AQ24" s="4"/>
    </row>
    <row r="25" spans="1:43">
      <c r="A25" s="80">
        <v>4518</v>
      </c>
      <c r="B25" s="65" t="s">
        <v>9</v>
      </c>
      <c r="C25" s="72">
        <v>0.71155041458577772</v>
      </c>
      <c r="D25" s="81">
        <v>197.15</v>
      </c>
      <c r="E25" s="29">
        <v>157.393</v>
      </c>
      <c r="F25" s="30">
        <f t="shared" si="0"/>
        <v>159.92913999492771</v>
      </c>
      <c r="G25" s="31">
        <f t="shared" si="1"/>
        <v>148.77012401724573</v>
      </c>
      <c r="H25" s="29">
        <v>-24.849099670301801</v>
      </c>
      <c r="I25" s="30">
        <v>2.5361399949277197</v>
      </c>
      <c r="J25" s="31">
        <v>-11.159015977681968</v>
      </c>
      <c r="K25" s="29">
        <v>3.6317524727364949</v>
      </c>
      <c r="L25" s="30">
        <v>10.144559979710879</v>
      </c>
      <c r="M25" s="31">
        <v>-11.159015977681968</v>
      </c>
      <c r="N25" s="29">
        <v>0</v>
      </c>
      <c r="O25" s="31">
        <v>0</v>
      </c>
      <c r="P25" s="32">
        <f t="shared" si="2"/>
        <v>-0.15787931909488859</v>
      </c>
      <c r="Q25" s="33">
        <f t="shared" si="3"/>
        <v>1.5857898035393399E-2</v>
      </c>
      <c r="R25" s="34">
        <f t="shared" si="4"/>
        <v>-7.5008447101841444E-2</v>
      </c>
      <c r="S25" s="56">
        <v>26.378264030425868</v>
      </c>
      <c r="T25" s="58">
        <v>176927913583575.12</v>
      </c>
      <c r="U25" s="64">
        <f t="shared" si="5"/>
        <v>0</v>
      </c>
      <c r="V25" s="47">
        <f t="shared" si="6"/>
        <v>5.5720998744922512E-15</v>
      </c>
      <c r="W25" s="42">
        <v>441</v>
      </c>
      <c r="X25" s="45">
        <f t="shared" si="7"/>
        <v>0</v>
      </c>
      <c r="Y25" s="46">
        <f t="shared" si="8"/>
        <v>1.263514710769218E-17</v>
      </c>
      <c r="Z25" s="45">
        <f t="shared" si="9"/>
        <v>0.34999916554668192</v>
      </c>
      <c r="AA25" s="82">
        <f t="shared" si="10"/>
        <v>-9.7765033818075376E-3</v>
      </c>
      <c r="AB25" s="15"/>
      <c r="AC25" s="11"/>
      <c r="AD25" s="12"/>
      <c r="AE25" s="13"/>
      <c r="AF25" s="14"/>
      <c r="AG25" s="15"/>
      <c r="AH25" s="15"/>
      <c r="AI25" s="15"/>
      <c r="AK25" s="14"/>
      <c r="AL25" s="14"/>
      <c r="AM25" s="14"/>
      <c r="AN25" s="3"/>
      <c r="AO25" s="5"/>
      <c r="AP25" s="5"/>
      <c r="AQ25" s="4"/>
    </row>
    <row r="26" spans="1:43">
      <c r="A26" s="80">
        <v>4519</v>
      </c>
      <c r="B26" s="65" t="s">
        <v>10</v>
      </c>
      <c r="C26" s="72">
        <v>0.26691180606521098</v>
      </c>
      <c r="D26" s="81">
        <v>550.97199999999998</v>
      </c>
      <c r="E26" s="29">
        <v>538.53399999999999</v>
      </c>
      <c r="F26" s="30">
        <f t="shared" si="0"/>
        <v>579.52066356911064</v>
      </c>
      <c r="G26" s="31">
        <f t="shared" si="1"/>
        <v>628.67471132471348</v>
      </c>
      <c r="H26" s="29">
        <v>68.836528898020219</v>
      </c>
      <c r="I26" s="30">
        <v>58.986663569110597</v>
      </c>
      <c r="J26" s="31">
        <v>67.154047755602818</v>
      </c>
      <c r="K26" s="29">
        <v>0.48822807692586923</v>
      </c>
      <c r="L26" s="30">
        <v>99.823584501571773</v>
      </c>
      <c r="M26" s="31">
        <v>115.25086574272378</v>
      </c>
      <c r="N26" s="29">
        <v>18</v>
      </c>
      <c r="O26" s="31">
        <v>18</v>
      </c>
      <c r="P26" s="32">
        <f t="shared" si="2"/>
        <v>0.12782206675533991</v>
      </c>
      <c r="Q26" s="33">
        <f t="shared" si="3"/>
        <v>0.1017852637140283</v>
      </c>
      <c r="R26" s="34">
        <f t="shared" si="4"/>
        <v>0.10681843335816546</v>
      </c>
      <c r="S26" s="56">
        <v>105.48860207832909</v>
      </c>
      <c r="T26" s="58">
        <v>3.520361158599334E-2</v>
      </c>
      <c r="U26" s="64">
        <f t="shared" si="5"/>
        <v>1557.0795932420751</v>
      </c>
      <c r="V26" s="47">
        <f t="shared" si="6"/>
        <v>1712.0009820628543</v>
      </c>
      <c r="W26" s="42">
        <v>1712</v>
      </c>
      <c r="X26" s="45">
        <f t="shared" si="7"/>
        <v>0.90950858647632982</v>
      </c>
      <c r="Y26" s="46">
        <f t="shared" si="8"/>
        <v>1.0000005736348447</v>
      </c>
      <c r="Z26" s="45">
        <f t="shared" si="9"/>
        <v>0.35286079874235515</v>
      </c>
      <c r="AA26" s="82">
        <f t="shared" si="10"/>
        <v>3.6840161017731722E-2</v>
      </c>
      <c r="AB26" s="15"/>
      <c r="AC26" s="11"/>
      <c r="AD26" s="12"/>
      <c r="AE26" s="13"/>
      <c r="AF26" s="14"/>
      <c r="AG26" s="15"/>
      <c r="AH26" s="15"/>
      <c r="AI26" s="15"/>
      <c r="AK26" s="14"/>
      <c r="AL26" s="14"/>
      <c r="AM26" s="14"/>
      <c r="AN26" s="3"/>
      <c r="AO26" s="5"/>
      <c r="AP26" s="5"/>
      <c r="AQ26" s="4"/>
    </row>
    <row r="27" spans="1:43">
      <c r="A27" s="80">
        <v>4521</v>
      </c>
      <c r="B27" s="65" t="s">
        <v>11</v>
      </c>
      <c r="C27" s="72">
        <v>0.63846220136935716</v>
      </c>
      <c r="D27" s="81">
        <v>94.518000000000001</v>
      </c>
      <c r="E27" s="29">
        <v>456.33600000000001</v>
      </c>
      <c r="F27" s="30">
        <f t="shared" si="0"/>
        <v>481.24998463784675</v>
      </c>
      <c r="G27" s="31">
        <f t="shared" si="1"/>
        <v>511.45396694809449</v>
      </c>
      <c r="H27" s="29">
        <v>31.919845955267778</v>
      </c>
      <c r="I27" s="30">
        <v>34.91398463784676</v>
      </c>
      <c r="J27" s="31">
        <v>40.203982310247781</v>
      </c>
      <c r="K27" s="29">
        <v>6.8135170020525191</v>
      </c>
      <c r="L27" s="30">
        <v>65.595971137772693</v>
      </c>
      <c r="M27" s="31">
        <v>76.175966482574751</v>
      </c>
      <c r="N27" s="29">
        <v>10</v>
      </c>
      <c r="O27" s="31">
        <v>10</v>
      </c>
      <c r="P27" s="32">
        <f t="shared" si="2"/>
        <v>6.994812146152786E-2</v>
      </c>
      <c r="Q27" s="33">
        <f t="shared" si="3"/>
        <v>7.2548541823061974E-2</v>
      </c>
      <c r="R27" s="34">
        <f t="shared" si="4"/>
        <v>7.8607235271142065E-2</v>
      </c>
      <c r="S27" s="56">
        <v>67.748359585174953</v>
      </c>
      <c r="T27" s="58">
        <v>5.6797606763340378E-2</v>
      </c>
      <c r="U27" s="64">
        <f t="shared" si="5"/>
        <v>582.88567543548652</v>
      </c>
      <c r="V27" s="47">
        <f t="shared" si="6"/>
        <v>638.00009820319474</v>
      </c>
      <c r="W27" s="42">
        <v>638</v>
      </c>
      <c r="X27" s="45">
        <f t="shared" si="7"/>
        <v>0.9136137707142562</v>
      </c>
      <c r="Y27" s="46">
        <f t="shared" si="8"/>
        <v>1.0000001539235028</v>
      </c>
      <c r="Z27" s="45">
        <f t="shared" si="9"/>
        <v>0.7779811532805182</v>
      </c>
      <c r="AA27" s="82">
        <f t="shared" si="10"/>
        <v>5.8869880053365624E-2</v>
      </c>
      <c r="AB27" s="15"/>
      <c r="AC27" s="11"/>
      <c r="AD27" s="12"/>
      <c r="AE27" s="13"/>
      <c r="AF27" s="14"/>
      <c r="AG27" s="15"/>
      <c r="AH27" s="15"/>
      <c r="AI27" s="15"/>
      <c r="AK27" s="14"/>
      <c r="AL27" s="14"/>
      <c r="AM27" s="14"/>
      <c r="AN27" s="3"/>
      <c r="AO27" s="5"/>
      <c r="AP27" s="5"/>
      <c r="AQ27" s="4"/>
    </row>
    <row r="28" spans="1:43">
      <c r="A28" s="80">
        <v>4523</v>
      </c>
      <c r="B28" s="65" t="s">
        <v>12</v>
      </c>
      <c r="C28" s="72">
        <v>0.6103086557312758</v>
      </c>
      <c r="D28" s="81">
        <v>296.56700000000001</v>
      </c>
      <c r="E28" s="29">
        <v>1414.3889999999999</v>
      </c>
      <c r="F28" s="30">
        <f t="shared" si="0"/>
        <v>1547.7288051705009</v>
      </c>
      <c r="G28" s="31">
        <f t="shared" si="1"/>
        <v>1687.1380651353654</v>
      </c>
      <c r="H28" s="29">
        <v>169.0950105709671</v>
      </c>
      <c r="I28" s="30">
        <v>175.33980517050111</v>
      </c>
      <c r="J28" s="31">
        <v>181.40925996486459</v>
      </c>
      <c r="K28" s="29">
        <v>2.06361463008359</v>
      </c>
      <c r="L28" s="30">
        <v>289.98506239736719</v>
      </c>
      <c r="M28" s="31">
        <v>301.78678005307404</v>
      </c>
      <c r="N28" s="29">
        <v>42</v>
      </c>
      <c r="O28" s="31">
        <v>42</v>
      </c>
      <c r="P28" s="32">
        <f t="shared" si="2"/>
        <v>0.11955339766568258</v>
      </c>
      <c r="Q28" s="33">
        <f t="shared" si="3"/>
        <v>0.1132884550476434</v>
      </c>
      <c r="R28" s="34">
        <f t="shared" si="4"/>
        <v>0.1075248456031424</v>
      </c>
      <c r="S28" s="56">
        <v>227.57566266807498</v>
      </c>
      <c r="T28" s="58">
        <v>5.0849621009806313E-2</v>
      </c>
      <c r="U28" s="64">
        <f t="shared" si="5"/>
        <v>3151.1335082611586</v>
      </c>
      <c r="V28" s="47">
        <f t="shared" si="6"/>
        <v>3140.0000002985889</v>
      </c>
      <c r="W28" s="42">
        <v>3140</v>
      </c>
      <c r="X28" s="45">
        <f t="shared" si="7"/>
        <v>1.0035457031724557</v>
      </c>
      <c r="Y28" s="46">
        <f t="shared" si="8"/>
        <v>1.0000000000950919</v>
      </c>
      <c r="Z28" s="45">
        <f t="shared" si="9"/>
        <v>0.51510618953915077</v>
      </c>
      <c r="AA28" s="82">
        <f t="shared" si="10"/>
        <v>5.6807175976969063E-2</v>
      </c>
      <c r="AB28" s="15"/>
      <c r="AC28" s="11"/>
      <c r="AD28" s="12"/>
      <c r="AE28" s="13"/>
      <c r="AF28" s="14"/>
      <c r="AG28" s="15"/>
      <c r="AH28" s="15"/>
      <c r="AI28" s="15"/>
      <c r="AK28" s="14"/>
      <c r="AL28" s="14"/>
      <c r="AM28" s="14"/>
      <c r="AN28" s="3"/>
      <c r="AO28" s="5"/>
      <c r="AP28" s="5"/>
      <c r="AQ28" s="4"/>
    </row>
    <row r="29" spans="1:43">
      <c r="A29" s="80">
        <v>4527</v>
      </c>
      <c r="B29" s="65" t="s">
        <v>13</v>
      </c>
      <c r="C29" s="72">
        <v>0.10487873179097527</v>
      </c>
      <c r="D29" s="81">
        <v>53.718000000000004</v>
      </c>
      <c r="E29" s="29">
        <v>813.06100000000004</v>
      </c>
      <c r="F29" s="30">
        <f t="shared" si="0"/>
        <v>870.66236267173019</v>
      </c>
      <c r="G29" s="31">
        <f t="shared" si="1"/>
        <v>931.05608544621919</v>
      </c>
      <c r="H29" s="29">
        <v>69.678692430842545</v>
      </c>
      <c r="I29" s="30">
        <v>72.601362671730143</v>
      </c>
      <c r="J29" s="31">
        <v>75.393722774488978</v>
      </c>
      <c r="K29" s="29">
        <v>1.9360363379128038</v>
      </c>
      <c r="L29" s="30">
        <v>126.58699132506793</v>
      </c>
      <c r="M29" s="31">
        <v>132.17171153058564</v>
      </c>
      <c r="N29" s="29">
        <v>15</v>
      </c>
      <c r="O29" s="31">
        <v>15</v>
      </c>
      <c r="P29" s="32">
        <f t="shared" si="2"/>
        <v>8.5699218669746238E-2</v>
      </c>
      <c r="Q29" s="33">
        <f t="shared" si="3"/>
        <v>8.3386357082146395E-2</v>
      </c>
      <c r="R29" s="34">
        <f t="shared" si="4"/>
        <v>8.0976564089966382E-2</v>
      </c>
      <c r="S29" s="56">
        <v>42.20034045409686</v>
      </c>
      <c r="T29" s="58">
        <v>5.4058053604119194E-2</v>
      </c>
      <c r="U29" s="64">
        <f t="shared" si="5"/>
        <v>1254.1738067757742</v>
      </c>
      <c r="V29" s="47">
        <f t="shared" si="6"/>
        <v>1247.0000006894593</v>
      </c>
      <c r="W29" s="42">
        <v>1247</v>
      </c>
      <c r="X29" s="45">
        <f t="shared" si="7"/>
        <v>1.0057528517099827</v>
      </c>
      <c r="Y29" s="46">
        <f t="shared" si="8"/>
        <v>1.0000000005528944</v>
      </c>
      <c r="Z29" s="45">
        <f t="shared" si="9"/>
        <v>0.72242119010342798</v>
      </c>
      <c r="AA29" s="82">
        <f t="shared" si="10"/>
        <v>5.9340451261515284E-2</v>
      </c>
      <c r="AB29" s="15"/>
      <c r="AC29" s="11"/>
      <c r="AD29" s="12"/>
      <c r="AE29" s="13"/>
      <c r="AF29" s="14"/>
      <c r="AG29" s="15"/>
      <c r="AH29" s="15"/>
      <c r="AI29" s="15"/>
      <c r="AK29" s="14"/>
      <c r="AL29" s="14"/>
      <c r="AM29" s="14"/>
      <c r="AN29" s="3"/>
      <c r="AO29" s="5"/>
      <c r="AP29" s="5"/>
      <c r="AQ29" s="4"/>
    </row>
    <row r="30" spans="1:43">
      <c r="A30" s="80">
        <v>4528</v>
      </c>
      <c r="B30" s="65" t="s">
        <v>14</v>
      </c>
      <c r="C30" s="72">
        <v>0.13036642175402904</v>
      </c>
      <c r="D30" s="81">
        <v>122.919</v>
      </c>
      <c r="E30" s="29">
        <v>2907.752</v>
      </c>
      <c r="F30" s="30">
        <f t="shared" si="0"/>
        <v>3141.7975503217567</v>
      </c>
      <c r="G30" s="31">
        <f t="shared" si="1"/>
        <v>3353.0638720458192</v>
      </c>
      <c r="H30" s="29">
        <v>251.63725705545932</v>
      </c>
      <c r="I30" s="30">
        <v>279.04555032175659</v>
      </c>
      <c r="J30" s="31">
        <v>256.26632172406221</v>
      </c>
      <c r="K30" s="29">
        <v>1.0738779196055939</v>
      </c>
      <c r="L30" s="30">
        <v>453.14394031842107</v>
      </c>
      <c r="M30" s="31">
        <v>454.77102807539927</v>
      </c>
      <c r="N30" s="29">
        <v>45</v>
      </c>
      <c r="O30" s="31">
        <v>45</v>
      </c>
      <c r="P30" s="32">
        <f t="shared" si="2"/>
        <v>8.6540137210965484E-2</v>
      </c>
      <c r="Q30" s="33">
        <f t="shared" si="3"/>
        <v>8.8817164649319644E-2</v>
      </c>
      <c r="R30" s="34">
        <f t="shared" si="4"/>
        <v>7.6427509735358945E-2</v>
      </c>
      <c r="S30" s="56">
        <v>251.443545961544</v>
      </c>
      <c r="T30" s="58">
        <v>4.5164352127117571E-2</v>
      </c>
      <c r="U30" s="64">
        <f t="shared" si="5"/>
        <v>5718.1887037038905</v>
      </c>
      <c r="V30" s="47">
        <f t="shared" si="6"/>
        <v>5110.0000537762162</v>
      </c>
      <c r="W30" s="42">
        <v>5110</v>
      </c>
      <c r="X30" s="45">
        <f t="shared" si="7"/>
        <v>1.1190193040170775</v>
      </c>
      <c r="Y30" s="46">
        <f t="shared" si="8"/>
        <v>1.0000000105237214</v>
      </c>
      <c r="Z30" s="45">
        <f t="shared" si="9"/>
        <v>0.63550503154281568</v>
      </c>
      <c r="AA30" s="82">
        <f t="shared" si="10"/>
        <v>5.2378852450667195E-2</v>
      </c>
      <c r="AB30" s="15"/>
      <c r="AC30" s="11"/>
      <c r="AD30" s="12"/>
      <c r="AE30" s="13"/>
      <c r="AF30" s="14"/>
      <c r="AG30" s="15"/>
      <c r="AH30" s="15"/>
      <c r="AI30" s="15"/>
      <c r="AK30" s="14"/>
      <c r="AL30" s="14"/>
      <c r="AM30" s="14"/>
      <c r="AN30" s="3"/>
      <c r="AO30" s="5"/>
      <c r="AP30" s="5"/>
      <c r="AQ30" s="4"/>
    </row>
    <row r="31" spans="1:43">
      <c r="A31" s="80">
        <v>4529</v>
      </c>
      <c r="B31" s="65" t="s">
        <v>104</v>
      </c>
      <c r="C31" s="72">
        <v>0.82061423553321255</v>
      </c>
      <c r="D31" s="81">
        <v>70.179000000000002</v>
      </c>
      <c r="E31" s="29">
        <v>335</v>
      </c>
      <c r="F31" s="30">
        <f t="shared" si="0"/>
        <v>340.54956610951996</v>
      </c>
      <c r="G31" s="31">
        <f t="shared" si="1"/>
        <v>351.79884295871989</v>
      </c>
      <c r="H31" s="29">
        <v>3.9043018566807737</v>
      </c>
      <c r="I31" s="30">
        <v>8.549566109519942</v>
      </c>
      <c r="J31" s="31">
        <v>14.249276849199903</v>
      </c>
      <c r="K31" s="29">
        <v>11.641659185796319</v>
      </c>
      <c r="L31" s="30">
        <v>29.923481383319796</v>
      </c>
      <c r="M31" s="31">
        <v>32.773336753159768</v>
      </c>
      <c r="N31" s="29">
        <v>3</v>
      </c>
      <c r="O31" s="31">
        <v>3</v>
      </c>
      <c r="P31" s="32">
        <f t="shared" si="2"/>
        <v>1.1654632408002309E-2</v>
      </c>
      <c r="Q31" s="33">
        <f t="shared" si="3"/>
        <v>2.5105203354657692E-2</v>
      </c>
      <c r="R31" s="34">
        <f t="shared" si="4"/>
        <v>4.0504046941598142E-2</v>
      </c>
      <c r="S31" s="56">
        <v>40.907076499554563</v>
      </c>
      <c r="T31" s="58">
        <v>3.712541434581846E-2</v>
      </c>
      <c r="U31" s="64">
        <f t="shared" si="5"/>
        <v>226.53600699159864</v>
      </c>
      <c r="V31" s="47">
        <f t="shared" si="6"/>
        <v>360.9999962432093</v>
      </c>
      <c r="W31" s="42">
        <v>361</v>
      </c>
      <c r="X31" s="45">
        <f t="shared" si="7"/>
        <v>0.62752357160408134</v>
      </c>
      <c r="Y31" s="46">
        <f t="shared" si="8"/>
        <v>0.99999998959337755</v>
      </c>
      <c r="Z31" s="45">
        <f t="shared" si="9"/>
        <v>0.95893131449894708</v>
      </c>
      <c r="AA31" s="82">
        <f t="shared" si="10"/>
        <v>3.1577344818171531E-2</v>
      </c>
      <c r="AB31" s="15"/>
      <c r="AC31" s="11"/>
      <c r="AD31" s="12"/>
      <c r="AE31" s="13"/>
      <c r="AF31" s="14"/>
      <c r="AG31" s="15"/>
      <c r="AH31" s="15"/>
      <c r="AI31" s="15"/>
      <c r="AK31" s="14"/>
      <c r="AL31" s="14"/>
      <c r="AM31" s="14"/>
      <c r="AN31" s="3"/>
      <c r="AO31" s="5"/>
      <c r="AP31" s="5"/>
      <c r="AQ31" s="4"/>
    </row>
    <row r="32" spans="1:43">
      <c r="A32" s="80">
        <v>4530</v>
      </c>
      <c r="B32" s="65" t="s">
        <v>15</v>
      </c>
      <c r="C32" s="72">
        <v>7.3308314246986733E-4</v>
      </c>
      <c r="D32" s="81">
        <v>95.165000000000006</v>
      </c>
      <c r="E32" s="29">
        <v>729.81700000000001</v>
      </c>
      <c r="F32" s="30">
        <f t="shared" si="0"/>
        <v>833.50732732622282</v>
      </c>
      <c r="G32" s="31">
        <f t="shared" si="1"/>
        <v>939.29926764041397</v>
      </c>
      <c r="H32" s="29">
        <v>113.71827877896284</v>
      </c>
      <c r="I32" s="30">
        <v>117.69032732622287</v>
      </c>
      <c r="J32" s="31">
        <v>119.79194031419114</v>
      </c>
      <c r="K32" s="29">
        <v>2.1016129879682655E-2</v>
      </c>
      <c r="L32" s="30">
        <v>195.45000788104872</v>
      </c>
      <c r="M32" s="31">
        <v>198.60242736300108</v>
      </c>
      <c r="N32" s="29">
        <v>14</v>
      </c>
      <c r="O32" s="31">
        <v>14</v>
      </c>
      <c r="P32" s="32">
        <f t="shared" si="2"/>
        <v>0.15581752518639994</v>
      </c>
      <c r="Q32" s="33">
        <f t="shared" si="3"/>
        <v>0.14119891147658808</v>
      </c>
      <c r="R32" s="34">
        <f t="shared" si="4"/>
        <v>0.12753330534912152</v>
      </c>
      <c r="S32" s="56">
        <v>78.238679952718329</v>
      </c>
      <c r="T32" s="58">
        <v>5.0098019843820049E-2</v>
      </c>
      <c r="U32" s="64">
        <f t="shared" si="5"/>
        <v>2056.9548716369268</v>
      </c>
      <c r="V32" s="47">
        <f t="shared" si="6"/>
        <v>2020.0002678561809</v>
      </c>
      <c r="W32" s="42">
        <v>2020</v>
      </c>
      <c r="X32" s="45">
        <f t="shared" si="7"/>
        <v>1.0182943558814306</v>
      </c>
      <c r="Y32" s="46">
        <f t="shared" si="8"/>
        <v>1.0000001326020698</v>
      </c>
      <c r="Z32" s="45">
        <f t="shared" si="9"/>
        <v>0.43881351360560317</v>
      </c>
      <c r="AA32" s="82">
        <f t="shared" si="10"/>
        <v>5.8782739514953969E-2</v>
      </c>
      <c r="AB32" s="15"/>
      <c r="AC32" s="11"/>
      <c r="AD32" s="12"/>
      <c r="AE32" s="13"/>
      <c r="AF32" s="14"/>
      <c r="AG32" s="15"/>
      <c r="AH32" s="15"/>
      <c r="AI32" s="15"/>
      <c r="AK32" s="14"/>
      <c r="AL32" s="14"/>
      <c r="AM32" s="14"/>
      <c r="AN32" s="3"/>
      <c r="AO32" s="5"/>
      <c r="AP32" s="5"/>
      <c r="AQ32" s="4"/>
    </row>
    <row r="33" spans="1:43">
      <c r="A33" s="80">
        <v>4534</v>
      </c>
      <c r="B33" s="65" t="s">
        <v>16</v>
      </c>
      <c r="C33" s="72">
        <v>0.72100055015349074</v>
      </c>
      <c r="D33" s="81">
        <v>142.59899999999999</v>
      </c>
      <c r="E33" s="29">
        <v>491.86200000000002</v>
      </c>
      <c r="F33" s="30">
        <f t="shared" si="0"/>
        <v>497.58861098605183</v>
      </c>
      <c r="G33" s="31">
        <f t="shared" si="1"/>
        <v>507.52282511097553</v>
      </c>
      <c r="H33" s="29">
        <v>29.902032973583268</v>
      </c>
      <c r="I33" s="30">
        <v>14.726610986051798</v>
      </c>
      <c r="J33" s="31">
        <v>18.934214124923738</v>
      </c>
      <c r="K33" s="29">
        <v>5.0491237666463293</v>
      </c>
      <c r="L33" s="30">
        <v>35.063359490599517</v>
      </c>
      <c r="M33" s="31">
        <v>36.465893870223496</v>
      </c>
      <c r="N33" s="29">
        <v>9</v>
      </c>
      <c r="O33" s="31">
        <v>9</v>
      </c>
      <c r="P33" s="32">
        <f t="shared" si="2"/>
        <v>6.0793541630748599E-2</v>
      </c>
      <c r="Q33" s="33">
        <f t="shared" si="3"/>
        <v>2.9595956701799604E-2</v>
      </c>
      <c r="R33" s="34">
        <f t="shared" si="4"/>
        <v>3.73071183956772E-2</v>
      </c>
      <c r="S33" s="56">
        <v>64.610301826515823</v>
      </c>
      <c r="T33" s="58">
        <v>2.768743445312739E-2</v>
      </c>
      <c r="U33" s="64">
        <f t="shared" si="5"/>
        <v>525.76653427043254</v>
      </c>
      <c r="V33" s="47">
        <f t="shared" si="6"/>
        <v>660.99925197027619</v>
      </c>
      <c r="W33" s="42">
        <v>661</v>
      </c>
      <c r="X33" s="45">
        <f t="shared" si="7"/>
        <v>0.79541169328596339</v>
      </c>
      <c r="Y33" s="46">
        <f t="shared" si="8"/>
        <v>0.99999886833627261</v>
      </c>
      <c r="Z33" s="45">
        <f t="shared" si="9"/>
        <v>0.76029609387067121</v>
      </c>
      <c r="AA33" s="82">
        <f t="shared" si="10"/>
        <v>2.5462046226153962E-2</v>
      </c>
      <c r="AB33" s="15"/>
      <c r="AC33" s="11"/>
      <c r="AD33" s="12"/>
      <c r="AE33" s="13"/>
      <c r="AF33" s="14"/>
      <c r="AG33" s="15"/>
      <c r="AH33" s="15"/>
      <c r="AI33" s="15"/>
      <c r="AK33" s="14"/>
      <c r="AL33" s="14"/>
      <c r="AM33" s="14"/>
      <c r="AN33" s="3"/>
      <c r="AO33" s="5"/>
      <c r="AP33" s="5"/>
      <c r="AQ33" s="4"/>
    </row>
    <row r="34" spans="1:43">
      <c r="A34" s="80">
        <v>4535</v>
      </c>
      <c r="B34" s="65" t="s">
        <v>17</v>
      </c>
      <c r="C34" s="72">
        <v>0.30733851654197353</v>
      </c>
      <c r="D34" s="81">
        <v>340.96600000000001</v>
      </c>
      <c r="E34" s="29">
        <v>1468.654</v>
      </c>
      <c r="F34" s="30">
        <f t="shared" si="0"/>
        <v>1552.1692185261873</v>
      </c>
      <c r="G34" s="31">
        <f t="shared" si="1"/>
        <v>1637.1508589243501</v>
      </c>
      <c r="H34" s="29">
        <v>119.9826375650358</v>
      </c>
      <c r="I34" s="30">
        <v>108.51521852618735</v>
      </c>
      <c r="J34" s="31">
        <v>109.98164039816287</v>
      </c>
      <c r="K34" s="29">
        <v>0.89745018564900891</v>
      </c>
      <c r="L34" s="30">
        <v>187.70199961286463</v>
      </c>
      <c r="M34" s="31">
        <v>190.63484335681562</v>
      </c>
      <c r="N34" s="29">
        <v>25</v>
      </c>
      <c r="O34" s="31">
        <v>25</v>
      </c>
      <c r="P34" s="32">
        <f t="shared" si="2"/>
        <v>8.1695646193750054E-2</v>
      </c>
      <c r="Q34" s="33">
        <f t="shared" si="3"/>
        <v>6.9911976884340296E-2</v>
      </c>
      <c r="R34" s="34">
        <f t="shared" si="4"/>
        <v>6.7178684113706907E-2</v>
      </c>
      <c r="S34" s="56">
        <v>71.184036194360175</v>
      </c>
      <c r="T34" s="58">
        <v>4.1680633523225957E-2</v>
      </c>
      <c r="U34" s="64">
        <f t="shared" si="5"/>
        <v>2463.4103615982431</v>
      </c>
      <c r="V34" s="47">
        <f t="shared" si="6"/>
        <v>2420.0000235912285</v>
      </c>
      <c r="W34" s="42">
        <v>2420</v>
      </c>
      <c r="X34" s="45">
        <f t="shared" si="7"/>
        <v>1.0179381560263767</v>
      </c>
      <c r="Y34" s="46">
        <f t="shared" si="8"/>
        <v>1.0000000097484416</v>
      </c>
      <c r="Z34" s="45">
        <f t="shared" si="9"/>
        <v>0.65895042922531766</v>
      </c>
      <c r="AA34" s="82">
        <f t="shared" si="10"/>
        <v>4.5143979116601285E-2</v>
      </c>
      <c r="AB34" s="15"/>
      <c r="AC34" s="11"/>
      <c r="AD34" s="12"/>
      <c r="AE34" s="13"/>
      <c r="AF34" s="14"/>
      <c r="AG34" s="15"/>
      <c r="AH34" s="15"/>
      <c r="AI34" s="15"/>
      <c r="AK34" s="14"/>
      <c r="AL34" s="14"/>
      <c r="AM34" s="14"/>
      <c r="AN34" s="3"/>
      <c r="AO34" s="5"/>
      <c r="AP34" s="5"/>
      <c r="AQ34" s="4"/>
    </row>
    <row r="35" spans="1:43">
      <c r="A35" s="80">
        <v>4536</v>
      </c>
      <c r="B35" s="65" t="s">
        <v>18</v>
      </c>
      <c r="C35" s="72">
        <v>0.36619117409243068</v>
      </c>
      <c r="D35" s="81">
        <v>87.962999999999994</v>
      </c>
      <c r="E35" s="29">
        <v>1176.6199999999999</v>
      </c>
      <c r="F35" s="30">
        <f t="shared" si="0"/>
        <v>1227.5673301274398</v>
      </c>
      <c r="G35" s="31">
        <f t="shared" si="1"/>
        <v>1279.6515018814728</v>
      </c>
      <c r="H35" s="29">
        <v>71.859759216943488</v>
      </c>
      <c r="I35" s="30">
        <v>90.947330127439955</v>
      </c>
      <c r="J35" s="31">
        <v>92.084171754032951</v>
      </c>
      <c r="K35" s="29">
        <v>4.2404192671918883</v>
      </c>
      <c r="L35" s="30">
        <v>156.88414446983393</v>
      </c>
      <c r="M35" s="31">
        <v>162.56835260279891</v>
      </c>
      <c r="N35" s="29">
        <v>40</v>
      </c>
      <c r="O35" s="31">
        <v>40</v>
      </c>
      <c r="P35" s="32">
        <f t="shared" si="2"/>
        <v>6.1073039058441546E-2</v>
      </c>
      <c r="Q35" s="33">
        <f t="shared" si="3"/>
        <v>7.4087447503183607E-2</v>
      </c>
      <c r="R35" s="34">
        <f t="shared" si="4"/>
        <v>7.196035140711475E-2</v>
      </c>
      <c r="S35" s="56">
        <v>137.11909707542239</v>
      </c>
      <c r="T35" s="58">
        <v>5.0059414953224045E-2</v>
      </c>
      <c r="U35" s="64">
        <f t="shared" si="5"/>
        <v>1741.386162076622</v>
      </c>
      <c r="V35" s="47">
        <f t="shared" si="6"/>
        <v>1715.0001624467793</v>
      </c>
      <c r="W35" s="42">
        <v>1715</v>
      </c>
      <c r="X35" s="45">
        <f t="shared" si="7"/>
        <v>1.0153854210673647</v>
      </c>
      <c r="Y35" s="46">
        <f t="shared" si="8"/>
        <v>1.000000094721154</v>
      </c>
      <c r="Z35" s="45">
        <f t="shared" si="9"/>
        <v>0.7309675895069716</v>
      </c>
      <c r="AA35" s="82">
        <f t="shared" si="10"/>
        <v>5.3361953901304056E-2</v>
      </c>
      <c r="AB35" s="15"/>
      <c r="AC35" s="11"/>
      <c r="AD35" s="12"/>
      <c r="AE35" s="13"/>
      <c r="AF35" s="14"/>
      <c r="AG35" s="15"/>
      <c r="AH35" s="15"/>
      <c r="AI35" s="15"/>
      <c r="AK35" s="14"/>
      <c r="AL35" s="14"/>
      <c r="AM35" s="14"/>
      <c r="AN35" s="3"/>
      <c r="AO35" s="5"/>
      <c r="AP35" s="5"/>
      <c r="AQ35" s="4"/>
    </row>
    <row r="36" spans="1:43">
      <c r="A36" s="80">
        <v>4537</v>
      </c>
      <c r="B36" s="65" t="s">
        <v>19</v>
      </c>
      <c r="C36" s="72">
        <v>0.36804398608068001</v>
      </c>
      <c r="D36" s="81">
        <v>122.947</v>
      </c>
      <c r="E36" s="29">
        <v>491.952</v>
      </c>
      <c r="F36" s="30">
        <f t="shared" si="0"/>
        <v>504.35275805021672</v>
      </c>
      <c r="G36" s="31">
        <f t="shared" si="1"/>
        <v>518.38023330378132</v>
      </c>
      <c r="H36" s="29">
        <v>27.280047500142338</v>
      </c>
      <c r="I36" s="30">
        <v>24.400758050216758</v>
      </c>
      <c r="J36" s="31">
        <v>26.027475253564546</v>
      </c>
      <c r="K36" s="29">
        <v>2.9524917240762281</v>
      </c>
      <c r="L36" s="30">
        <v>42.294647287042388</v>
      </c>
      <c r="M36" s="31">
        <v>46.361440295411846</v>
      </c>
      <c r="N36" s="29">
        <v>12</v>
      </c>
      <c r="O36" s="31">
        <v>12</v>
      </c>
      <c r="P36" s="32">
        <f t="shared" si="2"/>
        <v>5.5452661032259931E-2</v>
      </c>
      <c r="Q36" s="33">
        <f t="shared" si="3"/>
        <v>4.8380340269274895E-2</v>
      </c>
      <c r="R36" s="34">
        <f t="shared" si="4"/>
        <v>5.020923557922765E-2</v>
      </c>
      <c r="S36" s="56">
        <v>29.704595185020878</v>
      </c>
      <c r="T36" s="58">
        <v>3.500322376126079E-2</v>
      </c>
      <c r="U36" s="64">
        <f t="shared" si="5"/>
        <v>679.96037503526895</v>
      </c>
      <c r="V36" s="47">
        <f t="shared" si="6"/>
        <v>710.0001585744335</v>
      </c>
      <c r="W36" s="42">
        <v>710</v>
      </c>
      <c r="X36" s="45">
        <f t="shared" si="7"/>
        <v>0.95769045516908102</v>
      </c>
      <c r="Y36" s="46">
        <f t="shared" si="8"/>
        <v>1.0000002233442726</v>
      </c>
      <c r="Z36" s="45">
        <f t="shared" si="9"/>
        <v>0.72023450095351971</v>
      </c>
      <c r="AA36" s="82">
        <f t="shared" si="10"/>
        <v>3.5512840354775567E-2</v>
      </c>
      <c r="AB36" s="15"/>
      <c r="AC36" s="11"/>
      <c r="AD36" s="12"/>
      <c r="AE36" s="13"/>
      <c r="AF36" s="14"/>
      <c r="AG36" s="15"/>
      <c r="AH36" s="15"/>
      <c r="AI36" s="15"/>
      <c r="AK36" s="14"/>
      <c r="AL36" s="14"/>
      <c r="AM36" s="14"/>
      <c r="AN36" s="3"/>
      <c r="AO36" s="5"/>
      <c r="AP36" s="5"/>
      <c r="AQ36" s="4"/>
    </row>
    <row r="37" spans="1:43">
      <c r="A37" s="80">
        <v>4538</v>
      </c>
      <c r="B37" s="65" t="s">
        <v>20</v>
      </c>
      <c r="C37" s="72">
        <v>0.81219509409113422</v>
      </c>
      <c r="D37" s="81">
        <v>94.512</v>
      </c>
      <c r="E37" s="29">
        <v>442.01799999999997</v>
      </c>
      <c r="F37" s="30">
        <f t="shared" si="0"/>
        <v>442.89543355341118</v>
      </c>
      <c r="G37" s="31">
        <f t="shared" si="1"/>
        <v>444.3019004570848</v>
      </c>
      <c r="H37" s="29">
        <v>5.8828508549178942</v>
      </c>
      <c r="I37" s="30">
        <v>6.8774335534112074</v>
      </c>
      <c r="J37" s="31">
        <v>7.406466903673607</v>
      </c>
      <c r="K37" s="29">
        <v>8.6020822752666337</v>
      </c>
      <c r="L37" s="30">
        <v>11.109700355510411</v>
      </c>
      <c r="M37" s="31">
        <v>12.16776705603521</v>
      </c>
      <c r="N37" s="29">
        <v>6</v>
      </c>
      <c r="O37" s="31">
        <v>6</v>
      </c>
      <c r="P37" s="32">
        <f t="shared" si="2"/>
        <v>1.3309075320276311E-2</v>
      </c>
      <c r="Q37" s="33">
        <f t="shared" si="3"/>
        <v>1.5528346043743573E-2</v>
      </c>
      <c r="R37" s="34">
        <f t="shared" si="4"/>
        <v>1.6669896968826942E-2</v>
      </c>
      <c r="S37" s="56">
        <v>20.430054668934538</v>
      </c>
      <c r="T37" s="58">
        <v>1.9721207391466277E-2</v>
      </c>
      <c r="U37" s="64">
        <f t="shared" si="5"/>
        <v>348.04199993016351</v>
      </c>
      <c r="V37" s="47">
        <f t="shared" si="6"/>
        <v>373.00000117078378</v>
      </c>
      <c r="W37" s="42">
        <v>373</v>
      </c>
      <c r="X37" s="45">
        <f t="shared" si="7"/>
        <v>0.93308846873383022</v>
      </c>
      <c r="Y37" s="46">
        <f t="shared" si="8"/>
        <v>1.0000000031388305</v>
      </c>
      <c r="Z37" s="45">
        <f t="shared" si="9"/>
        <v>1.1892725656977159</v>
      </c>
      <c r="AA37" s="82">
        <f t="shared" si="10"/>
        <v>1.9147319647566777E-2</v>
      </c>
      <c r="AB37" s="15"/>
      <c r="AC37" s="11"/>
      <c r="AD37" s="12"/>
      <c r="AE37" s="13"/>
      <c r="AF37" s="14"/>
      <c r="AG37" s="15"/>
      <c r="AH37" s="15"/>
      <c r="AI37" s="15"/>
      <c r="AK37" s="14"/>
      <c r="AL37" s="14"/>
      <c r="AM37" s="14"/>
      <c r="AN37" s="3"/>
      <c r="AO37" s="5"/>
      <c r="AP37" s="5"/>
      <c r="AQ37" s="4"/>
    </row>
    <row r="38" spans="1:43">
      <c r="A38" s="80">
        <v>4539</v>
      </c>
      <c r="B38" s="65" t="s">
        <v>21</v>
      </c>
      <c r="C38" s="72">
        <v>0.75659556635973457</v>
      </c>
      <c r="D38" s="81">
        <v>38.521999999999998</v>
      </c>
      <c r="E38" s="29">
        <v>95.14</v>
      </c>
      <c r="F38" s="30">
        <f t="shared" si="0"/>
        <v>113.3114345049582</v>
      </c>
      <c r="G38" s="31">
        <f t="shared" si="1"/>
        <v>139.27062665489851</v>
      </c>
      <c r="H38" s="29">
        <v>-37.978298115362648</v>
      </c>
      <c r="I38" s="30">
        <v>18.171434504958203</v>
      </c>
      <c r="J38" s="31">
        <v>25.959192149940296</v>
      </c>
      <c r="K38" s="29">
        <v>19.599190073204923</v>
      </c>
      <c r="L38" s="30">
        <v>31.151030579928353</v>
      </c>
      <c r="M38" s="31">
        <v>35.0449094024194</v>
      </c>
      <c r="N38" s="29">
        <v>0</v>
      </c>
      <c r="O38" s="31">
        <v>0</v>
      </c>
      <c r="P38" s="32">
        <f t="shared" si="2"/>
        <v>-0.39918328899897676</v>
      </c>
      <c r="Q38" s="33">
        <f t="shared" si="3"/>
        <v>0.16036717374858642</v>
      </c>
      <c r="R38" s="34">
        <f t="shared" si="4"/>
        <v>0.18639387768581742</v>
      </c>
      <c r="S38" s="56">
        <v>44.642522623068089</v>
      </c>
      <c r="T38" s="58">
        <v>4.5226547490317175E-2</v>
      </c>
      <c r="U38" s="64">
        <f t="shared" si="5"/>
        <v>337.35347394596164</v>
      </c>
      <c r="V38" s="47">
        <f t="shared" si="6"/>
        <v>444.00000419275585</v>
      </c>
      <c r="W38" s="42">
        <v>444</v>
      </c>
      <c r="X38" s="45">
        <f t="shared" si="7"/>
        <v>0.75980511432496467</v>
      </c>
      <c r="Y38" s="46">
        <f t="shared" si="8"/>
        <v>1.0000000094431438</v>
      </c>
      <c r="Z38" s="45">
        <f t="shared" si="9"/>
        <v>0.28443925806290171</v>
      </c>
      <c r="AA38" s="82">
        <f t="shared" si="10"/>
        <v>4.969665163839921E-2</v>
      </c>
      <c r="AB38" s="15"/>
      <c r="AC38" s="11"/>
      <c r="AD38" s="12"/>
      <c r="AE38" s="13"/>
      <c r="AF38" s="14"/>
      <c r="AG38" s="15"/>
      <c r="AH38" s="15"/>
      <c r="AI38" s="15"/>
      <c r="AK38" s="14"/>
      <c r="AL38" s="14"/>
      <c r="AM38" s="14"/>
      <c r="AN38" s="3"/>
      <c r="AO38" s="5"/>
      <c r="AP38" s="5"/>
      <c r="AQ38" s="4"/>
    </row>
    <row r="39" spans="1:43">
      <c r="A39" s="80">
        <v>4540</v>
      </c>
      <c r="B39" s="65" t="s">
        <v>22</v>
      </c>
      <c r="C39" s="72">
        <v>0.13349061702980547</v>
      </c>
      <c r="D39" s="81">
        <v>70.772000000000006</v>
      </c>
      <c r="E39" s="29">
        <v>408.82</v>
      </c>
      <c r="F39" s="30">
        <f t="shared" si="0"/>
        <v>525.9889368676877</v>
      </c>
      <c r="G39" s="31">
        <f t="shared" si="1"/>
        <v>631.85396823602548</v>
      </c>
      <c r="H39" s="29">
        <v>119.80726841123607</v>
      </c>
      <c r="I39" s="30">
        <v>127.16893686768776</v>
      </c>
      <c r="J39" s="31">
        <v>115.86503136833774</v>
      </c>
      <c r="K39" s="29">
        <v>1.8368846436443791</v>
      </c>
      <c r="L39" s="30">
        <v>141.29881874187529</v>
      </c>
      <c r="M39" s="31">
        <v>152.60272424122533</v>
      </c>
      <c r="N39" s="29">
        <v>10</v>
      </c>
      <c r="O39" s="31">
        <v>10</v>
      </c>
      <c r="P39" s="32">
        <f t="shared" si="2"/>
        <v>0.29305628005292322</v>
      </c>
      <c r="Q39" s="33">
        <f t="shared" si="3"/>
        <v>0.24177112474074156</v>
      </c>
      <c r="R39" s="34">
        <f t="shared" si="4"/>
        <v>0.18337311656331484</v>
      </c>
      <c r="S39" s="56">
        <v>76.840151949224961</v>
      </c>
      <c r="T39" s="58">
        <v>5.8440211529563045E-2</v>
      </c>
      <c r="U39" s="64">
        <f t="shared" si="5"/>
        <v>1691.3161097390878</v>
      </c>
      <c r="V39" s="47">
        <f t="shared" si="6"/>
        <v>1542.0000013590009</v>
      </c>
      <c r="W39" s="42">
        <v>1542</v>
      </c>
      <c r="X39" s="45">
        <f t="shared" si="7"/>
        <v>1.0968327550249619</v>
      </c>
      <c r="Y39" s="46">
        <f t="shared" si="8"/>
        <v>1.0000000008813235</v>
      </c>
      <c r="Z39" s="45">
        <f t="shared" si="9"/>
        <v>0.37543544264063339</v>
      </c>
      <c r="AA39" s="82">
        <f t="shared" si="10"/>
        <v>7.8804788662783884E-2</v>
      </c>
      <c r="AB39" s="15"/>
      <c r="AC39" s="11"/>
      <c r="AD39" s="12"/>
      <c r="AE39" s="13"/>
      <c r="AF39" s="14"/>
      <c r="AG39" s="15"/>
      <c r="AH39" s="15"/>
      <c r="AI39" s="15"/>
      <c r="AK39" s="14"/>
      <c r="AL39" s="14"/>
      <c r="AM39" s="14"/>
      <c r="AN39" s="3"/>
      <c r="AO39" s="5"/>
      <c r="AP39" s="5"/>
      <c r="AQ39" s="4"/>
    </row>
    <row r="40" spans="1:43">
      <c r="A40" s="80">
        <v>4544</v>
      </c>
      <c r="B40" s="65" t="s">
        <v>100</v>
      </c>
      <c r="C40" s="72">
        <v>0.83369431770101743</v>
      </c>
      <c r="D40" s="81">
        <v>43.271000000000001</v>
      </c>
      <c r="E40" s="29">
        <v>990.178</v>
      </c>
      <c r="F40" s="30">
        <f t="shared" si="0"/>
        <v>1070.9296812645882</v>
      </c>
      <c r="G40" s="31">
        <f t="shared" si="1"/>
        <v>1156.3033957615955</v>
      </c>
      <c r="H40" s="29">
        <v>116.84500011555082</v>
      </c>
      <c r="I40" s="30">
        <v>94.751681264588285</v>
      </c>
      <c r="J40" s="31">
        <v>99.373714497007228</v>
      </c>
      <c r="K40" s="29">
        <v>19.320098911511174</v>
      </c>
      <c r="L40" s="30">
        <v>154.83811328603454</v>
      </c>
      <c r="M40" s="31">
        <v>171.01522959950083</v>
      </c>
      <c r="N40" s="29">
        <v>14</v>
      </c>
      <c r="O40" s="31">
        <v>14</v>
      </c>
      <c r="P40" s="32">
        <f t="shared" si="2"/>
        <v>0.11800403575473381</v>
      </c>
      <c r="Q40" s="33">
        <f t="shared" si="3"/>
        <v>8.8476099712450268E-2</v>
      </c>
      <c r="R40" s="34">
        <f t="shared" si="4"/>
        <v>8.5940865400256861E-2</v>
      </c>
      <c r="S40" s="56">
        <v>64.305229910954438</v>
      </c>
      <c r="T40" s="58">
        <v>5.8343883415334745E-2</v>
      </c>
      <c r="U40" s="64">
        <f t="shared" si="5"/>
        <v>1501.5642143225673</v>
      </c>
      <c r="V40" s="47">
        <f t="shared" si="6"/>
        <v>1497.0000010698195</v>
      </c>
      <c r="W40" s="42">
        <v>1497</v>
      </c>
      <c r="X40" s="45">
        <f t="shared" si="7"/>
        <v>1.0030489066462833</v>
      </c>
      <c r="Y40" s="46">
        <f t="shared" si="8"/>
        <v>1.0000000007146423</v>
      </c>
      <c r="Z40" s="45">
        <f t="shared" si="9"/>
        <v>0.74389882332203872</v>
      </c>
      <c r="AA40" s="82">
        <f t="shared" si="10"/>
        <v>6.4838141536939051E-2</v>
      </c>
      <c r="AB40" s="15"/>
      <c r="AC40" s="11"/>
      <c r="AD40" s="12"/>
      <c r="AE40" s="13"/>
      <c r="AF40" s="14"/>
      <c r="AG40" s="15"/>
      <c r="AH40" s="15"/>
      <c r="AI40" s="15"/>
      <c r="AK40" s="14"/>
      <c r="AL40" s="14"/>
      <c r="AM40" s="14"/>
      <c r="AN40" s="3"/>
      <c r="AO40" s="5"/>
      <c r="AP40" s="5"/>
      <c r="AQ40" s="4"/>
    </row>
    <row r="41" spans="1:43">
      <c r="A41" s="80">
        <v>4547</v>
      </c>
      <c r="B41" s="65" t="s">
        <v>23</v>
      </c>
      <c r="C41" s="72">
        <v>0.21250927047864582</v>
      </c>
      <c r="D41" s="81">
        <v>56.795000000000002</v>
      </c>
      <c r="E41" s="29">
        <v>2047.0989999999999</v>
      </c>
      <c r="F41" s="30">
        <f t="shared" si="0"/>
        <v>2110.3809790474511</v>
      </c>
      <c r="G41" s="31">
        <f t="shared" si="1"/>
        <v>2164.3311507174926</v>
      </c>
      <c r="H41" s="29">
        <v>98.582621709657531</v>
      </c>
      <c r="I41" s="30">
        <v>83.281979047451372</v>
      </c>
      <c r="J41" s="31">
        <v>73.950171670041385</v>
      </c>
      <c r="K41" s="29">
        <v>3.6446870323091818</v>
      </c>
      <c r="L41" s="30">
        <v>115.85526894973148</v>
      </c>
      <c r="M41" s="31">
        <v>122.89814244211638</v>
      </c>
      <c r="N41" s="29">
        <v>20</v>
      </c>
      <c r="O41" s="31">
        <v>20</v>
      </c>
      <c r="P41" s="32">
        <f t="shared" si="2"/>
        <v>4.8157232117087417E-2</v>
      </c>
      <c r="Q41" s="33">
        <f t="shared" si="3"/>
        <v>3.9463006857198751E-2</v>
      </c>
      <c r="R41" s="34">
        <f t="shared" si="4"/>
        <v>3.4167678844120655E-2</v>
      </c>
      <c r="S41" s="56">
        <v>173.54791048687966</v>
      </c>
      <c r="T41" s="58">
        <v>2.8749833539433171E-2</v>
      </c>
      <c r="U41" s="64">
        <f t="shared" si="5"/>
        <v>2809.9182474764843</v>
      </c>
      <c r="V41" s="47">
        <f t="shared" si="6"/>
        <v>2454.9996803095423</v>
      </c>
      <c r="W41" s="42">
        <v>2455</v>
      </c>
      <c r="X41" s="45">
        <f t="shared" si="7"/>
        <v>1.1445696999529513</v>
      </c>
      <c r="Y41" s="46">
        <f t="shared" si="8"/>
        <v>0.99999986977985433</v>
      </c>
      <c r="Z41" s="45">
        <f t="shared" si="9"/>
        <v>0.87061346838389897</v>
      </c>
      <c r="AA41" s="82">
        <f t="shared" si="10"/>
        <v>3.2022841286658402E-2</v>
      </c>
      <c r="AB41" s="15"/>
      <c r="AC41" s="11"/>
      <c r="AD41" s="12"/>
      <c r="AE41" s="13"/>
      <c r="AF41" s="14"/>
      <c r="AG41" s="15"/>
      <c r="AH41" s="15"/>
      <c r="AI41" s="15"/>
      <c r="AK41" s="14"/>
      <c r="AL41" s="14"/>
      <c r="AM41" s="14"/>
      <c r="AN41" s="3"/>
      <c r="AO41" s="5"/>
      <c r="AP41" s="5"/>
      <c r="AQ41" s="4"/>
    </row>
    <row r="42" spans="1:43">
      <c r="A42" s="80">
        <v>4549</v>
      </c>
      <c r="B42" s="65" t="s">
        <v>101</v>
      </c>
      <c r="C42" s="72">
        <v>1.759673911462561</v>
      </c>
      <c r="D42" s="81">
        <v>23.771000000000001</v>
      </c>
      <c r="E42" s="29">
        <v>862.94200000000001</v>
      </c>
      <c r="F42" s="30">
        <f t="shared" si="0"/>
        <v>890.38257885658993</v>
      </c>
      <c r="G42" s="31">
        <f t="shared" si="1"/>
        <v>920.34724168103992</v>
      </c>
      <c r="H42" s="29">
        <v>26.923562323839974</v>
      </c>
      <c r="I42" s="30">
        <v>37.440578856589958</v>
      </c>
      <c r="J42" s="31">
        <v>39.96466282444996</v>
      </c>
      <c r="K42" s="29">
        <v>73.955660258297911</v>
      </c>
      <c r="L42" s="30">
        <v>70.674351100079932</v>
      </c>
      <c r="M42" s="31">
        <v>75.72251903579992</v>
      </c>
      <c r="N42" s="29">
        <v>10</v>
      </c>
      <c r="O42" s="31">
        <v>10</v>
      </c>
      <c r="P42" s="32">
        <f t="shared" si="2"/>
        <v>3.1199735699316958E-2</v>
      </c>
      <c r="Q42" s="33">
        <f t="shared" si="3"/>
        <v>4.2049990358830176E-2</v>
      </c>
      <c r="R42" s="34">
        <f t="shared" si="4"/>
        <v>4.3423461292124252E-2</v>
      </c>
      <c r="S42" s="56">
        <v>83.921504605993121</v>
      </c>
      <c r="T42" s="58">
        <v>3.6866010169245518E-2</v>
      </c>
      <c r="U42" s="64">
        <f t="shared" si="5"/>
        <v>984.28613819731549</v>
      </c>
      <c r="V42" s="47">
        <f t="shared" si="6"/>
        <v>1019.9999898010213</v>
      </c>
      <c r="W42" s="42">
        <v>1020</v>
      </c>
      <c r="X42" s="45">
        <f t="shared" si="7"/>
        <v>0.96498641964626608</v>
      </c>
      <c r="Y42" s="46">
        <f t="shared" si="8"/>
        <v>0.99999999000100137</v>
      </c>
      <c r="Z42" s="45">
        <f t="shared" si="9"/>
        <v>0.88761265712628912</v>
      </c>
      <c r="AA42" s="82">
        <f t="shared" si="10"/>
        <v>3.7943745922078387E-2</v>
      </c>
      <c r="AB42" s="15"/>
      <c r="AC42" s="11"/>
      <c r="AD42" s="12"/>
      <c r="AE42" s="13"/>
      <c r="AF42" s="14"/>
      <c r="AG42" s="15"/>
      <c r="AH42" s="15"/>
      <c r="AI42" s="15"/>
      <c r="AK42" s="14"/>
      <c r="AL42" s="14"/>
      <c r="AM42" s="14"/>
      <c r="AN42" s="3"/>
      <c r="AO42" s="5"/>
      <c r="AP42" s="5"/>
      <c r="AQ42" s="4"/>
    </row>
    <row r="43" spans="1:43">
      <c r="A43" s="80">
        <v>4551</v>
      </c>
      <c r="B43" s="65" t="s">
        <v>24</v>
      </c>
      <c r="C43" s="72">
        <v>0.54401114331825318</v>
      </c>
      <c r="D43" s="81">
        <v>28.8</v>
      </c>
      <c r="E43" s="29">
        <v>1963.7850000000001</v>
      </c>
      <c r="F43" s="30">
        <f t="shared" si="0"/>
        <v>2111.923888888889</v>
      </c>
      <c r="G43" s="31">
        <f t="shared" si="1"/>
        <v>2242.7016666666668</v>
      </c>
      <c r="H43" s="29">
        <v>170.59027777777777</v>
      </c>
      <c r="I43" s="30">
        <v>170.13888888888889</v>
      </c>
      <c r="J43" s="31">
        <v>152.7777777777778</v>
      </c>
      <c r="K43" s="29">
        <v>18.784722222222225</v>
      </c>
      <c r="L43" s="30">
        <v>309.02777777777777</v>
      </c>
      <c r="M43" s="31">
        <v>243.05555555555554</v>
      </c>
      <c r="N43" s="29">
        <v>22</v>
      </c>
      <c r="O43" s="31">
        <v>22</v>
      </c>
      <c r="P43" s="32">
        <f t="shared" si="2"/>
        <v>8.6868103065140923E-2</v>
      </c>
      <c r="Q43" s="33">
        <f t="shared" si="3"/>
        <v>8.0561089243799025E-2</v>
      </c>
      <c r="R43" s="34">
        <f t="shared" si="4"/>
        <v>6.8122202809458729E-2</v>
      </c>
      <c r="S43" s="56">
        <v>12.494909775450907</v>
      </c>
      <c r="T43" s="58">
        <v>6.0165743447059487E-2</v>
      </c>
      <c r="U43" s="64">
        <f t="shared" si="5"/>
        <v>2629.480657541279</v>
      </c>
      <c r="V43" s="47">
        <f t="shared" si="6"/>
        <v>2265.0000282107831</v>
      </c>
      <c r="W43" s="42">
        <v>2265</v>
      </c>
      <c r="X43" s="45">
        <f t="shared" si="7"/>
        <v>1.1609185981416583</v>
      </c>
      <c r="Y43" s="46">
        <f t="shared" si="8"/>
        <v>1.0000000124550918</v>
      </c>
      <c r="Z43" s="45">
        <f t="shared" si="9"/>
        <v>0.96128599460387554</v>
      </c>
      <c r="AA43" s="82">
        <f t="shared" si="10"/>
        <v>7.1284032376747616E-2</v>
      </c>
      <c r="AB43" s="15"/>
    </row>
    <row r="44" spans="1:43">
      <c r="A44" s="80">
        <v>4555</v>
      </c>
      <c r="B44" s="65" t="s">
        <v>102</v>
      </c>
      <c r="C44" s="72">
        <v>-0.26339119740026218</v>
      </c>
      <c r="D44" s="81">
        <v>13.64</v>
      </c>
      <c r="E44" s="29">
        <v>1895.1610000000001</v>
      </c>
      <c r="F44" s="30">
        <f t="shared" si="0"/>
        <v>2032.5803548387098</v>
      </c>
      <c r="G44" s="31">
        <f t="shared" si="1"/>
        <v>2201.5246363636365</v>
      </c>
      <c r="H44" s="29">
        <v>167.30205278592376</v>
      </c>
      <c r="I44" s="30">
        <v>177.41935483870967</v>
      </c>
      <c r="J44" s="31">
        <v>208.94428152492671</v>
      </c>
      <c r="K44" s="29">
        <v>-18.988269794721408</v>
      </c>
      <c r="L44" s="30">
        <v>324.78005865102637</v>
      </c>
      <c r="M44" s="31">
        <v>381.23167155425222</v>
      </c>
      <c r="N44" s="29">
        <v>40</v>
      </c>
      <c r="O44" s="31">
        <v>40</v>
      </c>
      <c r="P44" s="32">
        <f t="shared" si="2"/>
        <v>8.8278543504179199E-2</v>
      </c>
      <c r="Q44" s="33">
        <f t="shared" si="3"/>
        <v>8.7287744573713702E-2</v>
      </c>
      <c r="R44" s="34">
        <f t="shared" si="4"/>
        <v>9.4908899983990172E-2</v>
      </c>
      <c r="S44" s="56">
        <v>138.88150647251842</v>
      </c>
      <c r="T44" s="58">
        <v>4.0540243980874274E-2</v>
      </c>
      <c r="U44" s="64">
        <f t="shared" si="5"/>
        <v>4080.4966386513679</v>
      </c>
      <c r="V44" s="47">
        <f t="shared" si="6"/>
        <v>4600.0004607118126</v>
      </c>
      <c r="W44" s="42">
        <v>4600</v>
      </c>
      <c r="X44" s="45">
        <f t="shared" si="7"/>
        <v>0.88706439781963509</v>
      </c>
      <c r="Y44" s="46">
        <f t="shared" si="8"/>
        <v>1.0000001001547418</v>
      </c>
      <c r="Z44" s="45">
        <f t="shared" si="9"/>
        <v>0.46022880339155936</v>
      </c>
      <c r="AA44" s="82">
        <f t="shared" si="10"/>
        <v>4.199604743083004E-2</v>
      </c>
      <c r="AB44" s="15"/>
    </row>
    <row r="45" spans="1:43">
      <c r="A45" s="80">
        <v>4559</v>
      </c>
      <c r="B45" s="65" t="s">
        <v>103</v>
      </c>
      <c r="C45" s="72">
        <v>0.18571702091076281</v>
      </c>
      <c r="D45" s="81">
        <v>48.29</v>
      </c>
      <c r="E45" s="29">
        <v>607.37199999999996</v>
      </c>
      <c r="F45" s="30">
        <f t="shared" si="0"/>
        <v>606.90316587285145</v>
      </c>
      <c r="G45" s="31">
        <f t="shared" si="1"/>
        <v>607.46974280389304</v>
      </c>
      <c r="H45" s="29">
        <v>32.180575688548352</v>
      </c>
      <c r="I45" s="30">
        <v>15.531165872851522</v>
      </c>
      <c r="J45" s="31">
        <v>16.566576931041624</v>
      </c>
      <c r="K45" s="29">
        <v>3.8724373576309792</v>
      </c>
      <c r="L45" s="30">
        <v>33.133153862083248</v>
      </c>
      <c r="M45" s="31">
        <v>35.203975978463447</v>
      </c>
      <c r="N45" s="29">
        <v>16</v>
      </c>
      <c r="O45" s="31">
        <v>16</v>
      </c>
      <c r="P45" s="32">
        <f t="shared" si="2"/>
        <v>5.2983304611586235E-2</v>
      </c>
      <c r="Q45" s="33">
        <f t="shared" si="3"/>
        <v>2.5590846688885723E-2</v>
      </c>
      <c r="R45" s="34">
        <f t="shared" si="4"/>
        <v>2.7271443767018604E-2</v>
      </c>
      <c r="S45" s="56">
        <v>95.645406538824432</v>
      </c>
      <c r="T45" s="58">
        <v>1.4770784121070139E-2</v>
      </c>
      <c r="U45" s="64">
        <f t="shared" si="5"/>
        <v>1052.2910366654119</v>
      </c>
      <c r="V45" s="47">
        <f t="shared" si="6"/>
        <v>1119.9999944707106</v>
      </c>
      <c r="W45" s="42">
        <v>1120</v>
      </c>
      <c r="X45" s="45">
        <f t="shared" si="7"/>
        <v>0.93954557308967079</v>
      </c>
      <c r="Y45" s="46">
        <f t="shared" si="8"/>
        <v>0.99999999506313442</v>
      </c>
      <c r="Z45" s="45">
        <f t="shared" si="9"/>
        <v>0.54213076280211803</v>
      </c>
      <c r="AA45" s="82">
        <f t="shared" si="10"/>
        <v>1.4329349466023726E-2</v>
      </c>
      <c r="AB45" s="15"/>
    </row>
    <row r="46" spans="1:43">
      <c r="A46" s="83">
        <v>4560</v>
      </c>
      <c r="B46" s="84" t="s">
        <v>105</v>
      </c>
      <c r="C46" s="73">
        <v>0.72108819045126804</v>
      </c>
      <c r="D46" s="85">
        <v>86.346000000000004</v>
      </c>
      <c r="E46" s="86">
        <v>1063.8130000000001</v>
      </c>
      <c r="F46" s="87">
        <f t="shared" si="0"/>
        <v>1085.1894621406898</v>
      </c>
      <c r="G46" s="88">
        <f t="shared" si="1"/>
        <v>1108.8821867602437</v>
      </c>
      <c r="H46" s="86">
        <v>65.920830148472433</v>
      </c>
      <c r="I46" s="87">
        <v>39.376462140689782</v>
      </c>
      <c r="J46" s="88">
        <v>41.692724619553886</v>
      </c>
      <c r="K46" s="86">
        <v>8.3153822991221364</v>
      </c>
      <c r="L46" s="87">
        <v>78.752924281379563</v>
      </c>
      <c r="M46" s="88">
        <v>82.227317999675705</v>
      </c>
      <c r="N46" s="86">
        <v>18</v>
      </c>
      <c r="O46" s="88">
        <v>18</v>
      </c>
      <c r="P46" s="89">
        <f t="shared" si="2"/>
        <v>6.1966558171852031E-2</v>
      </c>
      <c r="Q46" s="90">
        <f t="shared" si="3"/>
        <v>3.6285334049424085E-2</v>
      </c>
      <c r="R46" s="79">
        <f t="shared" si="4"/>
        <v>3.7598876704264754E-2</v>
      </c>
      <c r="S46" s="91">
        <v>95.613098147255727</v>
      </c>
      <c r="T46" s="92">
        <v>2.51863945722881E-2</v>
      </c>
      <c r="U46" s="100">
        <f t="shared" si="5"/>
        <v>1532.6056280239254</v>
      </c>
      <c r="V46" s="94">
        <f t="shared" si="6"/>
        <v>1596.999527047429</v>
      </c>
      <c r="W46" s="43">
        <v>1597</v>
      </c>
      <c r="X46" s="95">
        <f t="shared" si="7"/>
        <v>0.95967819781227082</v>
      </c>
      <c r="Y46" s="96">
        <f t="shared" si="8"/>
        <v>0.99999970384936065</v>
      </c>
      <c r="Z46" s="95">
        <f t="shared" si="9"/>
        <v>0.6869353941455647</v>
      </c>
      <c r="AA46" s="97">
        <f t="shared" si="10"/>
        <v>2.538171157177322E-2</v>
      </c>
      <c r="AB46" s="15"/>
    </row>
    <row r="49" spans="3:19">
      <c r="R49" s="27"/>
      <c r="S49" s="27"/>
    </row>
    <row r="50" spans="3:19">
      <c r="C50" s="49"/>
      <c r="R50" s="27"/>
      <c r="S50" s="27"/>
    </row>
    <row r="51" spans="3:19">
      <c r="C51" s="49"/>
      <c r="R51" s="27"/>
      <c r="S51" s="27"/>
    </row>
    <row r="52" spans="3:19">
      <c r="C52" s="49"/>
      <c r="R52" s="27"/>
      <c r="S52" s="60"/>
    </row>
    <row r="53" spans="3:19">
      <c r="C53" s="49"/>
      <c r="R53" s="27"/>
      <c r="S53" s="60"/>
    </row>
    <row r="54" spans="3:19">
      <c r="C54" s="49"/>
      <c r="R54" s="27"/>
      <c r="S54" s="60"/>
    </row>
    <row r="55" spans="3:19">
      <c r="C55" s="49"/>
      <c r="R55" s="27"/>
      <c r="S55" s="60"/>
    </row>
    <row r="56" spans="3:19">
      <c r="C56" s="49"/>
      <c r="R56" s="27"/>
      <c r="S56" s="60"/>
    </row>
    <row r="57" spans="3:19">
      <c r="C57" s="49"/>
      <c r="R57" s="27"/>
      <c r="S57" s="60"/>
    </row>
    <row r="58" spans="3:19">
      <c r="C58" s="49"/>
      <c r="R58" s="27"/>
      <c r="S58" s="60"/>
    </row>
    <row r="59" spans="3:19">
      <c r="C59" s="49"/>
      <c r="R59" s="27"/>
      <c r="S59" s="60"/>
    </row>
    <row r="60" spans="3:19">
      <c r="C60" s="49"/>
      <c r="R60" s="27"/>
      <c r="S60" s="60"/>
    </row>
    <row r="61" spans="3:19">
      <c r="C61" s="49"/>
      <c r="R61" s="27"/>
      <c r="S61" s="60"/>
    </row>
    <row r="62" spans="3:19">
      <c r="C62" s="49"/>
      <c r="R62" s="27"/>
      <c r="S62" s="60"/>
    </row>
    <row r="63" spans="3:19">
      <c r="C63" s="49"/>
      <c r="R63" s="27"/>
      <c r="S63" s="60"/>
    </row>
    <row r="64" spans="3:19">
      <c r="C64" s="49"/>
      <c r="R64" s="27"/>
      <c r="S64" s="60"/>
    </row>
    <row r="65" spans="3:19">
      <c r="C65" s="49"/>
      <c r="R65" s="27"/>
      <c r="S65" s="60"/>
    </row>
    <row r="66" spans="3:19">
      <c r="C66" s="49"/>
      <c r="R66" s="27"/>
      <c r="S66" s="60"/>
    </row>
    <row r="67" spans="3:19">
      <c r="C67" s="49"/>
      <c r="R67" s="27"/>
      <c r="S67" s="60"/>
    </row>
    <row r="68" spans="3:19">
      <c r="C68" s="49"/>
      <c r="R68" s="27"/>
      <c r="S68" s="60"/>
    </row>
    <row r="69" spans="3:19">
      <c r="C69" s="49"/>
      <c r="R69" s="27"/>
      <c r="S69" s="60"/>
    </row>
    <row r="70" spans="3:19">
      <c r="C70" s="49"/>
      <c r="R70" s="27"/>
      <c r="S70" s="60"/>
    </row>
    <row r="71" spans="3:19">
      <c r="C71" s="49"/>
      <c r="R71" s="27"/>
      <c r="S71" s="60"/>
    </row>
    <row r="72" spans="3:19">
      <c r="C72" s="49"/>
      <c r="R72" s="27"/>
      <c r="S72" s="60"/>
    </row>
    <row r="73" spans="3:19">
      <c r="C73" s="49"/>
      <c r="R73" s="27"/>
      <c r="S73" s="60"/>
    </row>
    <row r="74" spans="3:19">
      <c r="C74" s="49"/>
      <c r="R74" s="27"/>
      <c r="S74" s="60"/>
    </row>
    <row r="75" spans="3:19">
      <c r="C75" s="49"/>
      <c r="R75" s="27"/>
      <c r="S75" s="60"/>
    </row>
    <row r="76" spans="3:19">
      <c r="C76" s="49"/>
      <c r="R76" s="27"/>
      <c r="S76" s="60"/>
    </row>
    <row r="77" spans="3:19">
      <c r="C77" s="49"/>
      <c r="R77" s="27"/>
      <c r="S77" s="60"/>
    </row>
    <row r="78" spans="3:19">
      <c r="C78" s="49"/>
      <c r="R78" s="27"/>
      <c r="S78" s="60"/>
    </row>
    <row r="79" spans="3:19">
      <c r="C79" s="49"/>
      <c r="R79" s="27"/>
      <c r="S79" s="60"/>
    </row>
    <row r="80" spans="3:19">
      <c r="C80" s="49"/>
      <c r="R80" s="27"/>
      <c r="S80" s="60"/>
    </row>
    <row r="81" spans="3:19">
      <c r="C81" s="49"/>
      <c r="R81" s="27"/>
      <c r="S81" s="60"/>
    </row>
    <row r="82" spans="3:19">
      <c r="C82" s="49"/>
      <c r="R82" s="27"/>
      <c r="S82" s="60"/>
    </row>
    <row r="83" spans="3:19">
      <c r="C83" s="49"/>
      <c r="R83" s="27"/>
      <c r="S83" s="60"/>
    </row>
    <row r="84" spans="3:19">
      <c r="C84" s="49"/>
      <c r="R84" s="27"/>
      <c r="S84" s="60"/>
    </row>
    <row r="85" spans="3:19">
      <c r="R85" s="27"/>
      <c r="S85" s="60"/>
    </row>
    <row r="86" spans="3:19">
      <c r="R86" s="27"/>
      <c r="S86" s="60"/>
    </row>
  </sheetData>
  <sortState ref="A12:AC46">
    <sortCondition ref="A12"/>
  </sortState>
  <phoneticPr fontId="2"/>
  <pageMargins left="0.78700000000000003" right="0.78700000000000003" top="0.98399999999999999" bottom="0.98399999999999999" header="0.5" footer="0.5"/>
  <headerFooter alignWithMargins="0">
    <oddHeader>&amp;A</oddHeader>
    <oddFooter>Page &amp;P</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AQ86"/>
  <sheetViews>
    <sheetView topLeftCell="K1" workbookViewId="0">
      <selection activeCell="T57" sqref="T57"/>
    </sheetView>
  </sheetViews>
  <sheetFormatPr defaultRowHeight="12"/>
  <cols>
    <col min="1" max="1" width="6.7109375" bestFit="1" customWidth="1"/>
    <col min="2" max="2" width="27" bestFit="1" customWidth="1"/>
    <col min="3" max="3" width="12.85546875" bestFit="1" customWidth="1"/>
    <col min="4" max="4" width="15.28515625" bestFit="1" customWidth="1"/>
    <col min="18" max="18" width="9" customWidth="1"/>
    <col min="19" max="19" width="12.7109375" bestFit="1" customWidth="1"/>
    <col min="20" max="20" width="13.85546875" bestFit="1" customWidth="1"/>
    <col min="21" max="21" width="9" customWidth="1"/>
    <col min="22" max="23" width="10.140625" bestFit="1" customWidth="1"/>
    <col min="24" max="24" width="12" customWidth="1"/>
    <col min="25" max="25" width="10.85546875" customWidth="1"/>
    <col min="26" max="26" width="10.140625" bestFit="1" customWidth="1"/>
    <col min="28" max="34" width="9.140625" style="6"/>
    <col min="35" max="35" width="9.42578125" style="6" bestFit="1" customWidth="1"/>
    <col min="36" max="39" width="9.140625" style="6"/>
  </cols>
  <sheetData>
    <row r="2" spans="1:43">
      <c r="S2" t="s">
        <v>94</v>
      </c>
      <c r="T2" s="50">
        <v>2.3E-2</v>
      </c>
      <c r="U2" t="s">
        <v>110</v>
      </c>
    </row>
    <row r="3" spans="1:43">
      <c r="S3" t="s">
        <v>95</v>
      </c>
      <c r="T3" s="50">
        <v>1.4999999999999999E-2</v>
      </c>
      <c r="U3" t="s">
        <v>111</v>
      </c>
    </row>
    <row r="4" spans="1:43">
      <c r="T4" s="48"/>
    </row>
    <row r="5" spans="1:43">
      <c r="Z5" s="1"/>
      <c r="AA5" s="1"/>
      <c r="AB5" s="7"/>
      <c r="AC5" s="7"/>
      <c r="AD5" s="7"/>
    </row>
    <row r="6" spans="1:43">
      <c r="Z6" s="2"/>
    </row>
    <row r="8" spans="1:43">
      <c r="A8" s="23"/>
      <c r="B8" s="24"/>
      <c r="C8" s="66" t="s">
        <v>118</v>
      </c>
      <c r="D8" s="70" t="s">
        <v>109</v>
      </c>
      <c r="E8" s="24" t="s">
        <v>51</v>
      </c>
      <c r="F8" s="24"/>
      <c r="G8" s="25"/>
      <c r="H8" s="23" t="s">
        <v>53</v>
      </c>
      <c r="I8" s="24"/>
      <c r="J8" s="25"/>
      <c r="K8" s="23" t="s">
        <v>54</v>
      </c>
      <c r="L8" s="24"/>
      <c r="M8" s="25"/>
      <c r="N8" s="23" t="s">
        <v>55</v>
      </c>
      <c r="O8" s="25"/>
      <c r="P8" s="23" t="s">
        <v>56</v>
      </c>
      <c r="Q8" s="24"/>
      <c r="R8" s="25"/>
      <c r="S8" s="23" t="s">
        <v>58</v>
      </c>
      <c r="T8" s="74" t="s">
        <v>32</v>
      </c>
      <c r="U8" s="75" t="s">
        <v>36</v>
      </c>
      <c r="V8" s="76"/>
      <c r="W8" s="74" t="s">
        <v>35</v>
      </c>
      <c r="X8" s="75" t="s">
        <v>114</v>
      </c>
      <c r="Y8" s="76"/>
      <c r="Z8" s="75" t="s">
        <v>117</v>
      </c>
      <c r="AA8" s="25"/>
      <c r="AC8" s="8"/>
    </row>
    <row r="9" spans="1:43">
      <c r="A9" s="26"/>
      <c r="B9" s="27"/>
      <c r="C9" s="67"/>
      <c r="D9" s="67"/>
      <c r="E9" s="27" t="s">
        <v>52</v>
      </c>
      <c r="F9" s="27"/>
      <c r="G9" s="28"/>
      <c r="H9" s="26" t="s">
        <v>30</v>
      </c>
      <c r="I9" s="27"/>
      <c r="J9" s="28"/>
      <c r="K9" s="26" t="s">
        <v>31</v>
      </c>
      <c r="L9" s="27"/>
      <c r="M9" s="28"/>
      <c r="N9" s="26" t="s">
        <v>26</v>
      </c>
      <c r="O9" s="28"/>
      <c r="P9" s="26"/>
      <c r="Q9" s="27"/>
      <c r="R9" s="28"/>
      <c r="S9" s="26" t="s">
        <v>57</v>
      </c>
      <c r="T9" s="42" t="s">
        <v>112</v>
      </c>
      <c r="U9" s="38"/>
      <c r="V9" s="39"/>
      <c r="W9" s="42"/>
      <c r="X9" s="38"/>
      <c r="Y9" s="39"/>
      <c r="Z9" s="38"/>
      <c r="AA9" s="28"/>
      <c r="AC9" s="7"/>
      <c r="AD9" s="9"/>
      <c r="AI9" s="10"/>
    </row>
    <row r="10" spans="1:43">
      <c r="A10" s="26"/>
      <c r="B10" s="27"/>
      <c r="C10" s="68"/>
      <c r="D10" s="68"/>
      <c r="E10" s="27" t="s">
        <v>27</v>
      </c>
      <c r="F10" s="27" t="s">
        <v>28</v>
      </c>
      <c r="G10" s="28" t="s">
        <v>29</v>
      </c>
      <c r="H10" s="26" t="s">
        <v>27</v>
      </c>
      <c r="I10" s="27" t="s">
        <v>28</v>
      </c>
      <c r="J10" s="28" t="s">
        <v>29</v>
      </c>
      <c r="K10" s="26" t="s">
        <v>27</v>
      </c>
      <c r="L10" s="27" t="s">
        <v>28</v>
      </c>
      <c r="M10" s="28" t="s">
        <v>29</v>
      </c>
      <c r="N10" s="26" t="s">
        <v>28</v>
      </c>
      <c r="O10" s="28" t="s">
        <v>29</v>
      </c>
      <c r="P10" s="26" t="s">
        <v>27</v>
      </c>
      <c r="Q10" s="27" t="s">
        <v>28</v>
      </c>
      <c r="R10" s="28" t="s">
        <v>29</v>
      </c>
      <c r="S10" s="26"/>
      <c r="T10" s="42"/>
      <c r="U10" s="38" t="s">
        <v>33</v>
      </c>
      <c r="V10" s="39" t="s">
        <v>34</v>
      </c>
      <c r="W10" s="42"/>
      <c r="X10" s="51" t="s">
        <v>107</v>
      </c>
      <c r="Y10" s="39" t="s">
        <v>108</v>
      </c>
      <c r="Z10" s="38" t="s">
        <v>115</v>
      </c>
      <c r="AA10" s="28" t="s">
        <v>116</v>
      </c>
      <c r="AC10" s="7"/>
      <c r="AD10" s="9"/>
    </row>
    <row r="11" spans="1:43">
      <c r="A11" s="77"/>
      <c r="B11" s="78"/>
      <c r="C11" s="69"/>
      <c r="D11" s="69"/>
      <c r="E11" s="36"/>
      <c r="F11" s="36"/>
      <c r="G11" s="35"/>
      <c r="H11" s="37"/>
      <c r="I11" s="36"/>
      <c r="J11" s="35"/>
      <c r="K11" s="37"/>
      <c r="L11" s="36"/>
      <c r="M11" s="35"/>
      <c r="N11" s="37"/>
      <c r="O11" s="35"/>
      <c r="P11" s="37"/>
      <c r="Q11" s="36"/>
      <c r="R11" s="35"/>
      <c r="S11" s="55"/>
      <c r="T11" s="57"/>
      <c r="U11" s="41"/>
      <c r="V11" s="40"/>
      <c r="W11" s="43"/>
      <c r="X11" s="44"/>
      <c r="Y11" s="40"/>
      <c r="Z11" s="41"/>
      <c r="AA11" s="79"/>
      <c r="AB11" s="11"/>
      <c r="AC11" s="7"/>
      <c r="AD11" s="9"/>
    </row>
    <row r="12" spans="1:43">
      <c r="A12" s="80">
        <v>4151</v>
      </c>
      <c r="B12" s="65" t="s">
        <v>0</v>
      </c>
      <c r="C12" s="71">
        <v>0.70548503378680116</v>
      </c>
      <c r="D12" s="81">
        <v>434.24400000000003</v>
      </c>
      <c r="E12" s="29">
        <v>518.23900000000003</v>
      </c>
      <c r="F12" s="30">
        <f t="shared" ref="F12:F46" si="0">+E12+I12-N12</f>
        <v>545.28179161024684</v>
      </c>
      <c r="G12" s="31">
        <f t="shared" ref="G12:G46" si="1">+F12+J12-O12</f>
        <v>574.62743599451005</v>
      </c>
      <c r="H12" s="29">
        <v>23.067676237322793</v>
      </c>
      <c r="I12" s="30">
        <v>34.542791610246773</v>
      </c>
      <c r="J12" s="31">
        <v>36.845644384263224</v>
      </c>
      <c r="K12" s="29">
        <v>1.6166026473595487</v>
      </c>
      <c r="L12" s="30">
        <v>62.177024898444195</v>
      </c>
      <c r="M12" s="31">
        <v>66.782730446477089</v>
      </c>
      <c r="N12" s="29">
        <v>7.5</v>
      </c>
      <c r="O12" s="31">
        <v>7.5</v>
      </c>
      <c r="P12" s="32">
        <f t="shared" ref="P12:P46" si="2">+H12/E12</f>
        <v>4.4511656276974121E-2</v>
      </c>
      <c r="Q12" s="33">
        <f t="shared" ref="Q12:Q46" si="3">+I12/F12</f>
        <v>6.3348514734445888E-2</v>
      </c>
      <c r="R12" s="34">
        <f t="shared" ref="R12:R46" si="4">+J12/G12</f>
        <v>6.4120927885203252E-2</v>
      </c>
      <c r="S12" s="56">
        <v>62.589503258914824</v>
      </c>
      <c r="T12" s="58">
        <f t="shared" ref="T12:T46" si="5">$T$2*(0.67*C12+0.33)+$T$3</f>
        <v>3.3461524370654611E-2</v>
      </c>
      <c r="U12" s="59">
        <f t="shared" ref="U12:U46" si="6">E12+(Q12-T12)/T12*E12</f>
        <v>981.11701558509287</v>
      </c>
      <c r="V12" s="47">
        <f t="shared" ref="V12:V46" si="7">E12+(Q12-T12)/(1+T12)*E12+(R12-T12)/(1+T12)/T12*F12</f>
        <v>1016.6684293778558</v>
      </c>
      <c r="W12" s="54">
        <v>787</v>
      </c>
      <c r="X12" s="45">
        <f t="shared" ref="X12:X46" si="8">U12/V12</f>
        <v>0.96503145689837311</v>
      </c>
      <c r="Y12" s="46">
        <f t="shared" ref="Y12:Y46" si="9">V12/W12</f>
        <v>1.2918277374559795</v>
      </c>
      <c r="Z12" s="45">
        <f t="shared" ref="Z12:Z46" si="10">+(G12+F12)/W12/2</f>
        <v>0.71150522719488996</v>
      </c>
      <c r="AA12" s="82">
        <f t="shared" ref="AA12:AA46" si="11">+(I12+J12)/W12/2</f>
        <v>4.5354787798290976E-2</v>
      </c>
      <c r="AB12" s="11"/>
      <c r="AC12" s="11"/>
      <c r="AD12" s="12"/>
      <c r="AE12" s="13"/>
      <c r="AF12" s="14"/>
      <c r="AG12" s="15"/>
      <c r="AH12" s="15"/>
      <c r="AI12" s="15"/>
      <c r="AK12" s="14"/>
      <c r="AL12" s="14"/>
      <c r="AM12" s="14"/>
      <c r="AN12" s="3"/>
      <c r="AO12" s="5"/>
      <c r="AP12" s="5"/>
      <c r="AQ12" s="4"/>
    </row>
    <row r="13" spans="1:43">
      <c r="A13" s="80">
        <v>4501</v>
      </c>
      <c r="B13" s="65" t="s">
        <v>1</v>
      </c>
      <c r="C13" s="72">
        <v>-0.17272492703724054</v>
      </c>
      <c r="D13" s="81">
        <v>439.49900000000002</v>
      </c>
      <c r="E13" s="29">
        <v>1553.1179999999999</v>
      </c>
      <c r="F13" s="30">
        <f t="shared" si="0"/>
        <v>1645.9851737592121</v>
      </c>
      <c r="G13" s="31">
        <f t="shared" si="1"/>
        <v>1716.0991671926442</v>
      </c>
      <c r="H13" s="29">
        <v>98.773831112243712</v>
      </c>
      <c r="I13" s="30">
        <v>122.86717375921219</v>
      </c>
      <c r="J13" s="31">
        <v>100.11399343343216</v>
      </c>
      <c r="K13" s="29">
        <v>-0.38225342947310459</v>
      </c>
      <c r="L13" s="30">
        <v>177.47480654108426</v>
      </c>
      <c r="M13" s="31">
        <v>186.57607867139629</v>
      </c>
      <c r="N13" s="29">
        <v>30</v>
      </c>
      <c r="O13" s="31">
        <v>30</v>
      </c>
      <c r="P13" s="32">
        <f t="shared" si="2"/>
        <v>6.3597119544196723E-2</v>
      </c>
      <c r="Q13" s="33">
        <f t="shared" si="3"/>
        <v>7.4646585958365499E-2</v>
      </c>
      <c r="R13" s="34">
        <f t="shared" si="4"/>
        <v>5.8338116670266789E-2</v>
      </c>
      <c r="S13" s="56">
        <v>170.47724295727005</v>
      </c>
      <c r="T13" s="58">
        <f t="shared" si="5"/>
        <v>1.9928308874356121E-2</v>
      </c>
      <c r="U13" s="59">
        <f t="shared" si="6"/>
        <v>5817.6013339330857</v>
      </c>
      <c r="V13" s="47">
        <f t="shared" si="7"/>
        <v>4746.9253687351311</v>
      </c>
      <c r="W13" s="42">
        <v>2365</v>
      </c>
      <c r="X13" s="45">
        <f t="shared" si="8"/>
        <v>1.2255514637432035</v>
      </c>
      <c r="Y13" s="46">
        <f t="shared" si="9"/>
        <v>2.0071566041163345</v>
      </c>
      <c r="Z13" s="45">
        <f t="shared" si="10"/>
        <v>0.7108000720828449</v>
      </c>
      <c r="AA13" s="82">
        <f t="shared" si="11"/>
        <v>4.7141895812398388E-2</v>
      </c>
      <c r="AB13" s="11"/>
      <c r="AC13" s="11"/>
      <c r="AD13" s="12"/>
      <c r="AE13" s="13"/>
      <c r="AF13" s="14"/>
      <c r="AG13" s="15"/>
      <c r="AH13" s="15"/>
      <c r="AI13" s="15"/>
      <c r="AK13" s="14"/>
      <c r="AL13" s="14"/>
      <c r="AM13" s="14"/>
      <c r="AN13" s="3"/>
      <c r="AO13" s="5"/>
      <c r="AP13" s="5"/>
      <c r="AQ13" s="4"/>
    </row>
    <row r="14" spans="1:43">
      <c r="A14" s="80">
        <v>4502</v>
      </c>
      <c r="B14" s="65" t="s">
        <v>2</v>
      </c>
      <c r="C14" s="72">
        <v>0.1663577558863315</v>
      </c>
      <c r="D14" s="81">
        <v>889.27200000000005</v>
      </c>
      <c r="E14" s="29">
        <v>2002.7729999999999</v>
      </c>
      <c r="F14" s="30">
        <f t="shared" si="0"/>
        <v>2243.882446828417</v>
      </c>
      <c r="G14" s="31">
        <f t="shared" si="1"/>
        <v>2488.3654396585071</v>
      </c>
      <c r="H14" s="29">
        <v>320.78374220710873</v>
      </c>
      <c r="I14" s="30">
        <v>326.10944682841694</v>
      </c>
      <c r="J14" s="31">
        <v>329.48299283009021</v>
      </c>
      <c r="K14" s="29">
        <v>0.19004309142759471</v>
      </c>
      <c r="L14" s="30">
        <v>502.65835424931851</v>
      </c>
      <c r="M14" s="31">
        <v>508.280930918774</v>
      </c>
      <c r="N14" s="29">
        <v>85</v>
      </c>
      <c r="O14" s="31">
        <v>85</v>
      </c>
      <c r="P14" s="32">
        <f t="shared" si="2"/>
        <v>0.1601697956818415</v>
      </c>
      <c r="Q14" s="33">
        <f t="shared" si="3"/>
        <v>0.14533267876369887</v>
      </c>
      <c r="R14" s="34">
        <f t="shared" si="4"/>
        <v>0.13240940722730304</v>
      </c>
      <c r="S14" s="56">
        <v>132.11783152173663</v>
      </c>
      <c r="T14" s="58">
        <f t="shared" si="5"/>
        <v>2.5153573018208371E-2</v>
      </c>
      <c r="U14" s="59">
        <f t="shared" si="6"/>
        <v>11571.650867847227</v>
      </c>
      <c r="V14" s="47">
        <f t="shared" si="7"/>
        <v>11570.798303866177</v>
      </c>
      <c r="W14" s="42">
        <v>4790</v>
      </c>
      <c r="X14" s="45">
        <f t="shared" si="8"/>
        <v>1.0000736823820329</v>
      </c>
      <c r="Y14" s="46">
        <f t="shared" si="9"/>
        <v>2.4156155122893899</v>
      </c>
      <c r="Z14" s="45">
        <f t="shared" si="10"/>
        <v>0.49397159566669357</v>
      </c>
      <c r="AA14" s="82">
        <f t="shared" si="11"/>
        <v>6.843344881612809E-2</v>
      </c>
      <c r="AB14" s="11"/>
      <c r="AC14" s="11"/>
      <c r="AD14" s="12"/>
      <c r="AE14" s="13"/>
      <c r="AF14" s="14"/>
      <c r="AG14" s="15"/>
      <c r="AH14" s="15"/>
      <c r="AI14" s="15"/>
      <c r="AK14" s="14"/>
      <c r="AL14" s="14"/>
      <c r="AM14" s="14"/>
      <c r="AN14" s="3"/>
      <c r="AO14" s="5"/>
      <c r="AP14" s="5"/>
      <c r="AQ14" s="4"/>
    </row>
    <row r="15" spans="1:43">
      <c r="A15" s="80">
        <v>4503</v>
      </c>
      <c r="B15" s="65" t="s">
        <v>3</v>
      </c>
      <c r="C15" s="72">
        <v>0.24578181537277738</v>
      </c>
      <c r="D15" s="81">
        <v>361.22199999999998</v>
      </c>
      <c r="E15" s="29">
        <v>2008.1610000000001</v>
      </c>
      <c r="F15" s="30">
        <f t="shared" si="0"/>
        <v>2111.4274621756149</v>
      </c>
      <c r="G15" s="31">
        <f t="shared" si="1"/>
        <v>2343.4236252000155</v>
      </c>
      <c r="H15" s="29">
        <v>166.26340588336259</v>
      </c>
      <c r="I15" s="30">
        <v>134.266462175615</v>
      </c>
      <c r="J15" s="31">
        <v>262.99616302440052</v>
      </c>
      <c r="K15" s="29">
        <v>0.69209516585368558</v>
      </c>
      <c r="L15" s="30">
        <v>267.14873401952264</v>
      </c>
      <c r="M15" s="31">
        <v>490.00337742440939</v>
      </c>
      <c r="N15" s="29">
        <v>31</v>
      </c>
      <c r="O15" s="31">
        <v>31</v>
      </c>
      <c r="P15" s="32">
        <f t="shared" si="2"/>
        <v>8.279386258540157E-2</v>
      </c>
      <c r="Q15" s="33">
        <f t="shared" si="3"/>
        <v>6.3590374086196097E-2</v>
      </c>
      <c r="R15" s="34">
        <f t="shared" si="4"/>
        <v>0.11222732424315869</v>
      </c>
      <c r="S15" s="56">
        <v>164.72402863616171</v>
      </c>
      <c r="T15" s="58">
        <f t="shared" si="5"/>
        <v>2.6377497774894499E-2</v>
      </c>
      <c r="U15" s="59">
        <f t="shared" si="6"/>
        <v>4841.2366595610638</v>
      </c>
      <c r="V15" s="47">
        <f t="shared" si="7"/>
        <v>8776.3443756779088</v>
      </c>
      <c r="W15" s="42">
        <v>3670</v>
      </c>
      <c r="X15" s="45">
        <f t="shared" si="8"/>
        <v>0.55162336985974458</v>
      </c>
      <c r="Y15" s="46">
        <f t="shared" si="9"/>
        <v>2.3913744892855338</v>
      </c>
      <c r="Z15" s="45">
        <f t="shared" si="10"/>
        <v>0.60692794105935022</v>
      </c>
      <c r="AA15" s="82">
        <f t="shared" si="11"/>
        <v>5.4122973460492579E-2</v>
      </c>
      <c r="AB15" s="11"/>
      <c r="AC15" s="11"/>
      <c r="AD15" s="12"/>
      <c r="AE15" s="13"/>
      <c r="AF15" s="14"/>
      <c r="AG15" s="15"/>
      <c r="AH15" s="15"/>
      <c r="AI15" s="15"/>
      <c r="AK15" s="14"/>
      <c r="AL15" s="14"/>
      <c r="AM15" s="14"/>
      <c r="AN15" s="3"/>
      <c r="AO15" s="5"/>
      <c r="AP15" s="5"/>
      <c r="AQ15" s="4"/>
    </row>
    <row r="16" spans="1:43">
      <c r="A16" s="80">
        <v>4505</v>
      </c>
      <c r="B16" s="65" t="s">
        <v>4</v>
      </c>
      <c r="C16" s="72">
        <v>0.31443852279968554</v>
      </c>
      <c r="D16" s="81">
        <v>286.45299999999997</v>
      </c>
      <c r="E16" s="29">
        <v>1473.645</v>
      </c>
      <c r="F16" s="30">
        <f t="shared" si="0"/>
        <v>1529.1738651192343</v>
      </c>
      <c r="G16" s="31">
        <f t="shared" si="1"/>
        <v>1578.7680742914197</v>
      </c>
      <c r="H16" s="29">
        <v>93.072860120159334</v>
      </c>
      <c r="I16" s="30">
        <v>85.528865119234226</v>
      </c>
      <c r="J16" s="31">
        <v>79.594209172185316</v>
      </c>
      <c r="K16" s="29">
        <v>1.1031478113337967</v>
      </c>
      <c r="L16" s="30">
        <v>122.18409302747747</v>
      </c>
      <c r="M16" s="31">
        <v>132.65701528697554</v>
      </c>
      <c r="N16" s="29">
        <v>30</v>
      </c>
      <c r="O16" s="31">
        <v>30</v>
      </c>
      <c r="P16" s="32">
        <f t="shared" si="2"/>
        <v>6.3158264113921156E-2</v>
      </c>
      <c r="Q16" s="33">
        <f t="shared" si="3"/>
        <v>5.5931419618242877E-2</v>
      </c>
      <c r="R16" s="34">
        <f t="shared" si="4"/>
        <v>5.0415390625319474E-2</v>
      </c>
      <c r="S16" s="56">
        <v>154.72279337727338</v>
      </c>
      <c r="T16" s="58">
        <f t="shared" si="5"/>
        <v>2.7435497636343155E-2</v>
      </c>
      <c r="U16" s="59">
        <f t="shared" si="6"/>
        <v>3004.2486546386403</v>
      </c>
      <c r="V16" s="47">
        <f t="shared" si="7"/>
        <v>2761.1462162404987</v>
      </c>
      <c r="W16" s="42">
        <v>1945</v>
      </c>
      <c r="X16" s="45">
        <f t="shared" si="8"/>
        <v>1.08804402931227</v>
      </c>
      <c r="Y16" s="46">
        <f t="shared" si="9"/>
        <v>1.4196124505092538</v>
      </c>
      <c r="Z16" s="45">
        <f t="shared" si="10"/>
        <v>0.79895679676366427</v>
      </c>
      <c r="AA16" s="82">
        <f t="shared" si="11"/>
        <v>4.244809107748574E-2</v>
      </c>
      <c r="AB16" s="11"/>
      <c r="AC16" s="11"/>
      <c r="AD16" s="12"/>
      <c r="AE16" s="13"/>
      <c r="AF16" s="14"/>
      <c r="AG16" s="15"/>
      <c r="AH16" s="15"/>
      <c r="AI16" s="15"/>
      <c r="AK16" s="14"/>
      <c r="AL16" s="14"/>
      <c r="AM16" s="14"/>
      <c r="AN16" s="3"/>
      <c r="AO16" s="5"/>
      <c r="AP16" s="5"/>
      <c r="AQ16" s="4"/>
    </row>
    <row r="17" spans="1:43">
      <c r="A17" s="80">
        <v>4506</v>
      </c>
      <c r="B17" s="65" t="s">
        <v>97</v>
      </c>
      <c r="C17" s="72">
        <v>0.69286762487595932</v>
      </c>
      <c r="D17" s="81">
        <v>168.184</v>
      </c>
      <c r="E17" s="29">
        <v>770.4</v>
      </c>
      <c r="F17" s="30">
        <f t="shared" si="0"/>
        <v>797.26438662417354</v>
      </c>
      <c r="G17" s="31">
        <f t="shared" si="1"/>
        <v>824.72336012938217</v>
      </c>
      <c r="H17" s="29">
        <v>47.376682680873323</v>
      </c>
      <c r="I17" s="30">
        <v>36.864386624173527</v>
      </c>
      <c r="J17" s="31">
        <v>37.458973505208583</v>
      </c>
      <c r="K17" s="29">
        <v>4.1026494791418919</v>
      </c>
      <c r="L17" s="30">
        <v>54.107406174190174</v>
      </c>
      <c r="M17" s="31">
        <v>55.296579936260287</v>
      </c>
      <c r="N17" s="29">
        <v>10</v>
      </c>
      <c r="O17" s="31">
        <v>10</v>
      </c>
      <c r="P17" s="32">
        <f t="shared" si="2"/>
        <v>6.1496213241008985E-2</v>
      </c>
      <c r="Q17" s="33">
        <f t="shared" si="3"/>
        <v>4.6238596935537286E-2</v>
      </c>
      <c r="R17" s="34">
        <f t="shared" si="4"/>
        <v>4.5420046667930009E-2</v>
      </c>
      <c r="S17" s="56">
        <v>95.043162434231078</v>
      </c>
      <c r="T17" s="58">
        <f t="shared" si="5"/>
        <v>3.3267090099338537E-2</v>
      </c>
      <c r="U17" s="59">
        <f t="shared" si="6"/>
        <v>1070.7944389715713</v>
      </c>
      <c r="V17" s="47">
        <f t="shared" si="7"/>
        <v>1061.9467265797136</v>
      </c>
      <c r="W17" s="42">
        <v>900</v>
      </c>
      <c r="X17" s="45">
        <f t="shared" si="8"/>
        <v>1.008331597217079</v>
      </c>
      <c r="Y17" s="46">
        <f t="shared" si="9"/>
        <v>1.1799408073107929</v>
      </c>
      <c r="Z17" s="45">
        <f t="shared" si="10"/>
        <v>0.90110430375197537</v>
      </c>
      <c r="AA17" s="82">
        <f t="shared" si="11"/>
        <v>4.1290755627434506E-2</v>
      </c>
      <c r="AB17" s="11"/>
      <c r="AC17" s="11"/>
      <c r="AD17" s="12"/>
      <c r="AE17" s="13"/>
      <c r="AF17" s="14"/>
      <c r="AG17" s="15"/>
      <c r="AH17" s="15"/>
      <c r="AI17" s="15"/>
      <c r="AK17" s="14"/>
      <c r="AL17" s="14"/>
      <c r="AM17" s="14"/>
      <c r="AN17" s="3"/>
      <c r="AO17" s="5"/>
      <c r="AP17" s="5"/>
      <c r="AQ17" s="4"/>
    </row>
    <row r="18" spans="1:43">
      <c r="A18" s="80">
        <v>4507</v>
      </c>
      <c r="B18" s="65" t="s">
        <v>5</v>
      </c>
      <c r="C18" s="72">
        <v>0.64331618452348738</v>
      </c>
      <c r="D18" s="81">
        <v>351.13600000000002</v>
      </c>
      <c r="E18" s="29">
        <v>832.11900000000003</v>
      </c>
      <c r="F18" s="30">
        <f t="shared" si="0"/>
        <v>874.88118900938673</v>
      </c>
      <c r="G18" s="31">
        <f t="shared" si="1"/>
        <v>920.49127740818381</v>
      </c>
      <c r="H18" s="29">
        <v>6.2767702542604571</v>
      </c>
      <c r="I18" s="30">
        <v>51.262189009386674</v>
      </c>
      <c r="J18" s="31">
        <v>54.110088398797046</v>
      </c>
      <c r="K18" s="29">
        <v>1.8255035086120477</v>
      </c>
      <c r="L18" s="30">
        <v>76.893283514080011</v>
      </c>
      <c r="M18" s="31">
        <v>81.165132598195569</v>
      </c>
      <c r="N18" s="29">
        <v>8.5</v>
      </c>
      <c r="O18" s="31">
        <v>8.5</v>
      </c>
      <c r="P18" s="32">
        <f t="shared" si="2"/>
        <v>7.5431161339429295E-3</v>
      </c>
      <c r="Q18" s="33">
        <f t="shared" si="3"/>
        <v>5.8593314901912552E-2</v>
      </c>
      <c r="R18" s="34">
        <f t="shared" si="4"/>
        <v>5.8783923027662111E-2</v>
      </c>
      <c r="S18" s="56">
        <v>84.015351894727388</v>
      </c>
      <c r="T18" s="58">
        <f t="shared" si="5"/>
        <v>3.250350240350694E-2</v>
      </c>
      <c r="U18" s="59">
        <f t="shared" si="6"/>
        <v>1500.0417492732727</v>
      </c>
      <c r="V18" s="47">
        <f t="shared" si="7"/>
        <v>1538.2544345673498</v>
      </c>
      <c r="W18" s="42">
        <v>1876</v>
      </c>
      <c r="X18" s="45">
        <f t="shared" si="8"/>
        <v>0.97515841044539242</v>
      </c>
      <c r="Y18" s="46">
        <f t="shared" si="9"/>
        <v>0.81996505040903511</v>
      </c>
      <c r="Z18" s="45">
        <f t="shared" si="10"/>
        <v>0.47851078529252949</v>
      </c>
      <c r="AA18" s="82">
        <f t="shared" si="11"/>
        <v>2.8084295684483934E-2</v>
      </c>
      <c r="AB18" s="11"/>
      <c r="AC18" s="11"/>
      <c r="AD18" s="12"/>
      <c r="AE18" s="13"/>
      <c r="AF18" s="14"/>
      <c r="AG18" s="15"/>
      <c r="AH18" s="15"/>
      <c r="AI18" s="15"/>
      <c r="AK18" s="14"/>
      <c r="AL18" s="14"/>
      <c r="AM18" s="14"/>
      <c r="AN18" s="3"/>
      <c r="AO18" s="5"/>
      <c r="AP18" s="5"/>
      <c r="AQ18" s="4"/>
    </row>
    <row r="19" spans="1:43">
      <c r="A19" s="80">
        <v>4508</v>
      </c>
      <c r="B19" s="65" t="s">
        <v>98</v>
      </c>
      <c r="C19" s="72">
        <v>0.25521996544329706</v>
      </c>
      <c r="D19" s="81">
        <v>267.59800000000001</v>
      </c>
      <c r="E19" s="29">
        <v>722.03800000000001</v>
      </c>
      <c r="F19" s="30">
        <f t="shared" si="0"/>
        <v>770.07134853025809</v>
      </c>
      <c r="G19" s="31">
        <f t="shared" si="1"/>
        <v>815.86252783653094</v>
      </c>
      <c r="H19" s="29">
        <v>66.095411774377979</v>
      </c>
      <c r="I19" s="30">
        <v>62.033348530258074</v>
      </c>
      <c r="J19" s="31">
        <v>59.791179306272838</v>
      </c>
      <c r="K19" s="29">
        <v>0.95665886890036544</v>
      </c>
      <c r="L19" s="30">
        <v>103.51347917398485</v>
      </c>
      <c r="M19" s="31">
        <v>100.89761507933541</v>
      </c>
      <c r="N19" s="29">
        <v>14</v>
      </c>
      <c r="O19" s="31">
        <v>14</v>
      </c>
      <c r="P19" s="32">
        <f t="shared" si="2"/>
        <v>9.1540073755644408E-2</v>
      </c>
      <c r="Q19" s="33">
        <f t="shared" si="3"/>
        <v>8.0555326007977851E-2</v>
      </c>
      <c r="R19" s="34">
        <f t="shared" si="4"/>
        <v>7.3285850576842282E-2</v>
      </c>
      <c r="S19" s="56">
        <v>87.847060311200934</v>
      </c>
      <c r="T19" s="58">
        <f t="shared" si="5"/>
        <v>2.6522939667481208E-2</v>
      </c>
      <c r="U19" s="59">
        <f t="shared" si="6"/>
        <v>2192.9698294891887</v>
      </c>
      <c r="V19" s="47">
        <f t="shared" si="7"/>
        <v>2082.685045526915</v>
      </c>
      <c r="W19" s="42">
        <v>976</v>
      </c>
      <c r="X19" s="45">
        <f t="shared" si="8"/>
        <v>1.0529531741725124</v>
      </c>
      <c r="Y19" s="46">
        <f t="shared" si="9"/>
        <v>2.1338986122201997</v>
      </c>
      <c r="Z19" s="45">
        <f t="shared" si="10"/>
        <v>0.81246612518790418</v>
      </c>
      <c r="AA19" s="82">
        <f t="shared" si="11"/>
        <v>6.2410106473632633E-2</v>
      </c>
      <c r="AB19" s="11"/>
      <c r="AC19" s="11"/>
      <c r="AD19" s="12"/>
      <c r="AE19" s="13"/>
      <c r="AF19" s="14"/>
      <c r="AG19" s="15"/>
      <c r="AH19" s="15"/>
      <c r="AI19" s="15"/>
      <c r="AK19" s="14"/>
      <c r="AL19" s="14"/>
      <c r="AM19" s="14"/>
      <c r="AN19" s="3"/>
      <c r="AO19" s="5"/>
      <c r="AP19" s="5"/>
      <c r="AQ19" s="4"/>
    </row>
    <row r="20" spans="1:43">
      <c r="A20" s="80">
        <v>4509</v>
      </c>
      <c r="B20" s="65" t="s">
        <v>6</v>
      </c>
      <c r="C20" s="72">
        <v>0.81034562107457131</v>
      </c>
      <c r="D20" s="81">
        <v>458.435</v>
      </c>
      <c r="E20" s="29">
        <v>430.90300000000002</v>
      </c>
      <c r="F20" s="30">
        <f t="shared" si="0"/>
        <v>437.26300741653671</v>
      </c>
      <c r="G20" s="31">
        <f t="shared" si="1"/>
        <v>444.71368199417583</v>
      </c>
      <c r="H20" s="29">
        <v>23.597674697612529</v>
      </c>
      <c r="I20" s="30">
        <v>16.360007416536696</v>
      </c>
      <c r="J20" s="31">
        <v>17.450674577639141</v>
      </c>
      <c r="K20" s="29">
        <v>1.7516114607305289</v>
      </c>
      <c r="L20" s="30">
        <v>50.170689410712534</v>
      </c>
      <c r="M20" s="31">
        <v>54.533358055122321</v>
      </c>
      <c r="N20" s="29">
        <v>10</v>
      </c>
      <c r="O20" s="31">
        <v>10</v>
      </c>
      <c r="P20" s="32">
        <f t="shared" si="2"/>
        <v>5.4763310298634557E-2</v>
      </c>
      <c r="Q20" s="33">
        <f t="shared" si="3"/>
        <v>3.741457003919875E-2</v>
      </c>
      <c r="R20" s="34">
        <f t="shared" si="4"/>
        <v>3.9240246666995243E-2</v>
      </c>
      <c r="S20" s="56">
        <v>103.1890467486509</v>
      </c>
      <c r="T20" s="58">
        <f t="shared" si="5"/>
        <v>3.5077426020759139E-2</v>
      </c>
      <c r="U20" s="59">
        <f t="shared" si="6"/>
        <v>459.61326991494997</v>
      </c>
      <c r="V20" s="47">
        <f t="shared" si="7"/>
        <v>482.00966807647598</v>
      </c>
      <c r="W20" s="42">
        <v>1138</v>
      </c>
      <c r="X20" s="45">
        <f t="shared" si="8"/>
        <v>0.95353537564733537</v>
      </c>
      <c r="Y20" s="46">
        <f t="shared" si="9"/>
        <v>0.42355858354699122</v>
      </c>
      <c r="Z20" s="45">
        <f t="shared" si="10"/>
        <v>0.38751172645461884</v>
      </c>
      <c r="AA20" s="82">
        <f t="shared" si="11"/>
        <v>1.4855308433293427E-2</v>
      </c>
      <c r="AB20" s="11"/>
      <c r="AC20" s="11"/>
      <c r="AD20" s="12"/>
      <c r="AE20" s="13"/>
      <c r="AF20" s="14"/>
      <c r="AG20" s="15"/>
      <c r="AH20" s="15"/>
      <c r="AI20" s="15"/>
      <c r="AK20" s="14"/>
      <c r="AL20" s="14"/>
      <c r="AM20" s="14"/>
      <c r="AN20" s="3"/>
      <c r="AO20" s="5"/>
      <c r="AP20" s="5"/>
      <c r="AQ20" s="4"/>
    </row>
    <row r="21" spans="1:43">
      <c r="A21" s="80">
        <v>4511</v>
      </c>
      <c r="B21" s="65" t="s">
        <v>25</v>
      </c>
      <c r="C21" s="72">
        <v>0.58151192375967675</v>
      </c>
      <c r="D21" s="81">
        <v>330.29700000000003</v>
      </c>
      <c r="E21" s="29">
        <v>1138.203</v>
      </c>
      <c r="F21" s="30">
        <f t="shared" si="0"/>
        <v>1231.2509719767361</v>
      </c>
      <c r="G21" s="31">
        <f t="shared" si="1"/>
        <v>1318.2437875336439</v>
      </c>
      <c r="H21" s="29">
        <v>125.54761320871822</v>
      </c>
      <c r="I21" s="30">
        <v>115.04797197673608</v>
      </c>
      <c r="J21" s="31">
        <v>108.99281555690786</v>
      </c>
      <c r="K21" s="29">
        <v>1.7469126271204398</v>
      </c>
      <c r="L21" s="30">
        <v>190.73742722458874</v>
      </c>
      <c r="M21" s="31">
        <v>202.84774006424519</v>
      </c>
      <c r="N21" s="29">
        <v>22</v>
      </c>
      <c r="O21" s="31">
        <v>22</v>
      </c>
      <c r="P21" s="32">
        <f t="shared" si="2"/>
        <v>0.11030335819596172</v>
      </c>
      <c r="Q21" s="33">
        <f t="shared" si="3"/>
        <v>9.3439903476405017E-2</v>
      </c>
      <c r="R21" s="34">
        <f t="shared" si="4"/>
        <v>8.2680318001594352E-2</v>
      </c>
      <c r="S21" s="56">
        <v>150.03541738480908</v>
      </c>
      <c r="T21" s="58">
        <f t="shared" si="5"/>
        <v>3.1551098745136619E-2</v>
      </c>
      <c r="U21" s="59">
        <f t="shared" si="6"/>
        <v>3370.8359672560778</v>
      </c>
      <c r="V21" s="47">
        <f t="shared" si="7"/>
        <v>3140.7311613483921</v>
      </c>
      <c r="W21" s="42">
        <v>2585</v>
      </c>
      <c r="X21" s="45">
        <f t="shared" si="8"/>
        <v>1.0732647253415017</v>
      </c>
      <c r="Y21" s="46">
        <f t="shared" si="9"/>
        <v>1.2149830411405773</v>
      </c>
      <c r="Z21" s="45">
        <f t="shared" si="10"/>
        <v>0.49313244864804257</v>
      </c>
      <c r="AA21" s="82">
        <f t="shared" si="11"/>
        <v>4.3334775151575231E-2</v>
      </c>
      <c r="AB21" s="11"/>
      <c r="AC21" s="11"/>
      <c r="AD21" s="12"/>
      <c r="AE21" s="13"/>
      <c r="AF21" s="14"/>
      <c r="AG21" s="15"/>
      <c r="AH21" s="15"/>
      <c r="AI21" s="15"/>
      <c r="AK21" s="14"/>
      <c r="AL21" s="14"/>
      <c r="AM21" s="14"/>
      <c r="AN21" s="3"/>
      <c r="AO21" s="5"/>
      <c r="AP21" s="5"/>
      <c r="AQ21" s="4"/>
    </row>
    <row r="22" spans="1:43">
      <c r="A22" s="80">
        <v>4512</v>
      </c>
      <c r="B22" s="65" t="s">
        <v>7</v>
      </c>
      <c r="C22" s="72">
        <v>0.47569009341040458</v>
      </c>
      <c r="D22" s="81">
        <v>34.838000000000001</v>
      </c>
      <c r="E22" s="29">
        <v>338.88299999999998</v>
      </c>
      <c r="F22" s="30">
        <f t="shared" si="0"/>
        <v>344.2165438314484</v>
      </c>
      <c r="G22" s="31">
        <f t="shared" si="1"/>
        <v>349.8371305471037</v>
      </c>
      <c r="H22" s="29">
        <v>11.07985533038636</v>
      </c>
      <c r="I22" s="30">
        <v>10.333543831448418</v>
      </c>
      <c r="J22" s="31">
        <v>10.620586715655319</v>
      </c>
      <c r="K22" s="29">
        <v>13.691945576669154</v>
      </c>
      <c r="L22" s="30">
        <v>16.93553016820713</v>
      </c>
      <c r="M22" s="31">
        <v>17.509615936620929</v>
      </c>
      <c r="N22" s="29">
        <v>5</v>
      </c>
      <c r="O22" s="31">
        <v>5</v>
      </c>
      <c r="P22" s="32">
        <f t="shared" si="2"/>
        <v>3.2695223219773084E-2</v>
      </c>
      <c r="Q22" s="33">
        <f t="shared" si="3"/>
        <v>3.0020474078399955E-2</v>
      </c>
      <c r="R22" s="34">
        <f t="shared" si="4"/>
        <v>3.0358660611713752E-2</v>
      </c>
      <c r="S22" s="56">
        <v>25.941974538632415</v>
      </c>
      <c r="T22" s="58">
        <f t="shared" si="5"/>
        <v>2.9920384339454334E-2</v>
      </c>
      <c r="U22" s="59">
        <f t="shared" si="6"/>
        <v>340.01663219597356</v>
      </c>
      <c r="V22" s="47">
        <f t="shared" si="7"/>
        <v>343.81156659740486</v>
      </c>
      <c r="W22" s="42">
        <v>333</v>
      </c>
      <c r="X22" s="45">
        <f t="shared" si="8"/>
        <v>0.98896216773918177</v>
      </c>
      <c r="Y22" s="46">
        <f t="shared" si="9"/>
        <v>1.0324671669591738</v>
      </c>
      <c r="Z22" s="45">
        <f t="shared" si="10"/>
        <v>1.0421226342020302</v>
      </c>
      <c r="AA22" s="82">
        <f t="shared" si="11"/>
        <v>3.1462658479134743E-2</v>
      </c>
      <c r="AB22" s="11"/>
      <c r="AC22" s="11"/>
      <c r="AD22" s="12"/>
      <c r="AE22" s="13"/>
      <c r="AF22" s="14"/>
      <c r="AG22" s="15"/>
      <c r="AH22" s="15"/>
      <c r="AI22" s="15"/>
      <c r="AK22" s="14"/>
      <c r="AL22" s="14"/>
      <c r="AM22" s="14"/>
      <c r="AN22" s="3"/>
      <c r="AO22" s="5"/>
      <c r="AP22" s="5"/>
      <c r="AQ22" s="4"/>
    </row>
    <row r="23" spans="1:43">
      <c r="A23" s="80">
        <v>4514</v>
      </c>
      <c r="B23" s="65" t="s">
        <v>99</v>
      </c>
      <c r="C23" s="72">
        <v>0.71471906051364886</v>
      </c>
      <c r="D23" s="81">
        <v>23.957999999999998</v>
      </c>
      <c r="E23" s="29">
        <v>1377.7439999999999</v>
      </c>
      <c r="F23" s="30">
        <f t="shared" si="0"/>
        <v>1379.1007075715836</v>
      </c>
      <c r="G23" s="31">
        <f t="shared" si="1"/>
        <v>1380.8748122547793</v>
      </c>
      <c r="H23" s="29">
        <v>11.311461724684866</v>
      </c>
      <c r="I23" s="30">
        <v>13.356707571583605</v>
      </c>
      <c r="J23" s="31">
        <v>13.774104683195594</v>
      </c>
      <c r="K23" s="29">
        <v>29.885633191418318</v>
      </c>
      <c r="L23" s="30">
        <v>28.800400701227147</v>
      </c>
      <c r="M23" s="31">
        <v>29.635194924451124</v>
      </c>
      <c r="N23" s="29">
        <v>12</v>
      </c>
      <c r="O23" s="31">
        <v>12</v>
      </c>
      <c r="P23" s="32">
        <f t="shared" si="2"/>
        <v>8.2101331776330486E-3</v>
      </c>
      <c r="Q23" s="33">
        <f t="shared" si="3"/>
        <v>9.6850849965141594E-3</v>
      </c>
      <c r="R23" s="34">
        <f t="shared" si="4"/>
        <v>9.9749119622975588E-3</v>
      </c>
      <c r="S23" s="56">
        <v>177.32203617708711</v>
      </c>
      <c r="T23" s="58">
        <f t="shared" si="5"/>
        <v>3.3603820722515332E-2</v>
      </c>
      <c r="U23" s="59">
        <f t="shared" si="6"/>
        <v>397.08483906108052</v>
      </c>
      <c r="V23" s="47">
        <f t="shared" si="7"/>
        <v>407.65834112902655</v>
      </c>
      <c r="W23" s="42">
        <v>1000</v>
      </c>
      <c r="X23" s="45">
        <f t="shared" si="8"/>
        <v>0.97406283399313676</v>
      </c>
      <c r="Y23" s="46">
        <f t="shared" si="9"/>
        <v>0.40765834112902655</v>
      </c>
      <c r="Z23" s="45">
        <f t="shared" si="10"/>
        <v>1.3799877599131813</v>
      </c>
      <c r="AA23" s="82">
        <f t="shared" si="11"/>
        <v>1.3565406127389601E-2</v>
      </c>
      <c r="AB23" s="11"/>
      <c r="AC23" s="11"/>
      <c r="AD23" s="12"/>
      <c r="AE23" s="13"/>
      <c r="AF23" s="14"/>
      <c r="AG23" s="15"/>
      <c r="AH23" s="15"/>
      <c r="AI23" s="15"/>
      <c r="AK23" s="14"/>
      <c r="AL23" s="14"/>
      <c r="AM23" s="14"/>
      <c r="AN23" s="3"/>
      <c r="AO23" s="5"/>
      <c r="AP23" s="5"/>
      <c r="AQ23" s="4"/>
    </row>
    <row r="24" spans="1:43">
      <c r="A24" s="80">
        <v>4516</v>
      </c>
      <c r="B24" s="65" t="s">
        <v>8</v>
      </c>
      <c r="C24" s="72">
        <v>0.35420286703478066</v>
      </c>
      <c r="D24" s="81">
        <v>70.251000000000005</v>
      </c>
      <c r="E24" s="29">
        <v>930.89099999999996</v>
      </c>
      <c r="F24" s="30">
        <f t="shared" si="0"/>
        <v>989.21742951701754</v>
      </c>
      <c r="G24" s="31">
        <f t="shared" si="1"/>
        <v>1006.2633078675036</v>
      </c>
      <c r="H24" s="29">
        <v>21.864457445445616</v>
      </c>
      <c r="I24" s="30">
        <v>68.326429517017544</v>
      </c>
      <c r="J24" s="31">
        <v>27.04587835048611</v>
      </c>
      <c r="K24" s="29">
        <v>5.0675435225121337</v>
      </c>
      <c r="L24" s="30">
        <v>48.39788757455409</v>
      </c>
      <c r="M24" s="31">
        <v>49.821354856158628</v>
      </c>
      <c r="N24" s="29">
        <v>10</v>
      </c>
      <c r="O24" s="31">
        <v>10</v>
      </c>
      <c r="P24" s="32">
        <f t="shared" si="2"/>
        <v>2.348766659624555E-2</v>
      </c>
      <c r="Q24" s="33">
        <f t="shared" si="3"/>
        <v>6.9071194540494221E-2</v>
      </c>
      <c r="R24" s="34">
        <f t="shared" si="4"/>
        <v>2.6877536067376199E-2</v>
      </c>
      <c r="S24" s="56">
        <v>118.28562931071974</v>
      </c>
      <c r="T24" s="58">
        <f t="shared" si="5"/>
        <v>2.8048266181005969E-2</v>
      </c>
      <c r="U24" s="59">
        <f t="shared" si="6"/>
        <v>2292.39671864413</v>
      </c>
      <c r="V24" s="47">
        <f t="shared" si="7"/>
        <v>927.87372784702211</v>
      </c>
      <c r="W24" s="42">
        <v>756</v>
      </c>
      <c r="X24" s="45">
        <f t="shared" si="8"/>
        <v>2.470591255949512</v>
      </c>
      <c r="Y24" s="46">
        <f t="shared" si="9"/>
        <v>1.2273462008558493</v>
      </c>
      <c r="Z24" s="45">
        <f t="shared" si="10"/>
        <v>1.3197623924500801</v>
      </c>
      <c r="AA24" s="82">
        <f t="shared" si="11"/>
        <v>6.3076923192793413E-2</v>
      </c>
      <c r="AB24" s="11"/>
      <c r="AC24" s="11"/>
      <c r="AD24" s="12"/>
      <c r="AE24" s="13"/>
      <c r="AF24" s="14"/>
      <c r="AG24" s="15"/>
      <c r="AH24" s="15"/>
      <c r="AI24" s="15"/>
      <c r="AK24" s="14"/>
      <c r="AL24" s="14"/>
      <c r="AM24" s="14"/>
      <c r="AN24" s="3"/>
      <c r="AO24" s="5"/>
      <c r="AP24" s="5"/>
      <c r="AQ24" s="4"/>
    </row>
    <row r="25" spans="1:43">
      <c r="A25" s="80">
        <v>4518</v>
      </c>
      <c r="B25" s="65" t="s">
        <v>9</v>
      </c>
      <c r="C25" s="72">
        <v>0.71155041458577772</v>
      </c>
      <c r="D25" s="81">
        <v>197.15</v>
      </c>
      <c r="E25" s="29">
        <v>157.393</v>
      </c>
      <c r="F25" s="30">
        <f t="shared" si="0"/>
        <v>159.92913999492771</v>
      </c>
      <c r="G25" s="31">
        <f t="shared" si="1"/>
        <v>148.77012401724573</v>
      </c>
      <c r="H25" s="29">
        <v>-24.849099670301801</v>
      </c>
      <c r="I25" s="30">
        <v>2.5361399949277197</v>
      </c>
      <c r="J25" s="31">
        <v>-11.159015977681968</v>
      </c>
      <c r="K25" s="29">
        <v>3.6317524727364949</v>
      </c>
      <c r="L25" s="30">
        <v>10.144559979710879</v>
      </c>
      <c r="M25" s="31">
        <v>-11.159015977681968</v>
      </c>
      <c r="N25" s="29">
        <v>0</v>
      </c>
      <c r="O25" s="31">
        <v>0</v>
      </c>
      <c r="P25" s="32">
        <f t="shared" si="2"/>
        <v>-0.15787931909488859</v>
      </c>
      <c r="Q25" s="33">
        <f t="shared" si="3"/>
        <v>1.5857898035393399E-2</v>
      </c>
      <c r="R25" s="34">
        <f t="shared" si="4"/>
        <v>-7.5008447101841444E-2</v>
      </c>
      <c r="S25" s="56">
        <v>26.378264030425868</v>
      </c>
      <c r="T25" s="58">
        <f t="shared" si="5"/>
        <v>3.355499188876683E-2</v>
      </c>
      <c r="U25" s="59">
        <f t="shared" si="6"/>
        <v>74.383035280072008</v>
      </c>
      <c r="V25" s="47">
        <f t="shared" si="7"/>
        <v>-345.93611431712088</v>
      </c>
      <c r="W25" s="42">
        <v>441</v>
      </c>
      <c r="X25" s="45">
        <f t="shared" si="8"/>
        <v>-0.21501957211638451</v>
      </c>
      <c r="Y25" s="46">
        <f t="shared" si="9"/>
        <v>-0.78443563337215616</v>
      </c>
      <c r="Z25" s="45">
        <f t="shared" si="10"/>
        <v>0.34999916554668192</v>
      </c>
      <c r="AA25" s="82">
        <f t="shared" si="11"/>
        <v>-9.7765033818075376E-3</v>
      </c>
      <c r="AB25" s="11"/>
      <c r="AC25" s="11"/>
      <c r="AD25" s="12"/>
      <c r="AE25" s="13"/>
      <c r="AF25" s="14"/>
      <c r="AG25" s="15"/>
      <c r="AH25" s="15"/>
      <c r="AI25" s="15"/>
      <c r="AK25" s="14"/>
      <c r="AL25" s="14"/>
      <c r="AM25" s="14"/>
      <c r="AN25" s="3"/>
      <c r="AO25" s="5"/>
      <c r="AP25" s="5"/>
      <c r="AQ25" s="4"/>
    </row>
    <row r="26" spans="1:43">
      <c r="A26" s="80">
        <v>4519</v>
      </c>
      <c r="B26" s="65" t="s">
        <v>10</v>
      </c>
      <c r="C26" s="72">
        <v>0.26691180606521098</v>
      </c>
      <c r="D26" s="81">
        <v>550.97199999999998</v>
      </c>
      <c r="E26" s="29">
        <v>538.53399999999999</v>
      </c>
      <c r="F26" s="30">
        <f t="shared" si="0"/>
        <v>579.52066356911064</v>
      </c>
      <c r="G26" s="31">
        <f t="shared" si="1"/>
        <v>628.67471132471348</v>
      </c>
      <c r="H26" s="29">
        <v>68.836528898020219</v>
      </c>
      <c r="I26" s="30">
        <v>58.986663569110597</v>
      </c>
      <c r="J26" s="31">
        <v>67.154047755602818</v>
      </c>
      <c r="K26" s="29">
        <v>0.48822807692586923</v>
      </c>
      <c r="L26" s="30">
        <v>99.823584501571773</v>
      </c>
      <c r="M26" s="31">
        <v>115.25086574272378</v>
      </c>
      <c r="N26" s="29">
        <v>18</v>
      </c>
      <c r="O26" s="31">
        <v>18</v>
      </c>
      <c r="P26" s="32">
        <f t="shared" si="2"/>
        <v>0.12782206675533991</v>
      </c>
      <c r="Q26" s="33">
        <f t="shared" si="3"/>
        <v>0.1017852637140283</v>
      </c>
      <c r="R26" s="34">
        <f t="shared" si="4"/>
        <v>0.10681843335816546</v>
      </c>
      <c r="S26" s="56">
        <v>105.48860207832909</v>
      </c>
      <c r="T26" s="58">
        <f t="shared" si="5"/>
        <v>2.67031109314649E-2</v>
      </c>
      <c r="U26" s="59">
        <f t="shared" si="6"/>
        <v>2052.7505334361967</v>
      </c>
      <c r="V26" s="47">
        <f t="shared" si="7"/>
        <v>2271.3876877103125</v>
      </c>
      <c r="W26" s="42">
        <v>1712</v>
      </c>
      <c r="X26" s="45">
        <f t="shared" si="8"/>
        <v>0.90374291651879368</v>
      </c>
      <c r="Y26" s="46">
        <f t="shared" si="9"/>
        <v>1.3267451446906031</v>
      </c>
      <c r="Z26" s="45">
        <f t="shared" si="10"/>
        <v>0.35286079874235515</v>
      </c>
      <c r="AA26" s="82">
        <f t="shared" si="11"/>
        <v>3.6840161017731722E-2</v>
      </c>
      <c r="AB26" s="11"/>
      <c r="AC26" s="11"/>
      <c r="AD26" s="12"/>
      <c r="AE26" s="13"/>
      <c r="AF26" s="14"/>
      <c r="AG26" s="15"/>
      <c r="AH26" s="15"/>
      <c r="AI26" s="15"/>
      <c r="AK26" s="14"/>
      <c r="AL26" s="14"/>
      <c r="AM26" s="14"/>
      <c r="AN26" s="3"/>
      <c r="AO26" s="5"/>
      <c r="AP26" s="5"/>
      <c r="AQ26" s="4"/>
    </row>
    <row r="27" spans="1:43">
      <c r="A27" s="80">
        <v>4521</v>
      </c>
      <c r="B27" s="65" t="s">
        <v>11</v>
      </c>
      <c r="C27" s="72">
        <v>0.63846220136935716</v>
      </c>
      <c r="D27" s="81">
        <v>94.518000000000001</v>
      </c>
      <c r="E27" s="29">
        <v>456.33600000000001</v>
      </c>
      <c r="F27" s="30">
        <f t="shared" si="0"/>
        <v>481.24998463784675</v>
      </c>
      <c r="G27" s="31">
        <f t="shared" si="1"/>
        <v>511.45396694809449</v>
      </c>
      <c r="H27" s="29">
        <v>31.919845955267778</v>
      </c>
      <c r="I27" s="30">
        <v>34.91398463784676</v>
      </c>
      <c r="J27" s="31">
        <v>40.203982310247781</v>
      </c>
      <c r="K27" s="29">
        <v>6.8135170020525191</v>
      </c>
      <c r="L27" s="30">
        <v>65.595971137772693</v>
      </c>
      <c r="M27" s="31">
        <v>76.175966482574751</v>
      </c>
      <c r="N27" s="29">
        <v>10</v>
      </c>
      <c r="O27" s="31">
        <v>10</v>
      </c>
      <c r="P27" s="32">
        <f t="shared" si="2"/>
        <v>6.994812146152786E-2</v>
      </c>
      <c r="Q27" s="33">
        <f t="shared" si="3"/>
        <v>7.2548541823061974E-2</v>
      </c>
      <c r="R27" s="34">
        <f t="shared" si="4"/>
        <v>7.8607235271142065E-2</v>
      </c>
      <c r="S27" s="56">
        <v>67.748359585174953</v>
      </c>
      <c r="T27" s="58">
        <f t="shared" si="5"/>
        <v>3.2428702523101795E-2</v>
      </c>
      <c r="U27" s="59">
        <f t="shared" si="6"/>
        <v>1020.9015102526582</v>
      </c>
      <c r="V27" s="47">
        <f t="shared" si="7"/>
        <v>1137.8445623606299</v>
      </c>
      <c r="W27" s="42">
        <v>638</v>
      </c>
      <c r="X27" s="45">
        <f t="shared" si="8"/>
        <v>0.89722405328777444</v>
      </c>
      <c r="Y27" s="46">
        <f t="shared" si="9"/>
        <v>1.7834554268975389</v>
      </c>
      <c r="Z27" s="45">
        <f t="shared" si="10"/>
        <v>0.7779811532805182</v>
      </c>
      <c r="AA27" s="82">
        <f t="shared" si="11"/>
        <v>5.8869880053365624E-2</v>
      </c>
      <c r="AB27" s="11"/>
      <c r="AC27" s="11"/>
      <c r="AD27" s="12"/>
      <c r="AE27" s="13"/>
      <c r="AF27" s="14"/>
      <c r="AG27" s="15"/>
      <c r="AH27" s="15"/>
      <c r="AI27" s="15"/>
      <c r="AK27" s="14"/>
      <c r="AL27" s="14"/>
      <c r="AM27" s="14"/>
      <c r="AN27" s="3"/>
      <c r="AO27" s="5"/>
      <c r="AP27" s="5"/>
      <c r="AQ27" s="4"/>
    </row>
    <row r="28" spans="1:43">
      <c r="A28" s="80">
        <v>4523</v>
      </c>
      <c r="B28" s="65" t="s">
        <v>12</v>
      </c>
      <c r="C28" s="72">
        <v>0.6103086557312758</v>
      </c>
      <c r="D28" s="81">
        <v>296.56700000000001</v>
      </c>
      <c r="E28" s="29">
        <v>1414.3889999999999</v>
      </c>
      <c r="F28" s="30">
        <f t="shared" si="0"/>
        <v>1547.7288051705009</v>
      </c>
      <c r="G28" s="31">
        <f t="shared" si="1"/>
        <v>1687.1380651353654</v>
      </c>
      <c r="H28" s="29">
        <v>169.0950105709671</v>
      </c>
      <c r="I28" s="30">
        <v>175.33980517050111</v>
      </c>
      <c r="J28" s="31">
        <v>181.40925996486459</v>
      </c>
      <c r="K28" s="29">
        <v>2.06361463008359</v>
      </c>
      <c r="L28" s="30">
        <v>289.98506239736719</v>
      </c>
      <c r="M28" s="31">
        <v>301.78678005307404</v>
      </c>
      <c r="N28" s="29">
        <v>42</v>
      </c>
      <c r="O28" s="31">
        <v>42</v>
      </c>
      <c r="P28" s="32">
        <f t="shared" si="2"/>
        <v>0.11955339766568258</v>
      </c>
      <c r="Q28" s="33">
        <f t="shared" si="3"/>
        <v>0.1132884550476434</v>
      </c>
      <c r="R28" s="34">
        <f t="shared" si="4"/>
        <v>0.1075248456031424</v>
      </c>
      <c r="S28" s="56">
        <v>227.57566266807498</v>
      </c>
      <c r="T28" s="58">
        <f t="shared" si="5"/>
        <v>3.1994856384818957E-2</v>
      </c>
      <c r="U28" s="59">
        <f t="shared" si="6"/>
        <v>5008.1157645830126</v>
      </c>
      <c r="V28" s="47">
        <f t="shared" si="7"/>
        <v>5066.239745568636</v>
      </c>
      <c r="W28" s="42">
        <v>3140</v>
      </c>
      <c r="X28" s="45">
        <f t="shared" si="8"/>
        <v>0.98852719494049535</v>
      </c>
      <c r="Y28" s="46">
        <f t="shared" si="9"/>
        <v>1.6134521482702662</v>
      </c>
      <c r="Z28" s="45">
        <f t="shared" si="10"/>
        <v>0.51510618953915077</v>
      </c>
      <c r="AA28" s="82">
        <f t="shared" si="11"/>
        <v>5.6807175976969063E-2</v>
      </c>
      <c r="AB28" s="11"/>
      <c r="AC28" s="11"/>
      <c r="AD28" s="12"/>
      <c r="AE28" s="13"/>
      <c r="AF28" s="14"/>
      <c r="AG28" s="15"/>
      <c r="AH28" s="15"/>
      <c r="AI28" s="15"/>
      <c r="AK28" s="14"/>
      <c r="AL28" s="14"/>
      <c r="AM28" s="14"/>
      <c r="AN28" s="3"/>
      <c r="AO28" s="5"/>
      <c r="AP28" s="5"/>
      <c r="AQ28" s="4"/>
    </row>
    <row r="29" spans="1:43">
      <c r="A29" s="80">
        <v>4527</v>
      </c>
      <c r="B29" s="65" t="s">
        <v>13</v>
      </c>
      <c r="C29" s="72">
        <v>0.10487873179097527</v>
      </c>
      <c r="D29" s="81">
        <v>53.718000000000004</v>
      </c>
      <c r="E29" s="29">
        <v>813.06100000000004</v>
      </c>
      <c r="F29" s="30">
        <f t="shared" si="0"/>
        <v>870.66236267173019</v>
      </c>
      <c r="G29" s="31">
        <f t="shared" si="1"/>
        <v>931.05608544621919</v>
      </c>
      <c r="H29" s="29">
        <v>69.678692430842545</v>
      </c>
      <c r="I29" s="30">
        <v>72.601362671730143</v>
      </c>
      <c r="J29" s="31">
        <v>75.393722774488978</v>
      </c>
      <c r="K29" s="29">
        <v>1.9360363379128038</v>
      </c>
      <c r="L29" s="30">
        <v>126.58699132506793</v>
      </c>
      <c r="M29" s="31">
        <v>132.17171153058564</v>
      </c>
      <c r="N29" s="29">
        <v>15</v>
      </c>
      <c r="O29" s="31">
        <v>15</v>
      </c>
      <c r="P29" s="32">
        <f t="shared" si="2"/>
        <v>8.5699218669746238E-2</v>
      </c>
      <c r="Q29" s="33">
        <f t="shared" si="3"/>
        <v>8.3386357082146395E-2</v>
      </c>
      <c r="R29" s="34">
        <f t="shared" si="4"/>
        <v>8.0976564089966382E-2</v>
      </c>
      <c r="S29" s="56">
        <v>42.20034045409686</v>
      </c>
      <c r="T29" s="58">
        <f t="shared" si="5"/>
        <v>2.4206181256898929E-2</v>
      </c>
      <c r="U29" s="59">
        <f t="shared" si="6"/>
        <v>2800.8628934910612</v>
      </c>
      <c r="V29" s="47">
        <f t="shared" si="7"/>
        <v>2853.732219947447</v>
      </c>
      <c r="W29" s="42">
        <v>1247</v>
      </c>
      <c r="X29" s="45">
        <f t="shared" si="8"/>
        <v>0.98147362037445851</v>
      </c>
      <c r="Y29" s="46">
        <f t="shared" si="9"/>
        <v>2.2884781234542477</v>
      </c>
      <c r="Z29" s="45">
        <f t="shared" si="10"/>
        <v>0.72242119010342798</v>
      </c>
      <c r="AA29" s="82">
        <f t="shared" si="11"/>
        <v>5.9340451261515284E-2</v>
      </c>
      <c r="AB29" s="11"/>
      <c r="AC29" s="11"/>
      <c r="AD29" s="12"/>
      <c r="AE29" s="13"/>
      <c r="AF29" s="14"/>
      <c r="AG29" s="15"/>
      <c r="AH29" s="15"/>
      <c r="AI29" s="15"/>
      <c r="AK29" s="14"/>
      <c r="AL29" s="14"/>
      <c r="AM29" s="14"/>
      <c r="AN29" s="3"/>
      <c r="AO29" s="5"/>
      <c r="AP29" s="5"/>
      <c r="AQ29" s="4"/>
    </row>
    <row r="30" spans="1:43">
      <c r="A30" s="80">
        <v>4528</v>
      </c>
      <c r="B30" s="65" t="s">
        <v>14</v>
      </c>
      <c r="C30" s="72">
        <v>0.13036642175402904</v>
      </c>
      <c r="D30" s="81">
        <v>122.919</v>
      </c>
      <c r="E30" s="29">
        <v>2907.752</v>
      </c>
      <c r="F30" s="30">
        <f t="shared" si="0"/>
        <v>3141.7975503217567</v>
      </c>
      <c r="G30" s="31">
        <f t="shared" si="1"/>
        <v>3353.0638720458192</v>
      </c>
      <c r="H30" s="29">
        <v>251.63725705545932</v>
      </c>
      <c r="I30" s="30">
        <v>279.04555032175659</v>
      </c>
      <c r="J30" s="31">
        <v>256.26632172406221</v>
      </c>
      <c r="K30" s="29">
        <v>1.0738779196055939</v>
      </c>
      <c r="L30" s="30">
        <v>453.14394031842107</v>
      </c>
      <c r="M30" s="31">
        <v>454.77102807539927</v>
      </c>
      <c r="N30" s="29">
        <v>45</v>
      </c>
      <c r="O30" s="31">
        <v>45</v>
      </c>
      <c r="P30" s="32">
        <f t="shared" si="2"/>
        <v>8.6540137210965484E-2</v>
      </c>
      <c r="Q30" s="33">
        <f t="shared" si="3"/>
        <v>8.8817164649319644E-2</v>
      </c>
      <c r="R30" s="34">
        <f t="shared" si="4"/>
        <v>7.6427509735358945E-2</v>
      </c>
      <c r="S30" s="56">
        <v>251.443545961544</v>
      </c>
      <c r="T30" s="58">
        <f t="shared" si="5"/>
        <v>2.459894655922959E-2</v>
      </c>
      <c r="U30" s="59">
        <f t="shared" si="6"/>
        <v>10498.753982067956</v>
      </c>
      <c r="V30" s="47">
        <f t="shared" si="7"/>
        <v>9550.6605296682355</v>
      </c>
      <c r="W30" s="42">
        <v>5110</v>
      </c>
      <c r="X30" s="45">
        <f t="shared" si="8"/>
        <v>1.0992699352525992</v>
      </c>
      <c r="Y30" s="46">
        <f t="shared" si="9"/>
        <v>1.869013802283412</v>
      </c>
      <c r="Z30" s="45">
        <f t="shared" si="10"/>
        <v>0.63550503154281568</v>
      </c>
      <c r="AA30" s="82">
        <f t="shared" si="11"/>
        <v>5.2378852450667195E-2</v>
      </c>
      <c r="AB30" s="11"/>
      <c r="AC30" s="11"/>
      <c r="AD30" s="12"/>
      <c r="AE30" s="13"/>
      <c r="AF30" s="14"/>
      <c r="AG30" s="15"/>
      <c r="AH30" s="15"/>
      <c r="AI30" s="15"/>
      <c r="AK30" s="14"/>
      <c r="AL30" s="14"/>
      <c r="AM30" s="14"/>
      <c r="AN30" s="3"/>
      <c r="AO30" s="5"/>
      <c r="AP30" s="5"/>
      <c r="AQ30" s="4"/>
    </row>
    <row r="31" spans="1:43">
      <c r="A31" s="80">
        <v>4529</v>
      </c>
      <c r="B31" s="65" t="s">
        <v>104</v>
      </c>
      <c r="C31" s="72">
        <v>0.82061423553321255</v>
      </c>
      <c r="D31" s="81">
        <v>70.179000000000002</v>
      </c>
      <c r="E31" s="29">
        <v>335</v>
      </c>
      <c r="F31" s="30">
        <f t="shared" si="0"/>
        <v>340.54956610951996</v>
      </c>
      <c r="G31" s="31">
        <f t="shared" si="1"/>
        <v>351.79884295871989</v>
      </c>
      <c r="H31" s="29">
        <v>3.9043018566807737</v>
      </c>
      <c r="I31" s="30">
        <v>8.549566109519942</v>
      </c>
      <c r="J31" s="31">
        <v>14.249276849199903</v>
      </c>
      <c r="K31" s="29">
        <v>11.641659185796319</v>
      </c>
      <c r="L31" s="30">
        <v>29.923481383319796</v>
      </c>
      <c r="M31" s="31">
        <v>32.773336753159768</v>
      </c>
      <c r="N31" s="29">
        <v>3</v>
      </c>
      <c r="O31" s="31">
        <v>3</v>
      </c>
      <c r="P31" s="32">
        <f t="shared" si="2"/>
        <v>1.1654632408002309E-2</v>
      </c>
      <c r="Q31" s="33">
        <f t="shared" si="3"/>
        <v>2.5105203354657692E-2</v>
      </c>
      <c r="R31" s="34">
        <f t="shared" si="4"/>
        <v>4.0504046941598142E-2</v>
      </c>
      <c r="S31" s="56">
        <v>40.907076499554563</v>
      </c>
      <c r="T31" s="58">
        <f t="shared" si="5"/>
        <v>3.5235665369566807E-2</v>
      </c>
      <c r="U31" s="59">
        <f t="shared" si="6"/>
        <v>238.6855203555852</v>
      </c>
      <c r="V31" s="47">
        <f t="shared" si="7"/>
        <v>380.90716420167178</v>
      </c>
      <c r="W31" s="42">
        <v>361</v>
      </c>
      <c r="X31" s="45">
        <f t="shared" si="8"/>
        <v>0.62662386740831377</v>
      </c>
      <c r="Y31" s="46">
        <f t="shared" si="9"/>
        <v>1.0551444991736061</v>
      </c>
      <c r="Z31" s="45">
        <f t="shared" si="10"/>
        <v>0.95893131449894708</v>
      </c>
      <c r="AA31" s="82">
        <f t="shared" si="11"/>
        <v>3.1577344818171531E-2</v>
      </c>
      <c r="AB31" s="11"/>
      <c r="AC31" s="11"/>
      <c r="AD31" s="12"/>
      <c r="AE31" s="13"/>
      <c r="AF31" s="14"/>
      <c r="AG31" s="15"/>
      <c r="AH31" s="15"/>
      <c r="AI31" s="15"/>
      <c r="AK31" s="14"/>
      <c r="AL31" s="14"/>
      <c r="AM31" s="14"/>
      <c r="AN31" s="3"/>
      <c r="AO31" s="5"/>
      <c r="AP31" s="5"/>
      <c r="AQ31" s="4"/>
    </row>
    <row r="32" spans="1:43">
      <c r="A32" s="80">
        <v>4530</v>
      </c>
      <c r="B32" s="65" t="s">
        <v>15</v>
      </c>
      <c r="C32" s="72">
        <v>7.3308314246986733E-4</v>
      </c>
      <c r="D32" s="81">
        <v>95.165000000000006</v>
      </c>
      <c r="E32" s="29">
        <v>729.81700000000001</v>
      </c>
      <c r="F32" s="30">
        <f t="shared" si="0"/>
        <v>833.50732732622282</v>
      </c>
      <c r="G32" s="31">
        <f t="shared" si="1"/>
        <v>939.29926764041397</v>
      </c>
      <c r="H32" s="29">
        <v>113.71827877896284</v>
      </c>
      <c r="I32" s="30">
        <v>117.69032732622287</v>
      </c>
      <c r="J32" s="31">
        <v>119.79194031419114</v>
      </c>
      <c r="K32" s="29">
        <v>2.1016129879682655E-2</v>
      </c>
      <c r="L32" s="30">
        <v>195.45000788104872</v>
      </c>
      <c r="M32" s="31">
        <v>198.60242736300108</v>
      </c>
      <c r="N32" s="29">
        <v>14</v>
      </c>
      <c r="O32" s="31">
        <v>14</v>
      </c>
      <c r="P32" s="32">
        <f t="shared" si="2"/>
        <v>0.15581752518639994</v>
      </c>
      <c r="Q32" s="33">
        <f t="shared" si="3"/>
        <v>0.14119891147658808</v>
      </c>
      <c r="R32" s="34">
        <f t="shared" si="4"/>
        <v>0.12753330534912152</v>
      </c>
      <c r="S32" s="56">
        <v>78.238679952718329</v>
      </c>
      <c r="T32" s="58">
        <f t="shared" si="5"/>
        <v>2.2601296811225462E-2</v>
      </c>
      <c r="U32" s="59">
        <f t="shared" si="6"/>
        <v>4559.4448335339421</v>
      </c>
      <c r="V32" s="47">
        <f t="shared" si="7"/>
        <v>4598.6901656178197</v>
      </c>
      <c r="W32" s="42">
        <v>2020</v>
      </c>
      <c r="X32" s="45">
        <f t="shared" si="8"/>
        <v>0.99146597603437259</v>
      </c>
      <c r="Y32" s="46">
        <f t="shared" si="9"/>
        <v>2.2765792899098116</v>
      </c>
      <c r="Z32" s="45">
        <f t="shared" si="10"/>
        <v>0.43881351360560317</v>
      </c>
      <c r="AA32" s="82">
        <f t="shared" si="11"/>
        <v>5.8782739514953969E-2</v>
      </c>
      <c r="AB32" s="11"/>
      <c r="AC32" s="11"/>
      <c r="AD32" s="12"/>
      <c r="AE32" s="13"/>
      <c r="AF32" s="14"/>
      <c r="AG32" s="15"/>
      <c r="AH32" s="15"/>
      <c r="AI32" s="15"/>
      <c r="AK32" s="14"/>
      <c r="AL32" s="14"/>
      <c r="AM32" s="14"/>
      <c r="AN32" s="3"/>
      <c r="AO32" s="5"/>
      <c r="AP32" s="5"/>
      <c r="AQ32" s="4"/>
    </row>
    <row r="33" spans="1:43">
      <c r="A33" s="80">
        <v>4534</v>
      </c>
      <c r="B33" s="65" t="s">
        <v>16</v>
      </c>
      <c r="C33" s="72">
        <v>0.72100055015349074</v>
      </c>
      <c r="D33" s="81">
        <v>142.59899999999999</v>
      </c>
      <c r="E33" s="29">
        <v>491.86200000000002</v>
      </c>
      <c r="F33" s="30">
        <f t="shared" si="0"/>
        <v>497.58861098605183</v>
      </c>
      <c r="G33" s="31">
        <f t="shared" si="1"/>
        <v>507.52282511097553</v>
      </c>
      <c r="H33" s="29">
        <v>29.902032973583268</v>
      </c>
      <c r="I33" s="30">
        <v>14.726610986051798</v>
      </c>
      <c r="J33" s="31">
        <v>18.934214124923738</v>
      </c>
      <c r="K33" s="29">
        <v>5.0491237666463293</v>
      </c>
      <c r="L33" s="30">
        <v>35.063359490599517</v>
      </c>
      <c r="M33" s="31">
        <v>36.465893870223496</v>
      </c>
      <c r="N33" s="29">
        <v>9</v>
      </c>
      <c r="O33" s="31">
        <v>9</v>
      </c>
      <c r="P33" s="32">
        <f t="shared" si="2"/>
        <v>6.0793541630748599E-2</v>
      </c>
      <c r="Q33" s="33">
        <f t="shared" si="3"/>
        <v>2.9595956701799604E-2</v>
      </c>
      <c r="R33" s="34">
        <f t="shared" si="4"/>
        <v>3.73071183956772E-2</v>
      </c>
      <c r="S33" s="56">
        <v>64.610301826515823</v>
      </c>
      <c r="T33" s="58">
        <f t="shared" si="5"/>
        <v>3.3700618477865291E-2</v>
      </c>
      <c r="U33" s="59">
        <f t="shared" si="6"/>
        <v>431.95428193170221</v>
      </c>
      <c r="V33" s="47">
        <f t="shared" si="7"/>
        <v>541.4227083658551</v>
      </c>
      <c r="W33" s="42">
        <v>661</v>
      </c>
      <c r="X33" s="45">
        <f t="shared" si="8"/>
        <v>0.79781338177603389</v>
      </c>
      <c r="Y33" s="46">
        <f t="shared" si="9"/>
        <v>0.81909638179403188</v>
      </c>
      <c r="Z33" s="45">
        <f t="shared" si="10"/>
        <v>0.76029609387067121</v>
      </c>
      <c r="AA33" s="82">
        <f t="shared" si="11"/>
        <v>2.5462046226153962E-2</v>
      </c>
      <c r="AB33" s="11"/>
      <c r="AC33" s="11"/>
      <c r="AD33" s="12"/>
      <c r="AE33" s="13"/>
      <c r="AF33" s="14"/>
      <c r="AG33" s="15"/>
      <c r="AH33" s="15"/>
      <c r="AI33" s="15"/>
      <c r="AK33" s="14"/>
      <c r="AL33" s="14"/>
      <c r="AM33" s="14"/>
      <c r="AN33" s="3"/>
      <c r="AO33" s="5"/>
      <c r="AP33" s="5"/>
      <c r="AQ33" s="4"/>
    </row>
    <row r="34" spans="1:43">
      <c r="A34" s="80">
        <v>4535</v>
      </c>
      <c r="B34" s="65" t="s">
        <v>17</v>
      </c>
      <c r="C34" s="72">
        <v>0.30733851654197353</v>
      </c>
      <c r="D34" s="81">
        <v>340.96600000000001</v>
      </c>
      <c r="E34" s="29">
        <v>1468.654</v>
      </c>
      <c r="F34" s="30">
        <f t="shared" si="0"/>
        <v>1552.1692185261873</v>
      </c>
      <c r="G34" s="31">
        <f t="shared" si="1"/>
        <v>1637.1508589243501</v>
      </c>
      <c r="H34" s="29">
        <v>119.9826375650358</v>
      </c>
      <c r="I34" s="30">
        <v>108.51521852618735</v>
      </c>
      <c r="J34" s="31">
        <v>109.98164039816287</v>
      </c>
      <c r="K34" s="29">
        <v>0.89745018564900891</v>
      </c>
      <c r="L34" s="30">
        <v>187.70199961286463</v>
      </c>
      <c r="M34" s="31">
        <v>190.63484335681562</v>
      </c>
      <c r="N34" s="29">
        <v>25</v>
      </c>
      <c r="O34" s="31">
        <v>25</v>
      </c>
      <c r="P34" s="32">
        <f t="shared" si="2"/>
        <v>8.1695646193750054E-2</v>
      </c>
      <c r="Q34" s="33">
        <f t="shared" si="3"/>
        <v>6.9911976884340296E-2</v>
      </c>
      <c r="R34" s="34">
        <f t="shared" si="4"/>
        <v>6.7178684113706907E-2</v>
      </c>
      <c r="S34" s="56">
        <v>71.184036194360175</v>
      </c>
      <c r="T34" s="58">
        <f t="shared" si="5"/>
        <v>2.7326086539911813E-2</v>
      </c>
      <c r="U34" s="59">
        <f t="shared" si="6"/>
        <v>3757.4536825508158</v>
      </c>
      <c r="V34" s="47">
        <f t="shared" si="7"/>
        <v>3733.0185379344739</v>
      </c>
      <c r="W34" s="42">
        <v>2420</v>
      </c>
      <c r="X34" s="45">
        <f t="shared" si="8"/>
        <v>1.0065456799552519</v>
      </c>
      <c r="Y34" s="46">
        <f t="shared" si="9"/>
        <v>1.5425696437745759</v>
      </c>
      <c r="Z34" s="45">
        <f t="shared" si="10"/>
        <v>0.65895042922531766</v>
      </c>
      <c r="AA34" s="82">
        <f t="shared" si="11"/>
        <v>4.5143979116601285E-2</v>
      </c>
      <c r="AB34" s="11"/>
      <c r="AC34" s="11"/>
      <c r="AD34" s="12"/>
      <c r="AE34" s="13"/>
      <c r="AF34" s="14"/>
      <c r="AG34" s="15"/>
      <c r="AH34" s="15"/>
      <c r="AI34" s="15"/>
      <c r="AK34" s="14"/>
      <c r="AL34" s="14"/>
      <c r="AM34" s="14"/>
      <c r="AN34" s="3"/>
      <c r="AO34" s="5"/>
      <c r="AP34" s="5"/>
      <c r="AQ34" s="4"/>
    </row>
    <row r="35" spans="1:43">
      <c r="A35" s="80">
        <v>4536</v>
      </c>
      <c r="B35" s="65" t="s">
        <v>18</v>
      </c>
      <c r="C35" s="72">
        <v>0.36619117409243068</v>
      </c>
      <c r="D35" s="81">
        <v>87.962999999999994</v>
      </c>
      <c r="E35" s="29">
        <v>1176.6199999999999</v>
      </c>
      <c r="F35" s="30">
        <f t="shared" si="0"/>
        <v>1227.5673301274398</v>
      </c>
      <c r="G35" s="31">
        <f t="shared" si="1"/>
        <v>1279.6515018814728</v>
      </c>
      <c r="H35" s="29">
        <v>71.859759216943488</v>
      </c>
      <c r="I35" s="30">
        <v>90.947330127439955</v>
      </c>
      <c r="J35" s="31">
        <v>92.084171754032951</v>
      </c>
      <c r="K35" s="29">
        <v>4.2404192671918883</v>
      </c>
      <c r="L35" s="30">
        <v>156.88414446983393</v>
      </c>
      <c r="M35" s="31">
        <v>162.56835260279891</v>
      </c>
      <c r="N35" s="29">
        <v>40</v>
      </c>
      <c r="O35" s="31">
        <v>40</v>
      </c>
      <c r="P35" s="32">
        <f t="shared" si="2"/>
        <v>6.1073039058441546E-2</v>
      </c>
      <c r="Q35" s="33">
        <f t="shared" si="3"/>
        <v>7.4087447503183607E-2</v>
      </c>
      <c r="R35" s="34">
        <f t="shared" si="4"/>
        <v>7.196035140711475E-2</v>
      </c>
      <c r="S35" s="56">
        <v>137.11909707542239</v>
      </c>
      <c r="T35" s="58">
        <f t="shared" si="5"/>
        <v>2.8233005992764355E-2</v>
      </c>
      <c r="U35" s="59">
        <f t="shared" si="6"/>
        <v>3087.619239111018</v>
      </c>
      <c r="V35" s="47">
        <f t="shared" si="7"/>
        <v>3078.1465805780026</v>
      </c>
      <c r="W35" s="42">
        <v>1715</v>
      </c>
      <c r="X35" s="45">
        <f t="shared" si="8"/>
        <v>1.0030773903337757</v>
      </c>
      <c r="Y35" s="46">
        <f t="shared" si="9"/>
        <v>1.7948376563137041</v>
      </c>
      <c r="Z35" s="45">
        <f t="shared" si="10"/>
        <v>0.7309675895069716</v>
      </c>
      <c r="AA35" s="82">
        <f t="shared" si="11"/>
        <v>5.3361953901304056E-2</v>
      </c>
      <c r="AB35" s="11"/>
      <c r="AC35" s="11"/>
      <c r="AD35" s="12"/>
      <c r="AE35" s="13"/>
      <c r="AF35" s="14"/>
      <c r="AG35" s="15"/>
      <c r="AH35" s="15"/>
      <c r="AI35" s="15"/>
      <c r="AK35" s="14"/>
      <c r="AL35" s="14"/>
      <c r="AM35" s="14"/>
      <c r="AN35" s="3"/>
      <c r="AO35" s="5"/>
      <c r="AP35" s="5"/>
      <c r="AQ35" s="4"/>
    </row>
    <row r="36" spans="1:43">
      <c r="A36" s="80">
        <v>4537</v>
      </c>
      <c r="B36" s="65" t="s">
        <v>19</v>
      </c>
      <c r="C36" s="72">
        <v>0.36804398608068001</v>
      </c>
      <c r="D36" s="81">
        <v>122.947</v>
      </c>
      <c r="E36" s="29">
        <v>491.952</v>
      </c>
      <c r="F36" s="30">
        <f t="shared" si="0"/>
        <v>504.35275805021672</v>
      </c>
      <c r="G36" s="31">
        <f t="shared" si="1"/>
        <v>518.38023330378132</v>
      </c>
      <c r="H36" s="29">
        <v>27.280047500142338</v>
      </c>
      <c r="I36" s="30">
        <v>24.400758050216758</v>
      </c>
      <c r="J36" s="31">
        <v>26.027475253564546</v>
      </c>
      <c r="K36" s="29">
        <v>2.9524917240762281</v>
      </c>
      <c r="L36" s="30">
        <v>42.294647287042388</v>
      </c>
      <c r="M36" s="31">
        <v>46.361440295411846</v>
      </c>
      <c r="N36" s="29">
        <v>12</v>
      </c>
      <c r="O36" s="31">
        <v>12</v>
      </c>
      <c r="P36" s="32">
        <f t="shared" si="2"/>
        <v>5.5452661032259931E-2</v>
      </c>
      <c r="Q36" s="33">
        <f t="shared" si="3"/>
        <v>4.8380340269274895E-2</v>
      </c>
      <c r="R36" s="34">
        <f t="shared" si="4"/>
        <v>5.020923557922765E-2</v>
      </c>
      <c r="S36" s="56">
        <v>29.704595185020878</v>
      </c>
      <c r="T36" s="58">
        <f t="shared" si="5"/>
        <v>2.8261557825503276E-2</v>
      </c>
      <c r="U36" s="59">
        <f t="shared" si="6"/>
        <v>842.16182643238574</v>
      </c>
      <c r="V36" s="47">
        <f t="shared" si="7"/>
        <v>882.48823795320618</v>
      </c>
      <c r="W36" s="42">
        <v>710</v>
      </c>
      <c r="X36" s="45">
        <f t="shared" si="8"/>
        <v>0.95430374050723754</v>
      </c>
      <c r="Y36" s="46">
        <f t="shared" si="9"/>
        <v>1.2429411802157833</v>
      </c>
      <c r="Z36" s="45">
        <f t="shared" si="10"/>
        <v>0.72023450095351971</v>
      </c>
      <c r="AA36" s="82">
        <f t="shared" si="11"/>
        <v>3.5512840354775567E-2</v>
      </c>
      <c r="AB36" s="11"/>
      <c r="AC36" s="11"/>
      <c r="AD36" s="12"/>
      <c r="AE36" s="13"/>
      <c r="AF36" s="14"/>
      <c r="AG36" s="15"/>
      <c r="AH36" s="15"/>
      <c r="AI36" s="15"/>
      <c r="AK36" s="14"/>
      <c r="AL36" s="14"/>
      <c r="AM36" s="14"/>
      <c r="AN36" s="3"/>
      <c r="AO36" s="5"/>
      <c r="AP36" s="5"/>
      <c r="AQ36" s="4"/>
    </row>
    <row r="37" spans="1:43">
      <c r="A37" s="80">
        <v>4538</v>
      </c>
      <c r="B37" s="65" t="s">
        <v>20</v>
      </c>
      <c r="C37" s="72">
        <v>0.81219509409113422</v>
      </c>
      <c r="D37" s="81">
        <v>94.512</v>
      </c>
      <c r="E37" s="29">
        <v>442.01799999999997</v>
      </c>
      <c r="F37" s="30">
        <f t="shared" si="0"/>
        <v>442.89543355341118</v>
      </c>
      <c r="G37" s="31">
        <f t="shared" si="1"/>
        <v>444.3019004570848</v>
      </c>
      <c r="H37" s="29">
        <v>5.8828508549178942</v>
      </c>
      <c r="I37" s="30">
        <v>6.8774335534112074</v>
      </c>
      <c r="J37" s="31">
        <v>7.406466903673607</v>
      </c>
      <c r="K37" s="29">
        <v>8.6020822752666337</v>
      </c>
      <c r="L37" s="30">
        <v>11.109700355510411</v>
      </c>
      <c r="M37" s="31">
        <v>12.16776705603521</v>
      </c>
      <c r="N37" s="29">
        <v>6</v>
      </c>
      <c r="O37" s="31">
        <v>6</v>
      </c>
      <c r="P37" s="32">
        <f t="shared" si="2"/>
        <v>1.3309075320276311E-2</v>
      </c>
      <c r="Q37" s="33">
        <f t="shared" si="3"/>
        <v>1.5528346043743573E-2</v>
      </c>
      <c r="R37" s="34">
        <f t="shared" si="4"/>
        <v>1.6669896968826942E-2</v>
      </c>
      <c r="S37" s="56">
        <v>20.430054668934538</v>
      </c>
      <c r="T37" s="58">
        <f t="shared" si="5"/>
        <v>3.5105926399944379E-2</v>
      </c>
      <c r="U37" s="59">
        <f t="shared" si="6"/>
        <v>195.51708686925068</v>
      </c>
      <c r="V37" s="47">
        <f t="shared" si="7"/>
        <v>208.9576980365967</v>
      </c>
      <c r="W37" s="42">
        <v>373</v>
      </c>
      <c r="X37" s="45">
        <f t="shared" si="8"/>
        <v>0.93567783674094629</v>
      </c>
      <c r="Y37" s="46">
        <f t="shared" si="9"/>
        <v>0.56020830572814129</v>
      </c>
      <c r="Z37" s="45">
        <f t="shared" si="10"/>
        <v>1.1892725656977159</v>
      </c>
      <c r="AA37" s="82">
        <f t="shared" si="11"/>
        <v>1.9147319647566777E-2</v>
      </c>
      <c r="AB37" s="11"/>
      <c r="AC37" s="11"/>
      <c r="AD37" s="12"/>
      <c r="AE37" s="13"/>
      <c r="AF37" s="14"/>
      <c r="AG37" s="15"/>
      <c r="AH37" s="15"/>
      <c r="AI37" s="15"/>
      <c r="AK37" s="14"/>
      <c r="AL37" s="14"/>
      <c r="AM37" s="14"/>
      <c r="AN37" s="3"/>
      <c r="AO37" s="5"/>
      <c r="AP37" s="5"/>
      <c r="AQ37" s="4"/>
    </row>
    <row r="38" spans="1:43">
      <c r="A38" s="80">
        <v>4539</v>
      </c>
      <c r="B38" s="65" t="s">
        <v>21</v>
      </c>
      <c r="C38" s="72">
        <v>0.75659556635973457</v>
      </c>
      <c r="D38" s="81">
        <v>38.521999999999998</v>
      </c>
      <c r="E38" s="29">
        <v>95.14</v>
      </c>
      <c r="F38" s="30">
        <f t="shared" si="0"/>
        <v>113.3114345049582</v>
      </c>
      <c r="G38" s="31">
        <f t="shared" si="1"/>
        <v>139.27062665489851</v>
      </c>
      <c r="H38" s="29">
        <v>-37.978298115362648</v>
      </c>
      <c r="I38" s="30">
        <v>18.171434504958203</v>
      </c>
      <c r="J38" s="31">
        <v>25.959192149940296</v>
      </c>
      <c r="K38" s="29">
        <v>19.599190073204923</v>
      </c>
      <c r="L38" s="30">
        <v>31.151030579928353</v>
      </c>
      <c r="M38" s="31">
        <v>35.0449094024194</v>
      </c>
      <c r="N38" s="29">
        <v>0</v>
      </c>
      <c r="O38" s="31">
        <v>0</v>
      </c>
      <c r="P38" s="32">
        <f t="shared" si="2"/>
        <v>-0.39918328899897676</v>
      </c>
      <c r="Q38" s="33">
        <f t="shared" si="3"/>
        <v>0.16036717374858642</v>
      </c>
      <c r="R38" s="34">
        <f t="shared" si="4"/>
        <v>0.18639387768581742</v>
      </c>
      <c r="S38" s="56">
        <v>44.642522623068089</v>
      </c>
      <c r="T38" s="58">
        <f t="shared" si="5"/>
        <v>3.4249137677603514E-2</v>
      </c>
      <c r="U38" s="59">
        <f t="shared" si="6"/>
        <v>445.48079002928347</v>
      </c>
      <c r="V38" s="47">
        <f t="shared" si="7"/>
        <v>593.43539206068954</v>
      </c>
      <c r="W38" s="42">
        <v>444</v>
      </c>
      <c r="X38" s="45">
        <f t="shared" si="8"/>
        <v>0.75068119628383234</v>
      </c>
      <c r="Y38" s="46">
        <f t="shared" si="9"/>
        <v>1.3365661983348864</v>
      </c>
      <c r="Z38" s="45">
        <f t="shared" si="10"/>
        <v>0.28443925806290171</v>
      </c>
      <c r="AA38" s="82">
        <f t="shared" si="11"/>
        <v>4.969665163839921E-2</v>
      </c>
      <c r="AB38" s="11"/>
      <c r="AC38" s="11"/>
      <c r="AD38" s="12"/>
      <c r="AE38" s="13"/>
      <c r="AF38" s="14"/>
      <c r="AG38" s="15"/>
      <c r="AH38" s="15"/>
      <c r="AI38" s="15"/>
      <c r="AK38" s="14"/>
      <c r="AL38" s="14"/>
      <c r="AM38" s="14"/>
      <c r="AN38" s="3"/>
      <c r="AO38" s="5"/>
      <c r="AP38" s="5"/>
      <c r="AQ38" s="4"/>
    </row>
    <row r="39" spans="1:43">
      <c r="A39" s="80">
        <v>4540</v>
      </c>
      <c r="B39" s="65" t="s">
        <v>22</v>
      </c>
      <c r="C39" s="72">
        <v>0.13349061702980547</v>
      </c>
      <c r="D39" s="81">
        <v>70.772000000000006</v>
      </c>
      <c r="E39" s="29">
        <v>408.82</v>
      </c>
      <c r="F39" s="30">
        <f t="shared" si="0"/>
        <v>525.9889368676877</v>
      </c>
      <c r="G39" s="31">
        <f t="shared" si="1"/>
        <v>631.85396823602548</v>
      </c>
      <c r="H39" s="29">
        <v>119.80726841123607</v>
      </c>
      <c r="I39" s="30">
        <v>127.16893686768776</v>
      </c>
      <c r="J39" s="31">
        <v>115.86503136833774</v>
      </c>
      <c r="K39" s="29">
        <v>1.8368846436443791</v>
      </c>
      <c r="L39" s="30">
        <v>141.29881874187529</v>
      </c>
      <c r="M39" s="31">
        <v>152.60272424122533</v>
      </c>
      <c r="N39" s="29">
        <v>10</v>
      </c>
      <c r="O39" s="31">
        <v>10</v>
      </c>
      <c r="P39" s="32">
        <f t="shared" si="2"/>
        <v>0.29305628005292322</v>
      </c>
      <c r="Q39" s="33">
        <f t="shared" si="3"/>
        <v>0.24177112474074156</v>
      </c>
      <c r="R39" s="34">
        <f t="shared" si="4"/>
        <v>0.18337311656331484</v>
      </c>
      <c r="S39" s="56">
        <v>76.840151949224961</v>
      </c>
      <c r="T39" s="58">
        <f t="shared" si="5"/>
        <v>2.4647090408429301E-2</v>
      </c>
      <c r="U39" s="59">
        <f t="shared" si="6"/>
        <v>4010.2450057434125</v>
      </c>
      <c r="V39" s="47">
        <f t="shared" si="7"/>
        <v>3801.3119660920843</v>
      </c>
      <c r="W39" s="42">
        <v>1542</v>
      </c>
      <c r="X39" s="45">
        <f t="shared" si="8"/>
        <v>1.05496340250814</v>
      </c>
      <c r="Y39" s="46">
        <f t="shared" si="9"/>
        <v>2.4651828573878629</v>
      </c>
      <c r="Z39" s="45">
        <f t="shared" si="10"/>
        <v>0.37543544264063339</v>
      </c>
      <c r="AA39" s="82">
        <f t="shared" si="11"/>
        <v>7.8804788662783884E-2</v>
      </c>
      <c r="AB39" s="11"/>
      <c r="AC39" s="11"/>
      <c r="AD39" s="12"/>
      <c r="AE39" s="13"/>
      <c r="AF39" s="14"/>
      <c r="AG39" s="15"/>
      <c r="AH39" s="15"/>
      <c r="AI39" s="15"/>
      <c r="AK39" s="14"/>
      <c r="AL39" s="14"/>
      <c r="AM39" s="14"/>
      <c r="AN39" s="3"/>
      <c r="AO39" s="5"/>
      <c r="AP39" s="5"/>
      <c r="AQ39" s="4"/>
    </row>
    <row r="40" spans="1:43">
      <c r="A40" s="80">
        <v>4544</v>
      </c>
      <c r="B40" s="65" t="s">
        <v>100</v>
      </c>
      <c r="C40" s="72">
        <v>0.83369431770101743</v>
      </c>
      <c r="D40" s="81">
        <v>43.271000000000001</v>
      </c>
      <c r="E40" s="29">
        <v>990.178</v>
      </c>
      <c r="F40" s="30">
        <f t="shared" si="0"/>
        <v>1070.9296812645882</v>
      </c>
      <c r="G40" s="31">
        <f t="shared" si="1"/>
        <v>1156.3033957615955</v>
      </c>
      <c r="H40" s="29">
        <v>116.84500011555082</v>
      </c>
      <c r="I40" s="30">
        <v>94.751681264588285</v>
      </c>
      <c r="J40" s="31">
        <v>99.373714497007228</v>
      </c>
      <c r="K40" s="29">
        <v>19.320098911511174</v>
      </c>
      <c r="L40" s="30">
        <v>154.83811328603454</v>
      </c>
      <c r="M40" s="31">
        <v>171.01522959950083</v>
      </c>
      <c r="N40" s="29">
        <v>14</v>
      </c>
      <c r="O40" s="31">
        <v>14</v>
      </c>
      <c r="P40" s="32">
        <f t="shared" si="2"/>
        <v>0.11800403575473381</v>
      </c>
      <c r="Q40" s="33">
        <f t="shared" si="3"/>
        <v>8.8476099712450268E-2</v>
      </c>
      <c r="R40" s="34">
        <f t="shared" si="4"/>
        <v>8.5940865400256861E-2</v>
      </c>
      <c r="S40" s="56">
        <v>64.305229910954438</v>
      </c>
      <c r="T40" s="58">
        <f t="shared" si="5"/>
        <v>3.5437229435772682E-2</v>
      </c>
      <c r="U40" s="59">
        <f t="shared" si="6"/>
        <v>2472.176545851471</v>
      </c>
      <c r="V40" s="47">
        <f t="shared" si="7"/>
        <v>2514.9072883330327</v>
      </c>
      <c r="W40" s="42">
        <v>1497</v>
      </c>
      <c r="X40" s="45">
        <f t="shared" si="8"/>
        <v>0.98300901878976021</v>
      </c>
      <c r="Y40" s="46">
        <f t="shared" si="9"/>
        <v>1.6799647884656197</v>
      </c>
      <c r="Z40" s="45">
        <f t="shared" si="10"/>
        <v>0.74389882332203872</v>
      </c>
      <c r="AA40" s="82">
        <f t="shared" si="11"/>
        <v>6.4838141536939051E-2</v>
      </c>
      <c r="AB40" s="11"/>
      <c r="AC40" s="11"/>
      <c r="AD40" s="12"/>
      <c r="AE40" s="13"/>
      <c r="AF40" s="14"/>
      <c r="AG40" s="15"/>
      <c r="AH40" s="15"/>
      <c r="AI40" s="15"/>
      <c r="AK40" s="14"/>
      <c r="AL40" s="14"/>
      <c r="AM40" s="14"/>
      <c r="AN40" s="3"/>
      <c r="AO40" s="5"/>
      <c r="AP40" s="5"/>
      <c r="AQ40" s="4"/>
    </row>
    <row r="41" spans="1:43">
      <c r="A41" s="80">
        <v>4547</v>
      </c>
      <c r="B41" s="65" t="s">
        <v>23</v>
      </c>
      <c r="C41" s="72">
        <v>0.21250927047864582</v>
      </c>
      <c r="D41" s="81">
        <v>56.795000000000002</v>
      </c>
      <c r="E41" s="29">
        <v>2047.0989999999999</v>
      </c>
      <c r="F41" s="30">
        <f t="shared" si="0"/>
        <v>2110.3809790474511</v>
      </c>
      <c r="G41" s="31">
        <f t="shared" si="1"/>
        <v>2164.3311507174926</v>
      </c>
      <c r="H41" s="29">
        <v>98.582621709657531</v>
      </c>
      <c r="I41" s="30">
        <v>83.281979047451372</v>
      </c>
      <c r="J41" s="31">
        <v>73.950171670041385</v>
      </c>
      <c r="K41" s="29">
        <v>3.6446870323091818</v>
      </c>
      <c r="L41" s="30">
        <v>115.85526894973148</v>
      </c>
      <c r="M41" s="31">
        <v>122.89814244211638</v>
      </c>
      <c r="N41" s="29">
        <v>20</v>
      </c>
      <c r="O41" s="31">
        <v>20</v>
      </c>
      <c r="P41" s="32">
        <f t="shared" si="2"/>
        <v>4.8157232117087417E-2</v>
      </c>
      <c r="Q41" s="33">
        <f t="shared" si="3"/>
        <v>3.9463006857198751E-2</v>
      </c>
      <c r="R41" s="34">
        <f t="shared" si="4"/>
        <v>3.4167678844120655E-2</v>
      </c>
      <c r="S41" s="56">
        <v>173.54791048687966</v>
      </c>
      <c r="T41" s="58">
        <f t="shared" si="5"/>
        <v>2.5864767858075934E-2</v>
      </c>
      <c r="U41" s="59">
        <f t="shared" si="6"/>
        <v>3123.3484219786164</v>
      </c>
      <c r="V41" s="47">
        <f t="shared" si="7"/>
        <v>2734.6120218348783</v>
      </c>
      <c r="W41" s="42">
        <v>2455</v>
      </c>
      <c r="X41" s="45">
        <f t="shared" si="8"/>
        <v>1.1421541326666524</v>
      </c>
      <c r="Y41" s="46">
        <f t="shared" si="9"/>
        <v>1.1138949172443495</v>
      </c>
      <c r="Z41" s="45">
        <f t="shared" si="10"/>
        <v>0.87061346838389897</v>
      </c>
      <c r="AA41" s="82">
        <f t="shared" si="11"/>
        <v>3.2022841286658402E-2</v>
      </c>
      <c r="AB41" s="11"/>
      <c r="AC41" s="11"/>
      <c r="AD41" s="12"/>
      <c r="AE41" s="13"/>
      <c r="AF41" s="14"/>
      <c r="AG41" s="15"/>
      <c r="AH41" s="15"/>
      <c r="AI41" s="15"/>
      <c r="AK41" s="14"/>
      <c r="AL41" s="14"/>
      <c r="AM41" s="14"/>
      <c r="AN41" s="3"/>
      <c r="AO41" s="5"/>
      <c r="AP41" s="5"/>
      <c r="AQ41" s="4"/>
    </row>
    <row r="42" spans="1:43">
      <c r="A42" s="80">
        <v>4549</v>
      </c>
      <c r="B42" s="65" t="s">
        <v>101</v>
      </c>
      <c r="C42" s="72">
        <v>1.759673911462561</v>
      </c>
      <c r="D42" s="81">
        <v>23.771000000000001</v>
      </c>
      <c r="E42" s="29">
        <v>862.94200000000001</v>
      </c>
      <c r="F42" s="30">
        <f t="shared" si="0"/>
        <v>890.38257885658993</v>
      </c>
      <c r="G42" s="31">
        <f t="shared" si="1"/>
        <v>920.34724168103992</v>
      </c>
      <c r="H42" s="29">
        <v>26.923562323839974</v>
      </c>
      <c r="I42" s="30">
        <v>37.440578856589958</v>
      </c>
      <c r="J42" s="31">
        <v>39.96466282444996</v>
      </c>
      <c r="K42" s="29">
        <v>73.955660258297911</v>
      </c>
      <c r="L42" s="30">
        <v>70.674351100079932</v>
      </c>
      <c r="M42" s="31">
        <v>75.72251903579992</v>
      </c>
      <c r="N42" s="29">
        <v>10</v>
      </c>
      <c r="O42" s="31">
        <v>10</v>
      </c>
      <c r="P42" s="32">
        <f t="shared" si="2"/>
        <v>3.1199735699316958E-2</v>
      </c>
      <c r="Q42" s="33">
        <f t="shared" si="3"/>
        <v>4.2049990358830176E-2</v>
      </c>
      <c r="R42" s="34">
        <f t="shared" si="4"/>
        <v>4.3423461292124252E-2</v>
      </c>
      <c r="S42" s="56">
        <v>83.921504605993121</v>
      </c>
      <c r="T42" s="58">
        <f t="shared" si="5"/>
        <v>4.9706574975638067E-2</v>
      </c>
      <c r="U42" s="59">
        <f t="shared" si="6"/>
        <v>730.01816757670963</v>
      </c>
      <c r="V42" s="47">
        <f t="shared" si="7"/>
        <v>749.42915889153585</v>
      </c>
      <c r="W42" s="42">
        <v>1020</v>
      </c>
      <c r="X42" s="45">
        <f t="shared" si="8"/>
        <v>0.97409896441241151</v>
      </c>
      <c r="Y42" s="46">
        <f t="shared" si="9"/>
        <v>0.73473446950150578</v>
      </c>
      <c r="Z42" s="45">
        <f t="shared" si="10"/>
        <v>0.88761265712628912</v>
      </c>
      <c r="AA42" s="82">
        <f t="shared" si="11"/>
        <v>3.7943745922078387E-2</v>
      </c>
      <c r="AB42" s="11"/>
      <c r="AC42" s="11"/>
      <c r="AD42" s="12"/>
      <c r="AE42" s="13"/>
      <c r="AF42" s="14"/>
      <c r="AG42" s="15"/>
      <c r="AH42" s="15"/>
      <c r="AI42" s="15"/>
      <c r="AK42" s="14"/>
      <c r="AL42" s="14"/>
      <c r="AM42" s="14"/>
      <c r="AN42" s="3"/>
      <c r="AO42" s="5"/>
      <c r="AP42" s="5"/>
      <c r="AQ42" s="4"/>
    </row>
    <row r="43" spans="1:43">
      <c r="A43" s="80">
        <v>4551</v>
      </c>
      <c r="B43" s="65" t="s">
        <v>24</v>
      </c>
      <c r="C43" s="72">
        <v>0.54401114331825318</v>
      </c>
      <c r="D43" s="81">
        <v>28.8</v>
      </c>
      <c r="E43" s="29">
        <v>1963.7850000000001</v>
      </c>
      <c r="F43" s="30">
        <f t="shared" si="0"/>
        <v>2111.923888888889</v>
      </c>
      <c r="G43" s="31">
        <f t="shared" si="1"/>
        <v>2242.7016666666668</v>
      </c>
      <c r="H43" s="29">
        <v>170.59027777777777</v>
      </c>
      <c r="I43" s="30">
        <v>170.13888888888889</v>
      </c>
      <c r="J43" s="31">
        <v>152.7777777777778</v>
      </c>
      <c r="K43" s="29">
        <v>18.784722222222225</v>
      </c>
      <c r="L43" s="30">
        <v>309.02777777777777</v>
      </c>
      <c r="M43" s="31">
        <v>243.05555555555554</v>
      </c>
      <c r="N43" s="29">
        <v>22</v>
      </c>
      <c r="O43" s="31">
        <v>22</v>
      </c>
      <c r="P43" s="32">
        <f t="shared" si="2"/>
        <v>8.6868103065140923E-2</v>
      </c>
      <c r="Q43" s="33">
        <f t="shared" si="3"/>
        <v>8.0561089243799025E-2</v>
      </c>
      <c r="R43" s="34">
        <f t="shared" si="4"/>
        <v>6.8122202809458729E-2</v>
      </c>
      <c r="S43" s="56">
        <v>12.494909775450907</v>
      </c>
      <c r="T43" s="58">
        <f t="shared" si="5"/>
        <v>3.0973211718534281E-2</v>
      </c>
      <c r="U43" s="59">
        <f t="shared" si="6"/>
        <v>5107.7899211196318</v>
      </c>
      <c r="V43" s="47">
        <f t="shared" si="7"/>
        <v>4515.1630433158589</v>
      </c>
      <c r="W43" s="42">
        <v>2265</v>
      </c>
      <c r="X43" s="45">
        <f t="shared" si="8"/>
        <v>1.1312525975515069</v>
      </c>
      <c r="Y43" s="46">
        <f t="shared" si="9"/>
        <v>1.9934494672476197</v>
      </c>
      <c r="Z43" s="45">
        <f t="shared" si="10"/>
        <v>0.96128599460387554</v>
      </c>
      <c r="AA43" s="82">
        <f t="shared" si="11"/>
        <v>7.1284032376747616E-2</v>
      </c>
    </row>
    <row r="44" spans="1:43">
      <c r="A44" s="80">
        <v>4555</v>
      </c>
      <c r="B44" s="65" t="s">
        <v>102</v>
      </c>
      <c r="C44" s="72">
        <v>-0.26339119740026218</v>
      </c>
      <c r="D44" s="81">
        <v>13.64</v>
      </c>
      <c r="E44" s="29">
        <v>1895.1610000000001</v>
      </c>
      <c r="F44" s="30">
        <f t="shared" si="0"/>
        <v>2032.5803548387098</v>
      </c>
      <c r="G44" s="31">
        <f t="shared" si="1"/>
        <v>2201.5246363636365</v>
      </c>
      <c r="H44" s="29">
        <v>167.30205278592376</v>
      </c>
      <c r="I44" s="30">
        <v>177.41935483870967</v>
      </c>
      <c r="J44" s="31">
        <v>208.94428152492671</v>
      </c>
      <c r="K44" s="29">
        <v>-18.988269794721408</v>
      </c>
      <c r="L44" s="30">
        <v>324.78005865102637</v>
      </c>
      <c r="M44" s="31">
        <v>381.23167155425222</v>
      </c>
      <c r="N44" s="29">
        <v>40</v>
      </c>
      <c r="O44" s="31">
        <v>40</v>
      </c>
      <c r="P44" s="32">
        <f t="shared" si="2"/>
        <v>8.8278543504179199E-2</v>
      </c>
      <c r="Q44" s="33">
        <f t="shared" si="3"/>
        <v>8.7287744573713702E-2</v>
      </c>
      <c r="R44" s="34">
        <f t="shared" si="4"/>
        <v>9.4908899983990172E-2</v>
      </c>
      <c r="S44" s="56">
        <v>138.88150647251842</v>
      </c>
      <c r="T44" s="58">
        <f t="shared" si="5"/>
        <v>1.8531141648061959E-2</v>
      </c>
      <c r="U44" s="59">
        <f t="shared" si="6"/>
        <v>8926.8288179840456</v>
      </c>
      <c r="V44" s="47">
        <f t="shared" si="7"/>
        <v>10248.137435996174</v>
      </c>
      <c r="W44" s="42">
        <v>4600</v>
      </c>
      <c r="X44" s="45">
        <f t="shared" si="8"/>
        <v>0.87106841352740993</v>
      </c>
      <c r="Y44" s="46">
        <f t="shared" si="9"/>
        <v>2.2278559643469942</v>
      </c>
      <c r="Z44" s="45">
        <f t="shared" si="10"/>
        <v>0.46022880339155936</v>
      </c>
      <c r="AA44" s="82">
        <f t="shared" si="11"/>
        <v>4.199604743083004E-2</v>
      </c>
    </row>
    <row r="45" spans="1:43">
      <c r="A45" s="80">
        <v>4559</v>
      </c>
      <c r="B45" s="65" t="s">
        <v>103</v>
      </c>
      <c r="C45" s="72">
        <v>0.18571702091076281</v>
      </c>
      <c r="D45" s="81">
        <v>48.29</v>
      </c>
      <c r="E45" s="29">
        <v>607.37199999999996</v>
      </c>
      <c r="F45" s="30">
        <f t="shared" si="0"/>
        <v>606.90316587285145</v>
      </c>
      <c r="G45" s="31">
        <f t="shared" si="1"/>
        <v>607.46974280389304</v>
      </c>
      <c r="H45" s="29">
        <v>32.180575688548352</v>
      </c>
      <c r="I45" s="30">
        <v>15.531165872851522</v>
      </c>
      <c r="J45" s="31">
        <v>16.566576931041624</v>
      </c>
      <c r="K45" s="29">
        <v>3.8724373576309792</v>
      </c>
      <c r="L45" s="30">
        <v>33.133153862083248</v>
      </c>
      <c r="M45" s="31">
        <v>35.203975978463447</v>
      </c>
      <c r="N45" s="29">
        <v>16</v>
      </c>
      <c r="O45" s="31">
        <v>16</v>
      </c>
      <c r="P45" s="32">
        <f t="shared" si="2"/>
        <v>5.2983304611586235E-2</v>
      </c>
      <c r="Q45" s="33">
        <f t="shared" si="3"/>
        <v>2.5590846688885723E-2</v>
      </c>
      <c r="R45" s="34">
        <f t="shared" si="4"/>
        <v>2.7271443767018604E-2</v>
      </c>
      <c r="S45" s="56">
        <v>95.645406538824432</v>
      </c>
      <c r="T45" s="58">
        <f t="shared" si="5"/>
        <v>2.5451899292234854E-2</v>
      </c>
      <c r="U45" s="59">
        <f t="shared" si="6"/>
        <v>610.68777448227524</v>
      </c>
      <c r="V45" s="47">
        <f t="shared" si="7"/>
        <v>649.76464524281448</v>
      </c>
      <c r="W45" s="42">
        <v>1120</v>
      </c>
      <c r="X45" s="45">
        <f t="shared" si="8"/>
        <v>0.93985996153124585</v>
      </c>
      <c r="Y45" s="46">
        <f t="shared" si="9"/>
        <v>0.58014700468108438</v>
      </c>
      <c r="Z45" s="45">
        <f t="shared" si="10"/>
        <v>0.54213076280211803</v>
      </c>
      <c r="AA45" s="82">
        <f t="shared" si="11"/>
        <v>1.4329349466023726E-2</v>
      </c>
    </row>
    <row r="46" spans="1:43">
      <c r="A46" s="83">
        <v>4560</v>
      </c>
      <c r="B46" s="84" t="s">
        <v>105</v>
      </c>
      <c r="C46" s="73">
        <v>0.72108819045126804</v>
      </c>
      <c r="D46" s="85">
        <v>86.346000000000004</v>
      </c>
      <c r="E46" s="86">
        <v>1063.8130000000001</v>
      </c>
      <c r="F46" s="87">
        <f t="shared" si="0"/>
        <v>1085.1894621406898</v>
      </c>
      <c r="G46" s="88">
        <f t="shared" si="1"/>
        <v>1108.8821867602437</v>
      </c>
      <c r="H46" s="86">
        <v>65.920830148472433</v>
      </c>
      <c r="I46" s="87">
        <v>39.376462140689782</v>
      </c>
      <c r="J46" s="88">
        <v>41.692724619553886</v>
      </c>
      <c r="K46" s="86">
        <v>8.3153822991221364</v>
      </c>
      <c r="L46" s="87">
        <v>78.752924281379563</v>
      </c>
      <c r="M46" s="88">
        <v>82.227317999675705</v>
      </c>
      <c r="N46" s="86">
        <v>18</v>
      </c>
      <c r="O46" s="88">
        <v>18</v>
      </c>
      <c r="P46" s="89">
        <f t="shared" si="2"/>
        <v>6.1966558171852031E-2</v>
      </c>
      <c r="Q46" s="90">
        <f t="shared" si="3"/>
        <v>3.6285334049424085E-2</v>
      </c>
      <c r="R46" s="79">
        <f t="shared" si="4"/>
        <v>3.7598876704264754E-2</v>
      </c>
      <c r="S46" s="91">
        <v>95.613098147255727</v>
      </c>
      <c r="T46" s="92">
        <f t="shared" si="5"/>
        <v>3.370196901485404E-2</v>
      </c>
      <c r="U46" s="93">
        <f t="shared" si="6"/>
        <v>1145.3577105274412</v>
      </c>
      <c r="V46" s="94">
        <f t="shared" si="7"/>
        <v>1187.85942428197</v>
      </c>
      <c r="W46" s="43">
        <v>1597</v>
      </c>
      <c r="X46" s="95">
        <f t="shared" si="8"/>
        <v>0.96421991282325359</v>
      </c>
      <c r="Y46" s="96">
        <f t="shared" si="9"/>
        <v>0.74380677788476512</v>
      </c>
      <c r="Z46" s="95">
        <f t="shared" si="10"/>
        <v>0.6869353941455647</v>
      </c>
      <c r="AA46" s="97">
        <f t="shared" si="11"/>
        <v>2.538171157177322E-2</v>
      </c>
    </row>
    <row r="49" spans="3:19">
      <c r="R49" s="27"/>
      <c r="S49" s="27"/>
    </row>
    <row r="50" spans="3:19">
      <c r="C50" s="49"/>
      <c r="R50" s="27"/>
      <c r="S50" s="27"/>
    </row>
    <row r="51" spans="3:19">
      <c r="C51" s="49"/>
      <c r="R51" s="27"/>
      <c r="S51" s="27"/>
    </row>
    <row r="52" spans="3:19">
      <c r="C52" s="49"/>
      <c r="R52" s="27"/>
      <c r="S52" s="60"/>
    </row>
    <row r="53" spans="3:19">
      <c r="C53" s="49"/>
      <c r="R53" s="27"/>
      <c r="S53" s="60"/>
    </row>
    <row r="54" spans="3:19">
      <c r="C54" s="49"/>
      <c r="R54" s="27"/>
      <c r="S54" s="60"/>
    </row>
    <row r="55" spans="3:19">
      <c r="C55" s="49"/>
      <c r="R55" s="27"/>
      <c r="S55" s="60"/>
    </row>
    <row r="56" spans="3:19">
      <c r="C56" s="49"/>
      <c r="R56" s="27"/>
      <c r="S56" s="60"/>
    </row>
    <row r="57" spans="3:19">
      <c r="C57" s="49"/>
      <c r="R57" s="27"/>
      <c r="S57" s="60"/>
    </row>
    <row r="58" spans="3:19">
      <c r="C58" s="49"/>
      <c r="R58" s="27"/>
      <c r="S58" s="60"/>
    </row>
    <row r="59" spans="3:19">
      <c r="C59" s="49"/>
      <c r="R59" s="27"/>
      <c r="S59" s="60"/>
    </row>
    <row r="60" spans="3:19">
      <c r="C60" s="49"/>
      <c r="R60" s="27"/>
      <c r="S60" s="60"/>
    </row>
    <row r="61" spans="3:19">
      <c r="C61" s="49"/>
      <c r="R61" s="27"/>
      <c r="S61" s="60"/>
    </row>
    <row r="62" spans="3:19">
      <c r="C62" s="49"/>
      <c r="R62" s="27"/>
      <c r="S62" s="60"/>
    </row>
    <row r="63" spans="3:19">
      <c r="C63" s="49"/>
      <c r="R63" s="27"/>
      <c r="S63" s="60"/>
    </row>
    <row r="64" spans="3:19">
      <c r="C64" s="49"/>
      <c r="R64" s="27"/>
      <c r="S64" s="60"/>
    </row>
    <row r="65" spans="3:19">
      <c r="C65" s="49"/>
      <c r="R65" s="27"/>
      <c r="S65" s="60"/>
    </row>
    <row r="66" spans="3:19">
      <c r="C66" s="49"/>
      <c r="R66" s="27"/>
      <c r="S66" s="60"/>
    </row>
    <row r="67" spans="3:19">
      <c r="C67" s="49"/>
      <c r="R67" s="27"/>
      <c r="S67" s="60"/>
    </row>
    <row r="68" spans="3:19">
      <c r="C68" s="49"/>
      <c r="R68" s="27"/>
      <c r="S68" s="60"/>
    </row>
    <row r="69" spans="3:19">
      <c r="C69" s="49"/>
      <c r="R69" s="27"/>
      <c r="S69" s="60"/>
    </row>
    <row r="70" spans="3:19">
      <c r="C70" s="49"/>
      <c r="R70" s="27"/>
      <c r="S70" s="60"/>
    </row>
    <row r="71" spans="3:19">
      <c r="C71" s="49"/>
      <c r="R71" s="27"/>
      <c r="S71" s="60"/>
    </row>
    <row r="72" spans="3:19">
      <c r="C72" s="49"/>
      <c r="R72" s="27"/>
      <c r="S72" s="60"/>
    </row>
    <row r="73" spans="3:19">
      <c r="C73" s="49"/>
      <c r="R73" s="27"/>
      <c r="S73" s="60"/>
    </row>
    <row r="74" spans="3:19">
      <c r="C74" s="49"/>
      <c r="R74" s="27"/>
      <c r="S74" s="60"/>
    </row>
    <row r="75" spans="3:19">
      <c r="C75" s="49"/>
      <c r="R75" s="27"/>
      <c r="S75" s="60"/>
    </row>
    <row r="76" spans="3:19">
      <c r="C76" s="49"/>
      <c r="R76" s="27"/>
      <c r="S76" s="60"/>
    </row>
    <row r="77" spans="3:19">
      <c r="C77" s="49"/>
      <c r="R77" s="27"/>
      <c r="S77" s="60"/>
    </row>
    <row r="78" spans="3:19">
      <c r="C78" s="49"/>
      <c r="R78" s="27"/>
      <c r="S78" s="60"/>
    </row>
    <row r="79" spans="3:19">
      <c r="C79" s="49"/>
      <c r="R79" s="27"/>
      <c r="S79" s="60"/>
    </row>
    <row r="80" spans="3:19">
      <c r="C80" s="49"/>
      <c r="R80" s="27"/>
      <c r="S80" s="60"/>
    </row>
    <row r="81" spans="3:19">
      <c r="C81" s="49"/>
      <c r="R81" s="27"/>
      <c r="S81" s="60"/>
    </row>
    <row r="82" spans="3:19">
      <c r="C82" s="49"/>
      <c r="R82" s="27"/>
      <c r="S82" s="60"/>
    </row>
    <row r="83" spans="3:19">
      <c r="C83" s="49"/>
      <c r="R83" s="27"/>
      <c r="S83" s="60"/>
    </row>
    <row r="84" spans="3:19">
      <c r="C84" s="49"/>
      <c r="R84" s="27"/>
      <c r="S84" s="60"/>
    </row>
    <row r="85" spans="3:19">
      <c r="R85" s="27"/>
      <c r="S85" s="60"/>
    </row>
    <row r="86" spans="3:19">
      <c r="R86" s="27"/>
      <c r="S86" s="60"/>
    </row>
  </sheetData>
  <sortState ref="A12:AC46">
    <sortCondition ref="A12"/>
  </sortState>
  <phoneticPr fontId="2"/>
  <pageMargins left="0.78700000000000003" right="0.78700000000000003" top="0.98399999999999999" bottom="0.98399999999999999" header="0.5" footer="0.5"/>
  <headerFooter alignWithMargins="0">
    <oddHeader>&amp;A</oddHeader>
    <oddFooter>Page &amp;P</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BOJ</vt:lpstr>
      <vt:lpstr>RussellNomura_return</vt:lpstr>
      <vt:lpstr>インプライドリターン推定ワークシート</vt:lpstr>
      <vt:lpstr>2004年6月（インプライドリターン推定解答例）</vt:lpstr>
      <vt:lpstr>2004年6月（理論株価算出解答例）</vt:lpstr>
      <vt:lpstr>'2004年6月（インプライドリターン推定解答例）'!Sheet</vt:lpstr>
      <vt:lpstr>'2004年6月（理論株価算出解答例）'!Sheet</vt:lpstr>
      <vt:lpstr>インプライドリターン推定ワークシート!Sheet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KJ</dc:creator>
  <cp:lastModifiedBy>KJ</cp:lastModifiedBy>
  <dcterms:created xsi:type="dcterms:W3CDTF">2005-06-21T03:13:39Z</dcterms:created>
  <dcterms:modified xsi:type="dcterms:W3CDTF">2013-01-27T01:34:11Z</dcterms:modified>
</cp:coreProperties>
</file>