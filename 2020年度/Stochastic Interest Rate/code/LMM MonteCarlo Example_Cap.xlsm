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85" windowWidth="22995" windowHeight="9795" activeTab="4"/>
  </bookViews>
  <sheets>
    <sheet name="LMM " sheetId="1" r:id="rId1"/>
    <sheet name="Caplet-Calibration" sheetId="3" r:id="rId2"/>
    <sheet name="MCTrial" sheetId="10" r:id="rId3"/>
    <sheet name="Holiday Schedule" sheetId="2" r:id="rId4"/>
    <sheet name="Data" sheetId="11" r:id="rId5"/>
  </sheets>
  <definedNames>
    <definedName name="AccFreq">'LMM '!$C$9</definedName>
    <definedName name="DC_Year">'LMM '!$C$10</definedName>
    <definedName name="DiscountBonds">'LMM '!#REF!</definedName>
    <definedName name="LIBOR_Accruals">'LMM '!$H$7:$H$19</definedName>
    <definedName name="LIBOR_ForwardRates">'LMM '!$J$7:$J$19</definedName>
    <definedName name="LIBOR_Volatilities">'LMM '!$L$7:$L$19</definedName>
    <definedName name="MC_Caplet">'LMM '!$Q$7:$Q$19</definedName>
    <definedName name="MC_Trial_Number">'LMM '!$C$13</definedName>
    <definedName name="NormalVariate1">MCTrial!$K$6</definedName>
    <definedName name="NormalVariate10">MCTrial!$AU$6</definedName>
    <definedName name="NormalVariate11">MCTrial!$AY$6</definedName>
    <definedName name="NormalVariate2">MCTrial!$O$6</definedName>
    <definedName name="NormalVariate3">MCTrial!$S$6</definedName>
    <definedName name="NormalVariate4">MCTrial!$W$6</definedName>
    <definedName name="NormalVariate5">MCTrial!$AA$6</definedName>
    <definedName name="NormalVariate6">MCTrial!$AE$6</definedName>
    <definedName name="NormalVariate7">MCTrial!$AI$6</definedName>
    <definedName name="NormalVariate8">MCTrial!$AM$6</definedName>
    <definedName name="NormalVariate9">MCTrial!$AQ$6</definedName>
    <definedName name="Notional">'LMM '!$C$8</definedName>
    <definedName name="Reset_Number">'LMM '!$C$12</definedName>
    <definedName name="startDate">'LMM '!$C$6</definedName>
    <definedName name="Strike">'LMM '!$C$7</definedName>
    <definedName name="TestMode?">'LMM '!$C$15</definedName>
    <definedName name="TimeTaken">'LMM '!$C$17</definedName>
  </definedNames>
  <calcPr calcId="144525"/>
</workbook>
</file>

<file path=xl/calcChain.xml><?xml version="1.0" encoding="utf-8"?>
<calcChain xmlns="http://schemas.openxmlformats.org/spreadsheetml/2006/main">
  <c r="G20" i="10" l="1"/>
  <c r="R9" i="1"/>
  <c r="R10" i="1"/>
  <c r="R11" i="1"/>
  <c r="R12" i="1"/>
  <c r="R13" i="1"/>
  <c r="R14" i="1"/>
  <c r="R15" i="1"/>
  <c r="R16" i="1"/>
  <c r="R17" i="1"/>
  <c r="R18" i="1"/>
  <c r="R8" i="1"/>
  <c r="S8" i="1"/>
  <c r="P8" i="1"/>
  <c r="AU20" i="10"/>
  <c r="AU19" i="10"/>
  <c r="AQ20" i="10"/>
  <c r="AQ19" i="10"/>
  <c r="AQ18" i="10"/>
  <c r="AM20" i="10"/>
  <c r="AM18" i="10"/>
  <c r="AM19" i="10"/>
  <c r="AM17" i="10"/>
  <c r="AI20" i="10"/>
  <c r="AI17" i="10"/>
  <c r="AI18" i="10"/>
  <c r="AI19" i="10"/>
  <c r="AI16" i="10"/>
  <c r="AE20" i="10"/>
  <c r="AE16" i="10"/>
  <c r="AE17" i="10"/>
  <c r="AE18" i="10"/>
  <c r="AE19" i="10"/>
  <c r="AE15" i="10"/>
  <c r="AA20" i="10"/>
  <c r="AA15" i="10"/>
  <c r="AA16" i="10"/>
  <c r="AA17" i="10"/>
  <c r="AA18" i="10"/>
  <c r="AA19" i="10"/>
  <c r="AA14" i="10"/>
  <c r="W20" i="10"/>
  <c r="W14" i="10"/>
  <c r="W15" i="10"/>
  <c r="W16" i="10"/>
  <c r="W17" i="10"/>
  <c r="W18" i="10"/>
  <c r="W19" i="10"/>
  <c r="W13" i="10"/>
  <c r="S20" i="10"/>
  <c r="S13" i="10"/>
  <c r="S14" i="10"/>
  <c r="S15" i="10"/>
  <c r="S16" i="10"/>
  <c r="S17" i="10"/>
  <c r="S18" i="10"/>
  <c r="S19" i="10"/>
  <c r="S12" i="10"/>
  <c r="O20" i="10"/>
  <c r="O12" i="10"/>
  <c r="O13" i="10"/>
  <c r="O14" i="10"/>
  <c r="O15" i="10"/>
  <c r="O16" i="10"/>
  <c r="O17" i="10"/>
  <c r="O18" i="10"/>
  <c r="O19" i="10"/>
  <c r="O11" i="10"/>
  <c r="J19" i="10"/>
  <c r="J11" i="10"/>
  <c r="J12" i="10"/>
  <c r="J13" i="10"/>
  <c r="J14" i="10"/>
  <c r="J15" i="10"/>
  <c r="J16" i="10"/>
  <c r="J17" i="10"/>
  <c r="J18" i="10"/>
  <c r="J10" i="10"/>
  <c r="K20" i="10"/>
  <c r="K11" i="10"/>
  <c r="K12" i="10"/>
  <c r="K13" i="10"/>
  <c r="K14" i="10"/>
  <c r="K15" i="10"/>
  <c r="K16" i="10"/>
  <c r="K17" i="10"/>
  <c r="K18" i="10"/>
  <c r="K19" i="10"/>
  <c r="K10" i="10"/>
  <c r="C6" i="1" l="1"/>
  <c r="AY6" i="10" l="1"/>
  <c r="AU6" i="10"/>
  <c r="AQ6" i="10"/>
  <c r="AM6" i="10"/>
  <c r="AI6" i="10"/>
  <c r="AE6" i="10"/>
  <c r="AA6" i="10"/>
  <c r="W6" i="10"/>
  <c r="S6" i="10"/>
  <c r="O6" i="10"/>
  <c r="K6" i="10"/>
  <c r="Q20" i="1"/>
  <c r="D5" i="11"/>
  <c r="D15" i="11"/>
  <c r="D14" i="11"/>
  <c r="D6" i="11"/>
  <c r="D7" i="11"/>
  <c r="D8" i="11"/>
  <c r="D9" i="11"/>
  <c r="D10" i="11"/>
  <c r="D11" i="11"/>
  <c r="D12" i="11"/>
  <c r="D13" i="11"/>
  <c r="C6" i="11"/>
  <c r="C7" i="11"/>
  <c r="C8" i="11"/>
  <c r="C9" i="11"/>
  <c r="C10" i="11"/>
  <c r="C11" i="11"/>
  <c r="C12" i="11"/>
  <c r="C13" i="11"/>
  <c r="C14" i="11"/>
  <c r="C15" i="11"/>
  <c r="C5" i="11"/>
  <c r="F11" i="10"/>
  <c r="F12" i="10"/>
  <c r="F13" i="10"/>
  <c r="F14" i="10"/>
  <c r="F15" i="10"/>
  <c r="F16" i="10"/>
  <c r="F17" i="10"/>
  <c r="F18" i="10"/>
  <c r="F19" i="10"/>
  <c r="F20" i="10"/>
  <c r="F10" i="10"/>
  <c r="F9" i="10"/>
  <c r="E10" i="10"/>
  <c r="E11" i="10"/>
  <c r="E12" i="10"/>
  <c r="E13" i="10"/>
  <c r="E14" i="10"/>
  <c r="E15" i="10"/>
  <c r="E16" i="10"/>
  <c r="E17" i="10"/>
  <c r="E18" i="10"/>
  <c r="E19" i="10"/>
  <c r="E20" i="10"/>
  <c r="E9" i="10"/>
  <c r="K7" i="1"/>
  <c r="K8" i="1" s="1"/>
  <c r="K9" i="1" l="1"/>
  <c r="P9" i="1" s="1"/>
  <c r="D13" i="3"/>
  <c r="N8" i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F9" i="3"/>
  <c r="F10" i="3"/>
  <c r="F11" i="3"/>
  <c r="F12" i="3"/>
  <c r="F13" i="3"/>
  <c r="F14" i="3"/>
  <c r="F15" i="3"/>
  <c r="F16" i="3"/>
  <c r="F17" i="3"/>
  <c r="F18" i="3"/>
  <c r="F8" i="3"/>
  <c r="D8" i="3"/>
  <c r="D9" i="3"/>
  <c r="D10" i="3"/>
  <c r="D11" i="3"/>
  <c r="D12" i="3"/>
  <c r="D14" i="3"/>
  <c r="D15" i="3"/>
  <c r="D16" i="3"/>
  <c r="D17" i="3"/>
  <c r="D18" i="3"/>
  <c r="D7" i="3"/>
  <c r="E8" i="3" s="1"/>
  <c r="C8" i="3"/>
  <c r="C9" i="3"/>
  <c r="C10" i="3"/>
  <c r="C11" i="3"/>
  <c r="C12" i="3"/>
  <c r="C13" i="3"/>
  <c r="C14" i="3"/>
  <c r="C15" i="3"/>
  <c r="C16" i="3"/>
  <c r="C17" i="3"/>
  <c r="C18" i="3"/>
  <c r="C19" i="3"/>
  <c r="C7" i="3"/>
  <c r="K10" i="1" l="1"/>
  <c r="K11" i="1"/>
  <c r="P10" i="1"/>
  <c r="G8" i="3"/>
  <c r="H8" i="3" s="1"/>
  <c r="I8" i="3" s="1"/>
  <c r="E9" i="3"/>
  <c r="E10" i="3" s="1"/>
  <c r="E11" i="3" s="1"/>
  <c r="E12" i="3" s="1"/>
  <c r="E13" i="3" s="1"/>
  <c r="E14" i="3" s="1"/>
  <c r="E15" i="3" s="1"/>
  <c r="E16" i="3" s="1"/>
  <c r="E17" i="3" s="1"/>
  <c r="E18" i="3" s="1"/>
  <c r="G18" i="3" s="1"/>
  <c r="G9" i="10"/>
  <c r="K12" i="1" l="1"/>
  <c r="P11" i="1"/>
  <c r="G10" i="10"/>
  <c r="G11" i="10" s="1"/>
  <c r="G12" i="10" s="1"/>
  <c r="G13" i="10" s="1"/>
  <c r="G14" i="10" s="1"/>
  <c r="G15" i="10" s="1"/>
  <c r="G16" i="10" s="1"/>
  <c r="G17" i="10" s="1"/>
  <c r="G18" i="10" s="1"/>
  <c r="G19" i="10" s="1"/>
  <c r="G9" i="3"/>
  <c r="G17" i="3"/>
  <c r="G12" i="3"/>
  <c r="J8" i="3"/>
  <c r="G14" i="3"/>
  <c r="G10" i="3"/>
  <c r="G16" i="3"/>
  <c r="G11" i="3"/>
  <c r="G13" i="3"/>
  <c r="G15" i="3"/>
  <c r="K13" i="1" l="1"/>
  <c r="P12" i="1"/>
  <c r="L8" i="1"/>
  <c r="H10" i="10" s="1"/>
  <c r="AG16" i="10" s="1"/>
  <c r="M8" i="3"/>
  <c r="N9" i="3" s="1"/>
  <c r="H9" i="3" s="1"/>
  <c r="I9" i="3" s="1"/>
  <c r="J9" i="3" s="1"/>
  <c r="K14" i="1" l="1"/>
  <c r="P13" i="1"/>
  <c r="AO18" i="10"/>
  <c r="Q12" i="10"/>
  <c r="AS19" i="10"/>
  <c r="AC15" i="10"/>
  <c r="Y14" i="10"/>
  <c r="M11" i="10"/>
  <c r="U13" i="10"/>
  <c r="AW20" i="10"/>
  <c r="O10" i="3"/>
  <c r="P11" i="3" s="1"/>
  <c r="Q12" i="3" s="1"/>
  <c r="R13" i="3" s="1"/>
  <c r="S14" i="3" s="1"/>
  <c r="T15" i="3" s="1"/>
  <c r="U16" i="3" s="1"/>
  <c r="V17" i="3" s="1"/>
  <c r="W18" i="3" s="1"/>
  <c r="I10" i="10"/>
  <c r="AK17" i="10"/>
  <c r="L9" i="1"/>
  <c r="H11" i="10" s="1"/>
  <c r="M9" i="3"/>
  <c r="N10" i="3" s="1"/>
  <c r="H10" i="3" s="1"/>
  <c r="I10" i="3" s="1"/>
  <c r="L10" i="10" l="1"/>
  <c r="K15" i="1"/>
  <c r="P14" i="1"/>
  <c r="O11" i="3"/>
  <c r="P12" i="3" s="1"/>
  <c r="Q13" i="3" s="1"/>
  <c r="R14" i="3" s="1"/>
  <c r="S15" i="3" s="1"/>
  <c r="T16" i="3" s="1"/>
  <c r="U17" i="3" s="1"/>
  <c r="V18" i="3" s="1"/>
  <c r="U14" i="10"/>
  <c r="AG17" i="10"/>
  <c r="I11" i="10"/>
  <c r="AO19" i="10"/>
  <c r="Q13" i="10"/>
  <c r="Y15" i="10"/>
  <c r="AC16" i="10"/>
  <c r="AK18" i="10"/>
  <c r="AS20" i="10"/>
  <c r="M12" i="10"/>
  <c r="J10" i="3"/>
  <c r="L11" i="10" l="1"/>
  <c r="K16" i="1"/>
  <c r="P15" i="1"/>
  <c r="L10" i="1"/>
  <c r="H12" i="10" s="1"/>
  <c r="M10" i="3"/>
  <c r="N11" i="3" s="1"/>
  <c r="H11" i="3" s="1"/>
  <c r="I11" i="3" s="1"/>
  <c r="AG18" i="10" l="1"/>
  <c r="N11" i="10"/>
  <c r="P11" i="10" s="1"/>
  <c r="K17" i="1"/>
  <c r="P16" i="1"/>
  <c r="O12" i="3"/>
  <c r="P13" i="3" s="1"/>
  <c r="Q14" i="3" s="1"/>
  <c r="R15" i="3" s="1"/>
  <c r="S16" i="3" s="1"/>
  <c r="T17" i="3" s="1"/>
  <c r="U18" i="3" s="1"/>
  <c r="U15" i="10"/>
  <c r="M13" i="10"/>
  <c r="AO20" i="10"/>
  <c r="Q14" i="10"/>
  <c r="I12" i="10"/>
  <c r="AC17" i="10"/>
  <c r="AK19" i="10"/>
  <c r="Y16" i="10"/>
  <c r="J11" i="3"/>
  <c r="L12" i="10" l="1"/>
  <c r="K18" i="1"/>
  <c r="P18" i="1" s="1"/>
  <c r="P17" i="1"/>
  <c r="L11" i="1"/>
  <c r="H13" i="10" s="1"/>
  <c r="M11" i="3"/>
  <c r="N12" i="3" s="1"/>
  <c r="H12" i="3" s="1"/>
  <c r="S18" i="1" l="1"/>
  <c r="P20" i="1"/>
  <c r="S20" i="1" s="1"/>
  <c r="N12" i="10"/>
  <c r="R12" i="10" s="1"/>
  <c r="T12" i="10" s="1"/>
  <c r="I13" i="10"/>
  <c r="M14" i="10"/>
  <c r="AC18" i="10"/>
  <c r="Q15" i="10"/>
  <c r="Y17" i="10"/>
  <c r="U16" i="10"/>
  <c r="O13" i="3"/>
  <c r="P14" i="3" s="1"/>
  <c r="Q15" i="3" s="1"/>
  <c r="R16" i="3" s="1"/>
  <c r="S17" i="3" s="1"/>
  <c r="T18" i="3" s="1"/>
  <c r="I12" i="3"/>
  <c r="AG19" i="10"/>
  <c r="AK20" i="10"/>
  <c r="P12" i="10" l="1"/>
  <c r="N13" i="10"/>
  <c r="R13" i="10" s="1"/>
  <c r="T13" i="10" s="1"/>
  <c r="L13" i="10"/>
  <c r="J12" i="3"/>
  <c r="V13" i="10" l="1"/>
  <c r="X13" i="10" s="1"/>
  <c r="P13" i="10"/>
  <c r="L12" i="1"/>
  <c r="H14" i="10" s="1"/>
  <c r="M12" i="3"/>
  <c r="N13" i="3" s="1"/>
  <c r="I14" i="10" l="1"/>
  <c r="L14" i="10" s="1"/>
  <c r="Q16" i="10"/>
  <c r="Y18" i="10"/>
  <c r="U17" i="10"/>
  <c r="AC19" i="10"/>
  <c r="AG20" i="10"/>
  <c r="M15" i="10"/>
  <c r="H13" i="3"/>
  <c r="I13" i="3" s="1"/>
  <c r="J13" i="3" s="1"/>
  <c r="O14" i="3"/>
  <c r="P15" i="3" s="1"/>
  <c r="Q16" i="3" s="1"/>
  <c r="R17" i="3" s="1"/>
  <c r="S18" i="3" s="1"/>
  <c r="N14" i="10" l="1"/>
  <c r="P14" i="10" s="1"/>
  <c r="M13" i="3"/>
  <c r="N14" i="3" s="1"/>
  <c r="L13" i="1"/>
  <c r="H15" i="10" s="1"/>
  <c r="R14" i="10" l="1"/>
  <c r="T14" i="10" s="1"/>
  <c r="M16" i="10"/>
  <c r="Y19" i="10"/>
  <c r="AC20" i="10"/>
  <c r="I15" i="10"/>
  <c r="Q17" i="10"/>
  <c r="U18" i="10"/>
  <c r="H14" i="3"/>
  <c r="I14" i="3" s="1"/>
  <c r="J14" i="3" s="1"/>
  <c r="O15" i="3"/>
  <c r="P16" i="3" s="1"/>
  <c r="Q17" i="3" s="1"/>
  <c r="R18" i="3" s="1"/>
  <c r="S9" i="1"/>
  <c r="S10" i="1"/>
  <c r="V14" i="10" l="1"/>
  <c r="X14" i="10" s="1"/>
  <c r="L15" i="10"/>
  <c r="N15" i="10"/>
  <c r="R15" i="10" s="1"/>
  <c r="L14" i="1"/>
  <c r="H16" i="10" s="1"/>
  <c r="M14" i="3"/>
  <c r="N15" i="3" s="1"/>
  <c r="Z14" i="10" l="1"/>
  <c r="AB14" i="10" s="1"/>
  <c r="P15" i="10"/>
  <c r="H15" i="3"/>
  <c r="I15" i="3" s="1"/>
  <c r="J15" i="3" s="1"/>
  <c r="O16" i="3"/>
  <c r="P17" i="3" s="1"/>
  <c r="Q18" i="3" s="1"/>
  <c r="U19" i="10"/>
  <c r="I16" i="10"/>
  <c r="M17" i="10"/>
  <c r="Q18" i="10"/>
  <c r="Y20" i="10"/>
  <c r="S11" i="1"/>
  <c r="V15" i="10" l="1"/>
  <c r="T15" i="10"/>
  <c r="N16" i="10"/>
  <c r="L16" i="10"/>
  <c r="L15" i="1"/>
  <c r="H17" i="10" s="1"/>
  <c r="M15" i="3"/>
  <c r="N16" i="3" s="1"/>
  <c r="S12" i="1"/>
  <c r="Z15" i="10" l="1"/>
  <c r="AD15" i="10" s="1"/>
  <c r="AF15" i="10" s="1"/>
  <c r="X15" i="10"/>
  <c r="O17" i="3"/>
  <c r="P18" i="3" s="1"/>
  <c r="H16" i="3"/>
  <c r="I16" i="3" s="1"/>
  <c r="J16" i="3" s="1"/>
  <c r="R16" i="10"/>
  <c r="P16" i="10"/>
  <c r="U20" i="10"/>
  <c r="I17" i="10"/>
  <c r="Q19" i="10"/>
  <c r="M18" i="10"/>
  <c r="S13" i="1"/>
  <c r="AB15" i="10" l="1"/>
  <c r="M16" i="3"/>
  <c r="N17" i="3" s="1"/>
  <c r="H17" i="3" s="1"/>
  <c r="L16" i="1"/>
  <c r="H18" i="10" s="1"/>
  <c r="V16" i="10"/>
  <c r="T16" i="10"/>
  <c r="S14" i="1"/>
  <c r="Z16" i="10" l="1"/>
  <c r="X16" i="10"/>
  <c r="N17" i="10"/>
  <c r="L17" i="10"/>
  <c r="M19" i="10"/>
  <c r="I18" i="10"/>
  <c r="Q20" i="10"/>
  <c r="O18" i="3"/>
  <c r="I17" i="3"/>
  <c r="J17" i="3" s="1"/>
  <c r="L17" i="1" s="1"/>
  <c r="H19" i="10" s="1"/>
  <c r="S15" i="1"/>
  <c r="R17" i="10" l="1"/>
  <c r="P17" i="10"/>
  <c r="AD16" i="10"/>
  <c r="AB16" i="10"/>
  <c r="M17" i="3"/>
  <c r="N18" i="3" s="1"/>
  <c r="S16" i="1"/>
  <c r="L18" i="10" l="1"/>
  <c r="V17" i="10"/>
  <c r="T17" i="10"/>
  <c r="H18" i="3"/>
  <c r="I18" i="3" s="1"/>
  <c r="J18" i="3" s="1"/>
  <c r="AH16" i="10"/>
  <c r="AJ16" i="10" s="1"/>
  <c r="AF16" i="10"/>
  <c r="I19" i="10"/>
  <c r="M20" i="10"/>
  <c r="N18" i="10"/>
  <c r="S17" i="1"/>
  <c r="S7" i="1" s="1"/>
  <c r="P18" i="10" l="1"/>
  <c r="L19" i="10"/>
  <c r="R18" i="10"/>
  <c r="V18" i="10" s="1"/>
  <c r="X17" i="10"/>
  <c r="Z17" i="10"/>
  <c r="M18" i="3"/>
  <c r="L18" i="1"/>
  <c r="H20" i="10" s="1"/>
  <c r="N19" i="10" l="1"/>
  <c r="I20" i="10"/>
  <c r="T18" i="10"/>
  <c r="AD17" i="10"/>
  <c r="AB17" i="10"/>
  <c r="X18" i="10"/>
  <c r="Z18" i="10"/>
  <c r="R19" i="10" l="1"/>
  <c r="V19" i="10" s="1"/>
  <c r="X19" i="10" s="1"/>
  <c r="P19" i="10"/>
  <c r="AD18" i="10"/>
  <c r="AH18" i="10" s="1"/>
  <c r="AH17" i="10"/>
  <c r="AF17" i="10"/>
  <c r="AB18" i="10"/>
  <c r="T19" i="10" l="1"/>
  <c r="L20" i="10"/>
  <c r="N20" i="10"/>
  <c r="AL18" i="10"/>
  <c r="AF18" i="10"/>
  <c r="Z19" i="10"/>
  <c r="AL17" i="10"/>
  <c r="AN17" i="10" s="1"/>
  <c r="AJ17" i="10"/>
  <c r="R20" i="10" l="1"/>
  <c r="P20" i="10"/>
  <c r="AJ18" i="10"/>
  <c r="AD19" i="10" l="1"/>
  <c r="V20" i="10"/>
  <c r="T20" i="10"/>
  <c r="AB19" i="10"/>
  <c r="AP18" i="10"/>
  <c r="AR18" i="10" s="1"/>
  <c r="AN18" i="10"/>
  <c r="AH19" i="10" l="1"/>
  <c r="AJ19" i="10" s="1"/>
  <c r="Z20" i="10"/>
  <c r="X20" i="10"/>
  <c r="AF19" i="10"/>
  <c r="AD20" i="10" l="1"/>
  <c r="AF20" i="10" s="1"/>
  <c r="AB20" i="10"/>
  <c r="AL19" i="10"/>
  <c r="AH20" i="10" l="1"/>
  <c r="AL20" i="10" l="1"/>
  <c r="AP20" i="10" s="1"/>
  <c r="AJ20" i="10"/>
  <c r="AP19" i="10"/>
  <c r="AN19" i="10"/>
  <c r="AN20" i="10" l="1"/>
  <c r="AR19" i="10" l="1"/>
  <c r="AR20" i="10" s="1"/>
  <c r="AT19" i="10"/>
  <c r="AV19" i="10" s="1"/>
  <c r="AT20" i="10"/>
  <c r="AX20" i="10" l="1"/>
  <c r="AY20" i="10" l="1"/>
  <c r="AZ20" i="10" s="1"/>
  <c r="AV20" i="10"/>
</calcChain>
</file>

<file path=xl/comments1.xml><?xml version="1.0" encoding="utf-8"?>
<comments xmlns="http://schemas.openxmlformats.org/spreadsheetml/2006/main">
  <authors>
    <author>ania</author>
  </authors>
  <commentList>
    <comment ref="C6" authorId="0">
      <text>
        <r>
          <rPr>
            <sz val="9"/>
            <color indexed="81"/>
            <rFont val="Tahoma"/>
            <family val="2"/>
            <charset val="238"/>
          </rPr>
          <t xml:space="preserve">Daragh: For a user defined accrual period starting from a given date
</t>
        </r>
      </text>
    </comment>
    <comment ref="C15" authorId="0">
      <text>
        <r>
          <rPr>
            <sz val="9"/>
            <color indexed="81"/>
            <rFont val="Tahoma"/>
            <family val="2"/>
            <charset val="238"/>
          </rPr>
          <t xml:space="preserve">Daragh: This is used to test the VB implementation. Setting this to true we reproduce the path shown in the sheet MCTrial
</t>
        </r>
      </text>
    </comment>
  </commentList>
</comments>
</file>

<file path=xl/sharedStrings.xml><?xml version="1.0" encoding="utf-8"?>
<sst xmlns="http://schemas.openxmlformats.org/spreadsheetml/2006/main" count="147" uniqueCount="85">
  <si>
    <t>US holiday Schedule</t>
  </si>
  <si>
    <t>Accrual Frequency</t>
  </si>
  <si>
    <t>Day-Count (Act/360)</t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</si>
  <si>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0</t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</si>
  <si>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1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</si>
  <si>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2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</si>
  <si>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3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</si>
  <si>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4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</si>
  <si>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5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</si>
  <si>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6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</si>
  <si>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7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</si>
  <si>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8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</si>
  <si>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9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</si>
  <si>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10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</si>
  <si>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11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</si>
  <si>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12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</si>
  <si>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1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</si>
  <si>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2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</si>
  <si>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3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</si>
  <si>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4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</si>
  <si>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5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</si>
  <si>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6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</si>
  <si>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7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</si>
  <si>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8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</si>
  <si>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9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</si>
  <si>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10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</si>
  <si>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11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</si>
  <si>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  <charset val="238"/>
      </rPr>
      <t>τ</t>
    </r>
    <r>
      <rPr>
        <vertAlign val="subscript"/>
        <sz val="12"/>
        <color theme="1"/>
        <rFont val="Times New Roman"/>
        <family val="1"/>
        <charset val="238"/>
      </rPr>
      <t>12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</si>
  <si>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1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</si>
  <si>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2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</si>
  <si>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3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</si>
  <si>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4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</si>
  <si>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5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</si>
  <si>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6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</si>
  <si>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7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</si>
  <si>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8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</si>
  <si>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9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</si>
  <si>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10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</si>
  <si>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11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</si>
  <si>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12</t>
    </r>
    <r>
      <rPr>
        <sz val="11"/>
        <color theme="1"/>
        <rFont val="Calibri"/>
        <family val="2"/>
        <scheme val="minor"/>
      </rPr>
      <t/>
    </r>
  </si>
  <si>
    <t>Accrual</t>
  </si>
  <si>
    <r>
      <t>σ</t>
    </r>
    <r>
      <rPr>
        <vertAlign val="subscript"/>
        <sz val="11"/>
        <color theme="1"/>
        <rFont val="Calibri"/>
        <family val="2"/>
        <charset val="238"/>
      </rPr>
      <t>i</t>
    </r>
    <r>
      <rPr>
        <sz val="11"/>
        <color theme="1"/>
        <rFont val="Calibri"/>
        <family val="2"/>
        <charset val="238"/>
      </rPr>
      <t>(t)</t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</si>
  <si>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0</t>
    </r>
    <r>
      <rPr>
        <sz val="12"/>
        <color theme="1"/>
        <rFont val="Times New Roman"/>
        <family val="1"/>
        <charset val="238"/>
      </rPr>
      <t>)</t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</si>
  <si>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1</t>
    </r>
    <r>
      <rPr>
        <sz val="12"/>
        <color theme="1"/>
        <rFont val="Times New Roman"/>
        <family val="1"/>
        <charset val="238"/>
      </rPr>
      <t>)</t>
    </r>
  </si>
  <si>
    <t>volatility</t>
  </si>
  <si>
    <r>
      <t>γ</t>
    </r>
    <r>
      <rPr>
        <vertAlign val="subscript"/>
        <sz val="14"/>
        <color theme="1"/>
        <rFont val="Times New Roman"/>
        <family val="1"/>
        <charset val="238"/>
      </rPr>
      <t>k</t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</si>
  <si>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2</t>
    </r>
    <r>
      <rPr>
        <sz val="12"/>
        <color theme="1"/>
        <rFont val="Times New Roman"/>
        <family val="1"/>
        <charset val="238"/>
      </rPr>
      <t>)</t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</si>
  <si>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3</t>
    </r>
    <r>
      <rPr>
        <sz val="12"/>
        <color theme="1"/>
        <rFont val="Times New Roman"/>
        <family val="1"/>
        <charset val="238"/>
      </rPr>
      <t>)</t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</si>
  <si>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4</t>
    </r>
    <r>
      <rPr>
        <sz val="12"/>
        <color theme="1"/>
        <rFont val="Times New Roman"/>
        <family val="1"/>
        <charset val="238"/>
      </rPr>
      <t>)</t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</si>
  <si>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5</t>
    </r>
    <r>
      <rPr>
        <sz val="12"/>
        <color theme="1"/>
        <rFont val="Times New Roman"/>
        <family val="1"/>
        <charset val="238"/>
      </rPr>
      <t>)</t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</si>
  <si>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6</t>
    </r>
    <r>
      <rPr>
        <sz val="12"/>
        <color theme="1"/>
        <rFont val="Times New Roman"/>
        <family val="1"/>
        <charset val="238"/>
      </rPr>
      <t>)</t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</si>
  <si>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7</t>
    </r>
    <r>
      <rPr>
        <sz val="12"/>
        <color theme="1"/>
        <rFont val="Times New Roman"/>
        <family val="1"/>
        <charset val="238"/>
      </rPr>
      <t>)</t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</si>
  <si>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8</t>
    </r>
    <r>
      <rPr>
        <sz val="12"/>
        <color theme="1"/>
        <rFont val="Times New Roman"/>
        <family val="1"/>
        <charset val="238"/>
      </rPr>
      <t>)</t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</si>
  <si>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9</t>
    </r>
    <r>
      <rPr>
        <sz val="12"/>
        <color theme="1"/>
        <rFont val="Times New Roman"/>
        <family val="1"/>
        <charset val="238"/>
      </rPr>
      <t>)</t>
    </r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</si>
  <si>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10</t>
    </r>
    <r>
      <rPr>
        <sz val="12"/>
        <color theme="1"/>
        <rFont val="Times New Roman"/>
        <family val="1"/>
        <charset val="238"/>
      </rPr>
      <t>)</t>
    </r>
  </si>
  <si>
    <t>Start-Date</t>
  </si>
  <si>
    <t xml:space="preserve">Number of MC Trials </t>
  </si>
  <si>
    <t>Number of Reset Dates</t>
  </si>
  <si>
    <t xml:space="preserve">Test Mode </t>
  </si>
  <si>
    <t>Strike</t>
  </si>
  <si>
    <r>
      <t>B(T</t>
    </r>
    <r>
      <rPr>
        <vertAlign val="subscript"/>
        <sz val="12"/>
        <color theme="1"/>
        <rFont val="Times New Roman"/>
        <family val="1"/>
        <charset val="238"/>
      </rPr>
      <t>0,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</si>
  <si>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t xml:space="preserve">Time -Taken </t>
  </si>
  <si>
    <r>
      <t>implied-vol: σ</t>
    </r>
    <r>
      <rPr>
        <vertAlign val="subscript"/>
        <sz val="11"/>
        <color theme="1"/>
        <rFont val="Calibri"/>
        <family val="2"/>
        <charset val="238"/>
      </rPr>
      <t>i</t>
    </r>
  </si>
  <si>
    <t>Notional</t>
  </si>
  <si>
    <t>Difference</t>
  </si>
  <si>
    <t>Start Date</t>
  </si>
  <si>
    <r>
      <t>F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(T</t>
    </r>
    <r>
      <rPr>
        <vertAlign val="subscript"/>
        <sz val="12"/>
        <color theme="1"/>
        <rFont val="Times New Roman"/>
        <family val="1"/>
        <charset val="238"/>
      </rPr>
      <t>11</t>
    </r>
    <r>
      <rPr>
        <sz val="12"/>
        <color theme="1"/>
        <rFont val="Times New Roman"/>
        <family val="1"/>
        <charset val="238"/>
      </rPr>
      <t>)</t>
    </r>
  </si>
  <si>
    <r>
      <t>B(T</t>
    </r>
    <r>
      <rPr>
        <vertAlign val="subscript"/>
        <sz val="12"/>
        <color theme="1"/>
        <rFont val="Times New Roman"/>
        <family val="1"/>
        <charset val="238"/>
      </rPr>
      <t>11,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</si>
  <si>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t>Time To Expiry</t>
  </si>
  <si>
    <t xml:space="preserve">Black-caplet </t>
  </si>
  <si>
    <t>MC-Caplet</t>
  </si>
  <si>
    <t>Forward</t>
  </si>
  <si>
    <t>Implied-Vol</t>
  </si>
  <si>
    <t>pc-vol</t>
  </si>
  <si>
    <r>
      <t>B(T</t>
    </r>
    <r>
      <rPr>
        <vertAlign val="subscript"/>
        <sz val="12"/>
        <color theme="1"/>
        <rFont val="Times New Roman"/>
        <family val="1"/>
        <charset val="238"/>
      </rPr>
      <t>1,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</si>
  <si>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r>
      <t>B(T</t>
    </r>
    <r>
      <rPr>
        <vertAlign val="subscript"/>
        <sz val="12"/>
        <color theme="1"/>
        <rFont val="Times New Roman"/>
        <family val="1"/>
        <charset val="238"/>
      </rPr>
      <t>2,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</si>
  <si>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r>
      <t>B(T</t>
    </r>
    <r>
      <rPr>
        <vertAlign val="subscript"/>
        <sz val="12"/>
        <color theme="1"/>
        <rFont val="Times New Roman"/>
        <family val="1"/>
        <charset val="238"/>
      </rPr>
      <t>3,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</si>
  <si>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r>
      <t>B(T</t>
    </r>
    <r>
      <rPr>
        <vertAlign val="subscript"/>
        <sz val="12"/>
        <color theme="1"/>
        <rFont val="Times New Roman"/>
        <family val="1"/>
        <charset val="238"/>
      </rPr>
      <t>4,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</si>
  <si>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r>
      <t>B(T</t>
    </r>
    <r>
      <rPr>
        <vertAlign val="subscript"/>
        <sz val="12"/>
        <color theme="1"/>
        <rFont val="Times New Roman"/>
        <family val="1"/>
        <charset val="238"/>
      </rPr>
      <t>5,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</si>
  <si>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r>
      <t>B(T</t>
    </r>
    <r>
      <rPr>
        <vertAlign val="subscript"/>
        <sz val="12"/>
        <color theme="1"/>
        <rFont val="Times New Roman"/>
        <family val="1"/>
        <charset val="238"/>
      </rPr>
      <t>6,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</si>
  <si>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r>
      <t>B(T</t>
    </r>
    <r>
      <rPr>
        <vertAlign val="subscript"/>
        <sz val="12"/>
        <color theme="1"/>
        <rFont val="Times New Roman"/>
        <family val="1"/>
        <charset val="238"/>
      </rPr>
      <t>7,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</si>
  <si>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r>
      <t>B(T</t>
    </r>
    <r>
      <rPr>
        <vertAlign val="subscript"/>
        <sz val="12"/>
        <color theme="1"/>
        <rFont val="Times New Roman"/>
        <family val="1"/>
        <charset val="238"/>
      </rPr>
      <t>8,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</si>
  <si>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r>
      <t>B(T</t>
    </r>
    <r>
      <rPr>
        <vertAlign val="subscript"/>
        <sz val="12"/>
        <color theme="1"/>
        <rFont val="Times New Roman"/>
        <family val="1"/>
        <charset val="238"/>
      </rPr>
      <t>9,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</si>
  <si>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r>
      <t>B(T</t>
    </r>
    <r>
      <rPr>
        <vertAlign val="subscript"/>
        <sz val="12"/>
        <color theme="1"/>
        <rFont val="Times New Roman"/>
        <family val="1"/>
        <charset val="238"/>
      </rPr>
      <t>10,</t>
    </r>
    <r>
      <rPr>
        <sz val="12"/>
        <color theme="1"/>
        <rFont val="Times New Roman"/>
        <family val="1"/>
        <charset val="238"/>
      </rPr>
      <t>T</t>
    </r>
    <r>
      <rPr>
        <vertAlign val="subscript"/>
        <sz val="12"/>
        <color theme="1"/>
        <rFont val="Times New Roman"/>
        <family val="1"/>
        <charset val="238"/>
      </rPr>
      <t>i</t>
    </r>
    <r>
      <rPr>
        <sz val="12"/>
        <color theme="1"/>
        <rFont val="Times New Roman"/>
        <family val="1"/>
        <charset val="238"/>
      </rPr>
      <t>)</t>
    </r>
  </si>
  <si>
    <t>expired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</si>
</sst>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dd\-mmm\-yyyy"/>
    <numFmt numFmtId="165" formatCode="0.000%"/>
    <numFmt numFmtId="166" formatCode="0.000"/>
    <numFmt numFmtId="167" formatCode="0.0000000000"/>
    <numFmt numFmtId="168" formatCode="0.0000000"/>
    <numFmt numFmtId="169" formatCode="0.000000000"/>
    <numFmt numFmtId="170" formatCode="0.00000%"/>
    <numFmt numFmtId="171" formatCode="0.000000%"/>
    <numFmt numFmtId="172" formatCode="0.0000000%"/>
    <numFmt numFmtId="173" formatCode="0.0000%"/>
    <numFmt numFmtId="174" formatCode="0.000000000%"/>
    <numFmt numFmtId="175" formatCode="0.00000000000%"/>
    <numFmt numFmtId="176" formatCode="0.00000000000"/>
    <numFmt numFmtId="177" formatCode="0.0000000000000"/>
    <numFmt numFmtId="178" formatCode="0.000000"/>
    <numFmt numFmtId="179" formatCode="0.0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2"/>
      <color theme="1"/>
      <name val="Times New Roman"/>
      <family val="1"/>
      <charset val="238"/>
    </font>
    <font>
      <sz val="12"/>
      <color theme="1"/>
      <name val="Times New Roman"/>
      <family val="1"/>
      <charset val="238"/>
    </font>
    <font>
      <sz val="11"/>
      <color theme="1"/>
      <name val="Times New Roman"/>
      <family val="1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vertAlign val="subscript"/>
      <sz val="14"/>
      <color theme="1"/>
      <name val="Times New Roman"/>
      <family val="1"/>
      <charset val="238"/>
    </font>
    <font>
      <i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9"/>
      <color indexed="81"/>
      <name val="Tahom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9">
    <xf numFmtId="0" fontId="0" fillId="0" borderId="0" xfId="0"/>
    <xf numFmtId="164" fontId="0" fillId="0" borderId="0" xfId="0" applyNumberFormat="1"/>
    <xf numFmtId="165" fontId="0" fillId="0" borderId="0" xfId="1" applyNumberFormat="1" applyFont="1"/>
    <xf numFmtId="0" fontId="3" fillId="0" borderId="0" xfId="0" applyFont="1"/>
    <xf numFmtId="166" fontId="0" fillId="0" borderId="0" xfId="0" applyNumberFormat="1"/>
    <xf numFmtId="167" fontId="0" fillId="0" borderId="0" xfId="0" applyNumberFormat="1"/>
    <xf numFmtId="0" fontId="5" fillId="0" borderId="0" xfId="0" applyFont="1"/>
    <xf numFmtId="168" fontId="0" fillId="0" borderId="0" xfId="0" applyNumberFormat="1"/>
    <xf numFmtId="169" fontId="0" fillId="0" borderId="0" xfId="0" applyNumberFormat="1"/>
    <xf numFmtId="170" fontId="0" fillId="0" borderId="0" xfId="1" applyNumberFormat="1" applyFont="1"/>
    <xf numFmtId="1" fontId="0" fillId="0" borderId="0" xfId="0" applyNumberFormat="1"/>
    <xf numFmtId="171" fontId="0" fillId="0" borderId="0" xfId="1" applyNumberFormat="1" applyFont="1"/>
    <xf numFmtId="0" fontId="8" fillId="0" borderId="0" xfId="0" applyFont="1"/>
    <xf numFmtId="172" fontId="0" fillId="0" borderId="0" xfId="1" applyNumberFormat="1" applyFont="1"/>
    <xf numFmtId="10" fontId="0" fillId="2" borderId="0" xfId="1" applyNumberFormat="1" applyFont="1" applyFill="1"/>
    <xf numFmtId="173" fontId="0" fillId="0" borderId="0" xfId="1" applyNumberFormat="1" applyFont="1"/>
    <xf numFmtId="10" fontId="0" fillId="0" borderId="0" xfId="0" applyNumberFormat="1"/>
    <xf numFmtId="165" fontId="0" fillId="0" borderId="0" xfId="0" applyNumberFormat="1"/>
    <xf numFmtId="173" fontId="0" fillId="0" borderId="0" xfId="0" applyNumberFormat="1"/>
    <xf numFmtId="175" fontId="0" fillId="0" borderId="0" xfId="0" applyNumberFormat="1"/>
    <xf numFmtId="174" fontId="0" fillId="0" borderId="0" xfId="1" applyNumberFormat="1" applyFont="1"/>
    <xf numFmtId="176" fontId="0" fillId="0" borderId="0" xfId="0" applyNumberFormat="1"/>
    <xf numFmtId="177" fontId="0" fillId="0" borderId="0" xfId="0" applyNumberFormat="1"/>
    <xf numFmtId="166" fontId="0" fillId="0" borderId="0" xfId="0" applyNumberFormat="1" applyBorder="1"/>
    <xf numFmtId="0" fontId="0" fillId="0" borderId="0" xfId="0" applyBorder="1"/>
    <xf numFmtId="0" fontId="6" fillId="0" borderId="5" xfId="0" applyFont="1" applyBorder="1"/>
    <xf numFmtId="166" fontId="0" fillId="0" borderId="6" xfId="0" applyNumberFormat="1" applyBorder="1"/>
    <xf numFmtId="0" fontId="6" fillId="0" borderId="7" xfId="0" applyFont="1" applyBorder="1"/>
    <xf numFmtId="166" fontId="0" fillId="0" borderId="8" xfId="0" applyNumberFormat="1" applyBorder="1"/>
    <xf numFmtId="171" fontId="0" fillId="0" borderId="0" xfId="1" applyNumberFormat="1" applyFont="1" applyBorder="1"/>
    <xf numFmtId="165" fontId="0" fillId="0" borderId="0" xfId="1" applyNumberFormat="1" applyFont="1" applyBorder="1"/>
    <xf numFmtId="49" fontId="4" fillId="0" borderId="5" xfId="0" applyNumberFormat="1" applyFont="1" applyBorder="1"/>
    <xf numFmtId="49" fontId="4" fillId="0" borderId="7" xfId="0" applyNumberFormat="1" applyFont="1" applyBorder="1"/>
    <xf numFmtId="168" fontId="0" fillId="0" borderId="3" xfId="0" applyNumberFormat="1" applyBorder="1"/>
    <xf numFmtId="0" fontId="3" fillId="0" borderId="1" xfId="0" applyFont="1" applyBorder="1"/>
    <xf numFmtId="2" fontId="0" fillId="0" borderId="0" xfId="0" applyNumberFormat="1"/>
    <xf numFmtId="10" fontId="0" fillId="0" borderId="0" xfId="1" applyNumberFormat="1" applyFont="1"/>
    <xf numFmtId="0" fontId="0" fillId="0" borderId="5" xfId="0" applyBorder="1"/>
    <xf numFmtId="49" fontId="4" fillId="0" borderId="0" xfId="0" applyNumberFormat="1" applyFont="1" applyBorder="1"/>
    <xf numFmtId="164" fontId="0" fillId="0" borderId="0" xfId="0" applyNumberFormat="1" applyBorder="1"/>
    <xf numFmtId="173" fontId="0" fillId="0" borderId="0" xfId="1" applyNumberFormat="1" applyFont="1" applyBorder="1"/>
    <xf numFmtId="168" fontId="0" fillId="0" borderId="0" xfId="0" applyNumberFormat="1" applyBorder="1"/>
    <xf numFmtId="173" fontId="0" fillId="0" borderId="13" xfId="1" applyNumberFormat="1" applyFont="1" applyBorder="1"/>
    <xf numFmtId="168" fontId="0" fillId="0" borderId="2" xfId="0" applyNumberFormat="1" applyBorder="1"/>
    <xf numFmtId="49" fontId="4" fillId="0" borderId="9" xfId="0" applyNumberFormat="1" applyFont="1" applyBorder="1"/>
    <xf numFmtId="164" fontId="0" fillId="0" borderId="10" xfId="0" applyNumberFormat="1" applyBorder="1"/>
    <xf numFmtId="0" fontId="6" fillId="0" borderId="9" xfId="0" applyFont="1" applyBorder="1"/>
    <xf numFmtId="166" fontId="0" fillId="0" borderId="10" xfId="0" applyNumberFormat="1" applyBorder="1"/>
    <xf numFmtId="173" fontId="0" fillId="0" borderId="14" xfId="1" applyNumberFormat="1" applyFont="1" applyBorder="1"/>
    <xf numFmtId="168" fontId="0" fillId="0" borderId="4" xfId="0" applyNumberFormat="1" applyBorder="1"/>
    <xf numFmtId="0" fontId="0" fillId="0" borderId="2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5" fillId="0" borderId="1" xfId="0" applyFont="1" applyBorder="1"/>
    <xf numFmtId="0" fontId="5" fillId="0" borderId="0" xfId="0" applyFont="1" applyBorder="1"/>
    <xf numFmtId="164" fontId="0" fillId="2" borderId="6" xfId="0" applyNumberFormat="1" applyFill="1" applyBorder="1"/>
    <xf numFmtId="164" fontId="0" fillId="2" borderId="8" xfId="0" applyNumberFormat="1" applyFill="1" applyBorder="1"/>
    <xf numFmtId="164" fontId="0" fillId="2" borderId="10" xfId="0" applyNumberFormat="1" applyFill="1" applyBorder="1"/>
    <xf numFmtId="173" fontId="10" fillId="0" borderId="2" xfId="1" applyNumberFormat="1" applyFont="1" applyBorder="1"/>
    <xf numFmtId="173" fontId="10" fillId="0" borderId="3" xfId="1" applyNumberFormat="1" applyFont="1" applyBorder="1"/>
    <xf numFmtId="173" fontId="10" fillId="0" borderId="4" xfId="1" applyNumberFormat="1" applyFont="1" applyBorder="1"/>
    <xf numFmtId="49" fontId="4" fillId="0" borderId="11" xfId="0" applyNumberFormat="1" applyFont="1" applyBorder="1"/>
    <xf numFmtId="49" fontId="4" fillId="0" borderId="1" xfId="0" applyNumberFormat="1" applyFont="1" applyBorder="1"/>
    <xf numFmtId="166" fontId="0" fillId="0" borderId="13" xfId="0" applyNumberFormat="1" applyBorder="1"/>
    <xf numFmtId="10" fontId="11" fillId="0" borderId="0" xfId="0" applyNumberFormat="1" applyFont="1" applyBorder="1"/>
    <xf numFmtId="10" fontId="0" fillId="0" borderId="0" xfId="0" applyNumberFormat="1" applyBorder="1"/>
    <xf numFmtId="10" fontId="0" fillId="0" borderId="8" xfId="0" applyNumberFormat="1" applyBorder="1"/>
    <xf numFmtId="10" fontId="0" fillId="0" borderId="14" xfId="0" applyNumberFormat="1" applyBorder="1"/>
    <xf numFmtId="10" fontId="0" fillId="0" borderId="10" xfId="0" applyNumberFormat="1" applyBorder="1"/>
    <xf numFmtId="173" fontId="0" fillId="2" borderId="0" xfId="1" applyNumberFormat="1" applyFont="1" applyFill="1"/>
    <xf numFmtId="178" fontId="0" fillId="0" borderId="0" xfId="0" applyNumberFormat="1"/>
    <xf numFmtId="179" fontId="0" fillId="0" borderId="0" xfId="0" applyNumberFormat="1"/>
    <xf numFmtId="0" fontId="3" fillId="0" borderId="12" xfId="0" applyFont="1" applyBorder="1"/>
    <xf numFmtId="173" fontId="0" fillId="2" borderId="6" xfId="1" applyNumberFormat="1" applyFont="1" applyFill="1" applyBorder="1"/>
    <xf numFmtId="173" fontId="0" fillId="2" borderId="8" xfId="1" applyNumberFormat="1" applyFont="1" applyFill="1" applyBorder="1"/>
    <xf numFmtId="173" fontId="0" fillId="2" borderId="10" xfId="1" applyNumberFormat="1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166" fontId="0" fillId="0" borderId="2" xfId="0" applyNumberFormat="1" applyBorder="1"/>
    <xf numFmtId="166" fontId="0" fillId="0" borderId="3" xfId="0" applyNumberFormat="1" applyBorder="1"/>
    <xf numFmtId="166" fontId="0" fillId="0" borderId="4" xfId="0" applyNumberFormat="1" applyBorder="1"/>
    <xf numFmtId="178" fontId="0" fillId="0" borderId="0" xfId="1" applyNumberFormat="1" applyFont="1"/>
    <xf numFmtId="0" fontId="0" fillId="0" borderId="6" xfId="0" applyBorder="1"/>
    <xf numFmtId="2" fontId="0" fillId="2" borderId="11" xfId="0" applyNumberFormat="1" applyFill="1" applyBorder="1"/>
    <xf numFmtId="10" fontId="0" fillId="2" borderId="1" xfId="1" applyNumberFormat="1" applyFont="1" applyFill="1" applyBorder="1"/>
    <xf numFmtId="2" fontId="0" fillId="2" borderId="1" xfId="0" applyNumberFormat="1" applyFill="1" applyBorder="1"/>
    <xf numFmtId="15" fontId="0" fillId="0" borderId="6" xfId="0" applyNumberFormat="1" applyBorder="1"/>
    <xf numFmtId="10" fontId="0" fillId="0" borderId="8" xfId="1" applyNumberFormat="1" applyFont="1" applyBorder="1"/>
    <xf numFmtId="0" fontId="0" fillId="0" borderId="8" xfId="0" applyBorder="1"/>
    <xf numFmtId="0" fontId="0" fillId="0" borderId="10" xfId="0" applyBorder="1"/>
    <xf numFmtId="0" fontId="0" fillId="3" borderId="5" xfId="0" applyFill="1" applyBorder="1"/>
    <xf numFmtId="0" fontId="0" fillId="3" borderId="7" xfId="0" applyFill="1" applyBorder="1"/>
    <xf numFmtId="0" fontId="0" fillId="3" borderId="9" xfId="0" applyFill="1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Data!$C$4:$C$15</c:f>
              <c:numCache>
                <c:formatCode>0.00%</c:formatCode>
                <c:ptCount val="12"/>
                <c:pt idx="0">
                  <c:v>0.02</c:v>
                </c:pt>
                <c:pt idx="1">
                  <c:v>2.0506302410488578E-2</c:v>
                </c:pt>
                <c:pt idx="2">
                  <c:v>2.1025421927520483E-2</c:v>
                </c:pt>
                <c:pt idx="3">
                  <c:v>2.155768301769263E-2</c:v>
                </c:pt>
                <c:pt idx="4">
                  <c:v>2.2103418361512955E-2</c:v>
                </c:pt>
                <c:pt idx="5">
                  <c:v>2.2662969061336528E-2</c:v>
                </c:pt>
                <c:pt idx="6">
                  <c:v>2.3236684854565662E-2</c:v>
                </c:pt>
                <c:pt idx="7">
                  <c:v>2.3824924332247161E-2</c:v>
                </c:pt>
                <c:pt idx="8">
                  <c:v>2.4428055163203399E-2</c:v>
                </c:pt>
                <c:pt idx="9">
                  <c:v>2.504645432383729E-2</c:v>
                </c:pt>
                <c:pt idx="10">
                  <c:v>2.5680508333754827E-2</c:v>
                </c:pt>
                <c:pt idx="11">
                  <c:v>2.6330613497352433E-2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605632"/>
        <c:axId val="109607168"/>
      </c:lineChart>
      <c:catAx>
        <c:axId val="10960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109607168"/>
        <c:crosses val="autoZero"/>
        <c:auto val="1"/>
        <c:lblAlgn val="ctr"/>
        <c:lblOffset val="100"/>
        <c:noMultiLvlLbl val="0"/>
      </c:catAx>
      <c:valAx>
        <c:axId val="10960716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096056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Data!$D$4:$D$15</c:f>
              <c:numCache>
                <c:formatCode>0.00%</c:formatCode>
                <c:ptCount val="12"/>
                <c:pt idx="0">
                  <c:v>0.4</c:v>
                </c:pt>
                <c:pt idx="1">
                  <c:v>0.39012396481133305</c:v>
                </c:pt>
                <c:pt idx="2">
                  <c:v>0.38049176980028565</c:v>
                </c:pt>
                <c:pt idx="3">
                  <c:v>0.37109739453142115</c:v>
                </c:pt>
                <c:pt idx="4">
                  <c:v>0.36193496721438384</c:v>
                </c:pt>
                <c:pt idx="5">
                  <c:v>0.3529987610338382</c:v>
                </c:pt>
                <c:pt idx="6">
                  <c:v>0.34428319057002316</c:v>
                </c:pt>
                <c:pt idx="7">
                  <c:v>0.33578280830768298</c:v>
                </c:pt>
                <c:pt idx="8">
                  <c:v>0.32749230123119277</c:v>
                </c:pt>
                <c:pt idx="9">
                  <c:v>0.31940648750375084</c:v>
                </c:pt>
                <c:pt idx="10">
                  <c:v>0.311520313228562</c:v>
                </c:pt>
                <c:pt idx="11">
                  <c:v>0.30382884928998743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639552"/>
        <c:axId val="109641088"/>
      </c:lineChart>
      <c:catAx>
        <c:axId val="1096395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9641088"/>
        <c:crosses val="autoZero"/>
        <c:auto val="1"/>
        <c:lblAlgn val="ctr"/>
        <c:lblOffset val="100"/>
        <c:noMultiLvlLbl val="0"/>
      </c:catAx>
      <c:valAx>
        <c:axId val="1096410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096395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533400</xdr:colOff>
          <xdr:row>3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</a:rPr>
                <a:t>MC LMM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</xdr:colOff>
      <xdr:row>2</xdr:row>
      <xdr:rowOff>0</xdr:rowOff>
    </xdr:from>
    <xdr:to>
      <xdr:col>14</xdr:col>
      <xdr:colOff>309562</xdr:colOff>
      <xdr:row>16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80962</xdr:colOff>
      <xdr:row>16</xdr:row>
      <xdr:rowOff>161925</xdr:rowOff>
    </xdr:from>
    <xdr:to>
      <xdr:col>14</xdr:col>
      <xdr:colOff>385762</xdr:colOff>
      <xdr:row>31</xdr:row>
      <xdr:rowOff>47625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6:BM45"/>
  <sheetViews>
    <sheetView topLeftCell="A13" workbookViewId="0">
      <selection activeCell="E25" sqref="E25"/>
    </sheetView>
  </sheetViews>
  <sheetFormatPr defaultRowHeight="15" x14ac:dyDescent="0.25"/>
  <cols>
    <col min="1" max="1" width="21.7109375" customWidth="1"/>
    <col min="2" max="2" width="21.5703125" customWidth="1"/>
    <col min="3" max="4" width="14" customWidth="1"/>
    <col min="5" max="5" width="4" bestFit="1" customWidth="1"/>
    <col min="6" max="6" width="12.85546875" customWidth="1"/>
    <col min="7" max="7" width="3.5703125" bestFit="1" customWidth="1"/>
    <col min="8" max="8" width="12.85546875" customWidth="1"/>
    <col min="9" max="9" width="3.85546875" bestFit="1" customWidth="1"/>
    <col min="10" max="12" width="12.85546875" customWidth="1"/>
    <col min="13" max="18" width="14" customWidth="1"/>
    <col min="20" max="20" width="3" bestFit="1" customWidth="1"/>
    <col min="21" max="21" width="5.42578125" bestFit="1" customWidth="1"/>
    <col min="22" max="22" width="12.140625" bestFit="1" customWidth="1"/>
    <col min="24" max="24" width="10.140625" bestFit="1" customWidth="1"/>
    <col min="25" max="25" width="11.5703125" bestFit="1" customWidth="1"/>
    <col min="27" max="27" width="11.5703125" bestFit="1" customWidth="1"/>
    <col min="28" max="28" width="16.42578125" bestFit="1" customWidth="1"/>
    <col min="29" max="29" width="11.5703125" bestFit="1" customWidth="1"/>
    <col min="30" max="30" width="13.42578125" customWidth="1"/>
    <col min="31" max="31" width="13" customWidth="1"/>
    <col min="32" max="33" width="18.85546875" customWidth="1"/>
    <col min="34" max="34" width="10.140625" customWidth="1"/>
    <col min="35" max="35" width="12.5703125" customWidth="1"/>
    <col min="36" max="37" width="17.140625" customWidth="1"/>
    <col min="38" max="41" width="14.85546875" customWidth="1"/>
    <col min="42" max="42" width="10.140625" customWidth="1"/>
    <col min="43" max="43" width="12.5703125" customWidth="1"/>
    <col min="44" max="44" width="13.42578125" bestFit="1" customWidth="1"/>
    <col min="45" max="45" width="13.42578125" customWidth="1"/>
    <col min="46" max="46" width="10.140625" customWidth="1"/>
    <col min="47" max="47" width="12.5703125" customWidth="1"/>
    <col min="48" max="48" width="13.42578125" bestFit="1" customWidth="1"/>
    <col min="49" max="49" width="13.42578125" customWidth="1"/>
    <col min="50" max="50" width="10.140625" customWidth="1"/>
    <col min="51" max="51" width="12.5703125" customWidth="1"/>
    <col min="52" max="52" width="13.42578125" bestFit="1" customWidth="1"/>
    <col min="53" max="53" width="13.42578125" customWidth="1"/>
    <col min="54" max="54" width="10.140625" customWidth="1"/>
    <col min="55" max="55" width="12.5703125" customWidth="1"/>
    <col min="56" max="56" width="13.42578125" bestFit="1" customWidth="1"/>
    <col min="57" max="57" width="13.42578125" customWidth="1"/>
    <col min="58" max="58" width="10.140625" customWidth="1"/>
    <col min="59" max="59" width="12.5703125" customWidth="1"/>
    <col min="60" max="60" width="15.28515625" bestFit="1" customWidth="1"/>
    <col min="61" max="61" width="13.42578125" customWidth="1"/>
    <col min="62" max="62" width="10.140625" customWidth="1"/>
    <col min="63" max="63" width="12.5703125" customWidth="1"/>
    <col min="64" max="64" width="12.7109375" bestFit="1" customWidth="1"/>
    <col min="65" max="65" width="11.5703125" bestFit="1" customWidth="1"/>
    <col min="66" max="66" width="10.140625" bestFit="1" customWidth="1"/>
    <col min="67" max="67" width="12.5703125" bestFit="1" customWidth="1"/>
    <col min="68" max="68" width="12" bestFit="1" customWidth="1"/>
    <col min="69" max="69" width="11.5703125" bestFit="1" customWidth="1"/>
  </cols>
  <sheetData>
    <row r="6" spans="1:19" ht="18.75" x14ac:dyDescent="0.35">
      <c r="A6" s="8"/>
      <c r="B6" s="90" t="s">
        <v>55</v>
      </c>
      <c r="C6" s="86">
        <f ca="1">TODAY()</f>
        <v>42121</v>
      </c>
      <c r="E6" s="93" t="s">
        <v>65</v>
      </c>
      <c r="F6" s="94"/>
      <c r="G6" s="95" t="s">
        <v>40</v>
      </c>
      <c r="H6" s="95"/>
      <c r="I6" s="96" t="s">
        <v>42</v>
      </c>
      <c r="J6" s="96"/>
      <c r="K6" s="71" t="s">
        <v>60</v>
      </c>
      <c r="L6" s="52" t="s">
        <v>41</v>
      </c>
      <c r="M6" s="53"/>
      <c r="N6" t="s">
        <v>68</v>
      </c>
      <c r="O6" s="6" t="s">
        <v>62</v>
      </c>
      <c r="P6" t="s">
        <v>69</v>
      </c>
      <c r="Q6" t="s">
        <v>70</v>
      </c>
      <c r="R6" s="8" t="s">
        <v>64</v>
      </c>
    </row>
    <row r="7" spans="1:19" ht="18.75" x14ac:dyDescent="0.35">
      <c r="A7" s="13"/>
      <c r="B7" s="91" t="s">
        <v>59</v>
      </c>
      <c r="C7" s="87">
        <v>1.7500000000000002E-2</v>
      </c>
      <c r="D7">
        <v>0</v>
      </c>
      <c r="E7" s="31" t="s">
        <v>3</v>
      </c>
      <c r="F7" s="54"/>
      <c r="G7" s="25" t="s">
        <v>16</v>
      </c>
      <c r="H7" s="26">
        <v>0.25</v>
      </c>
      <c r="I7" s="31" t="s">
        <v>28</v>
      </c>
      <c r="J7" s="72">
        <v>0.02</v>
      </c>
      <c r="K7" s="75">
        <f>1/(1 + H7*J7)</f>
        <v>0.99502487562189068</v>
      </c>
      <c r="L7" s="57"/>
      <c r="M7" s="30"/>
      <c r="S7" s="36">
        <f>AVERAGE(S8:S18)</f>
        <v>1.7687102115993849E-3</v>
      </c>
    </row>
    <row r="8" spans="1:19" ht="18.75" x14ac:dyDescent="0.35">
      <c r="A8" s="13"/>
      <c r="B8" s="91" t="s">
        <v>63</v>
      </c>
      <c r="C8" s="88">
        <v>1000000</v>
      </c>
      <c r="D8">
        <v>1</v>
      </c>
      <c r="E8" s="32" t="s">
        <v>4</v>
      </c>
      <c r="F8" s="55"/>
      <c r="G8" s="27" t="s">
        <v>17</v>
      </c>
      <c r="H8" s="28">
        <v>0.25</v>
      </c>
      <c r="I8" s="32" t="s">
        <v>29</v>
      </c>
      <c r="J8" s="73">
        <v>2.0506302410488578E-2</v>
      </c>
      <c r="K8" s="76">
        <f>K7/(1+H8*J8)</f>
        <v>0.9899498230114202</v>
      </c>
      <c r="L8" s="58">
        <f>'Caplet-Calibration'!J8</f>
        <v>0.4</v>
      </c>
      <c r="N8" s="4">
        <f>H7</f>
        <v>0.25</v>
      </c>
      <c r="O8" s="68">
        <v>0.4</v>
      </c>
      <c r="P8" s="35">
        <f>Notional*H8*(K8*(J8*_xlfn.NORM.DIST((LN(J8/Strike) + (0.5*O8^2)*N8)/(O8*SQRT(N8)),0,1,TRUE) - Strike*_xlfn.NORM.DIST((LN(J8/Strike) + ( - 0.5*O8^2)*N8)/(O8*SQRT(N8)),0,1,TRUE)))</f>
        <v>857.86656792465317</v>
      </c>
      <c r="Q8" s="35">
        <v>855.86474712071106</v>
      </c>
      <c r="R8" s="36">
        <f>(P8-Q8)/P8</f>
        <v>2.3334873729662941E-3</v>
      </c>
      <c r="S8" s="36">
        <f>ABS(R8)</f>
        <v>2.3334873729662941E-3</v>
      </c>
    </row>
    <row r="9" spans="1:19" ht="18.75" x14ac:dyDescent="0.35">
      <c r="A9" s="13"/>
      <c r="B9" s="91" t="s">
        <v>1</v>
      </c>
      <c r="C9" s="88">
        <v>3</v>
      </c>
      <c r="D9">
        <v>2</v>
      </c>
      <c r="E9" s="32" t="s">
        <v>5</v>
      </c>
      <c r="F9" s="55"/>
      <c r="G9" s="27" t="s">
        <v>18</v>
      </c>
      <c r="H9" s="28">
        <v>0.25</v>
      </c>
      <c r="I9" s="32" t="s">
        <v>30</v>
      </c>
      <c r="J9" s="73">
        <v>2.1025421927520483E-2</v>
      </c>
      <c r="K9" s="76">
        <f t="shared" ref="K9:K18" si="0">K8/(1+H9*J9)</f>
        <v>0.98477350340836933</v>
      </c>
      <c r="L9" s="58">
        <f>'Caplet-Calibration'!J9</f>
        <v>0.37999133653312206</v>
      </c>
      <c r="N9" s="4">
        <f t="shared" ref="N9:N18" si="1">H8+N8</f>
        <v>0.5</v>
      </c>
      <c r="O9" s="68">
        <v>0.39012396481133305</v>
      </c>
      <c r="P9" s="35">
        <f t="shared" ref="P9:P18" si="2">Notional*H9*(K9*(J9*_xlfn.NORM.DIST((LN(J9/Strike) + (0.5*O9^2)*N9)/(O9*SQRT(N9)),0,1,TRUE) - Strike*_xlfn.NORM.DIST((LN(J9/Strike) + ( - 0.5*O9^2)*N9)/(O9*SQRT(N9)),0,1,TRUE)))</f>
        <v>1064.2108874291685</v>
      </c>
      <c r="Q9" s="35">
        <v>1057.6163104466659</v>
      </c>
      <c r="R9" s="36">
        <f t="shared" ref="R9:R18" si="3">(P9-Q9)/P9</f>
        <v>6.196682500057068E-3</v>
      </c>
      <c r="S9" s="36">
        <f t="shared" ref="S9:S18" si="4">ABS(R9)</f>
        <v>6.196682500057068E-3</v>
      </c>
    </row>
    <row r="10" spans="1:19" ht="18.75" x14ac:dyDescent="0.35">
      <c r="A10" s="13"/>
      <c r="B10" s="91" t="s">
        <v>2</v>
      </c>
      <c r="C10" s="88">
        <v>360</v>
      </c>
      <c r="D10">
        <v>3</v>
      </c>
      <c r="E10" s="32" t="s">
        <v>6</v>
      </c>
      <c r="F10" s="55"/>
      <c r="G10" s="27" t="s">
        <v>19</v>
      </c>
      <c r="H10" s="28">
        <v>0.25</v>
      </c>
      <c r="I10" s="32" t="s">
        <v>31</v>
      </c>
      <c r="J10" s="73">
        <v>2.155768301769263E-2</v>
      </c>
      <c r="K10" s="76">
        <f t="shared" si="0"/>
        <v>0.97949459490971758</v>
      </c>
      <c r="L10" s="58">
        <f>'Caplet-Calibration'!J10</f>
        <v>0.36045602341621685</v>
      </c>
      <c r="N10" s="4">
        <f t="shared" si="1"/>
        <v>0.75</v>
      </c>
      <c r="O10" s="68">
        <v>0.38049176980028565</v>
      </c>
      <c r="P10" s="35">
        <f t="shared" si="2"/>
        <v>1242.2821189731437</v>
      </c>
      <c r="Q10" s="35">
        <v>1236.988406281999</v>
      </c>
      <c r="R10" s="36">
        <f t="shared" si="3"/>
        <v>4.2612805982593085E-3</v>
      </c>
      <c r="S10" s="36">
        <f t="shared" si="4"/>
        <v>4.2612805982593085E-3</v>
      </c>
    </row>
    <row r="11" spans="1:19" ht="18.75" x14ac:dyDescent="0.35">
      <c r="A11" s="13"/>
      <c r="B11" s="91"/>
      <c r="C11" s="88"/>
      <c r="D11">
        <v>4</v>
      </c>
      <c r="E11" s="32" t="s">
        <v>7</v>
      </c>
      <c r="F11" s="55"/>
      <c r="G11" s="27" t="s">
        <v>20</v>
      </c>
      <c r="H11" s="28">
        <v>0.25</v>
      </c>
      <c r="I11" s="32" t="s">
        <v>32</v>
      </c>
      <c r="J11" s="73">
        <v>2.2103418361512955E-2</v>
      </c>
      <c r="K11" s="76">
        <f t="shared" si="0"/>
        <v>0.97411179477700749</v>
      </c>
      <c r="L11" s="58">
        <f>'Caplet-Calibration'!J11</f>
        <v>0.34136658338914239</v>
      </c>
      <c r="N11" s="4">
        <f t="shared" si="1"/>
        <v>1</v>
      </c>
      <c r="O11" s="68">
        <v>0.37109739453142115</v>
      </c>
      <c r="P11" s="35">
        <f t="shared" si="2"/>
        <v>1404.1574791532967</v>
      </c>
      <c r="Q11" s="35">
        <v>1402.6712072052494</v>
      </c>
      <c r="R11" s="36">
        <f t="shared" si="3"/>
        <v>1.05847952962048E-3</v>
      </c>
      <c r="S11" s="36">
        <f t="shared" si="4"/>
        <v>1.05847952962048E-3</v>
      </c>
    </row>
    <row r="12" spans="1:19" ht="18.75" x14ac:dyDescent="0.35">
      <c r="A12" s="13"/>
      <c r="B12" s="91" t="s">
        <v>57</v>
      </c>
      <c r="C12" s="88">
        <v>12</v>
      </c>
      <c r="D12">
        <v>5</v>
      </c>
      <c r="E12" s="32" t="s">
        <v>8</v>
      </c>
      <c r="F12" s="55"/>
      <c r="G12" s="27" t="s">
        <v>21</v>
      </c>
      <c r="H12" s="28">
        <v>0.25</v>
      </c>
      <c r="I12" s="32" t="s">
        <v>33</v>
      </c>
      <c r="J12" s="73">
        <v>2.2662969061336528E-2</v>
      </c>
      <c r="K12" s="76">
        <f t="shared" si="0"/>
        <v>0.96862382185034057</v>
      </c>
      <c r="L12" s="58">
        <f>'Caplet-Calibration'!J12</f>
        <v>0.32269412382370466</v>
      </c>
      <c r="N12" s="4">
        <f t="shared" si="1"/>
        <v>1.25</v>
      </c>
      <c r="O12" s="68">
        <v>0.36193496721438384</v>
      </c>
      <c r="P12" s="35">
        <f t="shared" si="2"/>
        <v>1555.6262761423568</v>
      </c>
      <c r="Q12" s="35">
        <v>1555.1239994918128</v>
      </c>
      <c r="R12" s="36">
        <f t="shared" si="3"/>
        <v>3.2287745343922606E-4</v>
      </c>
      <c r="S12" s="36">
        <f t="shared" si="4"/>
        <v>3.2287745343922606E-4</v>
      </c>
    </row>
    <row r="13" spans="1:19" ht="18.75" x14ac:dyDescent="0.35">
      <c r="A13" s="13"/>
      <c r="B13" s="91" t="s">
        <v>56</v>
      </c>
      <c r="C13" s="88">
        <v>200000</v>
      </c>
      <c r="D13">
        <v>6</v>
      </c>
      <c r="E13" s="32" t="s">
        <v>9</v>
      </c>
      <c r="F13" s="55"/>
      <c r="G13" s="27" t="s">
        <v>22</v>
      </c>
      <c r="H13" s="28">
        <v>0.25</v>
      </c>
      <c r="I13" s="32" t="s">
        <v>34</v>
      </c>
      <c r="J13" s="73">
        <v>2.3236684854565662E-2</v>
      </c>
      <c r="K13" s="76">
        <f t="shared" si="0"/>
        <v>0.96302941907118245</v>
      </c>
      <c r="L13" s="58">
        <f>'Caplet-Calibration'!J13</f>
        <v>0.30440786666274461</v>
      </c>
      <c r="N13" s="4">
        <f t="shared" si="1"/>
        <v>1.5</v>
      </c>
      <c r="O13" s="68">
        <v>0.3529987610338382</v>
      </c>
      <c r="P13" s="35">
        <f t="shared" si="2"/>
        <v>1699.9880585945959</v>
      </c>
      <c r="Q13" s="35">
        <v>1699.7933463080308</v>
      </c>
      <c r="R13" s="36">
        <f t="shared" si="3"/>
        <v>1.1453744370777227E-4</v>
      </c>
      <c r="S13" s="36">
        <f t="shared" si="4"/>
        <v>1.1453744370777227E-4</v>
      </c>
    </row>
    <row r="14" spans="1:19" ht="18.75" x14ac:dyDescent="0.35">
      <c r="A14" s="13"/>
      <c r="B14" s="91"/>
      <c r="C14" s="88"/>
      <c r="D14">
        <v>7</v>
      </c>
      <c r="E14" s="32" t="s">
        <v>10</v>
      </c>
      <c r="F14" s="55"/>
      <c r="G14" s="27" t="s">
        <v>23</v>
      </c>
      <c r="H14" s="28">
        <v>0.25</v>
      </c>
      <c r="I14" s="32" t="s">
        <v>35</v>
      </c>
      <c r="J14" s="73">
        <v>2.3824924332247161E-2</v>
      </c>
      <c r="K14" s="76">
        <f t="shared" si="0"/>
        <v>0.95732735611601882</v>
      </c>
      <c r="L14" s="58">
        <f>'Caplet-Calibration'!J14</f>
        <v>0.28647452838773541</v>
      </c>
      <c r="N14" s="4">
        <f t="shared" si="1"/>
        <v>1.75</v>
      </c>
      <c r="O14" s="68">
        <v>0.34428319057002316</v>
      </c>
      <c r="P14" s="35">
        <f t="shared" si="2"/>
        <v>1839.3486521164523</v>
      </c>
      <c r="Q14" s="35">
        <v>1839.1841055564828</v>
      </c>
      <c r="R14" s="36">
        <f t="shared" si="3"/>
        <v>8.9459146192951732E-5</v>
      </c>
      <c r="S14" s="36">
        <f t="shared" si="4"/>
        <v>8.9459146192951732E-5</v>
      </c>
    </row>
    <row r="15" spans="1:19" ht="18.75" x14ac:dyDescent="0.35">
      <c r="A15" s="13"/>
      <c r="B15" s="91" t="s">
        <v>58</v>
      </c>
      <c r="C15" s="88" t="b">
        <v>0</v>
      </c>
      <c r="D15">
        <v>8</v>
      </c>
      <c r="E15" s="32" t="s">
        <v>11</v>
      </c>
      <c r="F15" s="55"/>
      <c r="G15" s="27" t="s">
        <v>24</v>
      </c>
      <c r="H15" s="28">
        <v>0.25</v>
      </c>
      <c r="I15" s="32" t="s">
        <v>36</v>
      </c>
      <c r="J15" s="73">
        <v>2.4428055163203399E-2</v>
      </c>
      <c r="K15" s="76">
        <f t="shared" si="0"/>
        <v>0.9515164321427495</v>
      </c>
      <c r="L15" s="58">
        <f>'Caplet-Calibration'!J15</f>
        <v>0.26885748581065977</v>
      </c>
      <c r="N15" s="4">
        <f t="shared" si="1"/>
        <v>2</v>
      </c>
      <c r="O15" s="68">
        <v>0.33578280830768298</v>
      </c>
      <c r="P15" s="35">
        <f t="shared" si="2"/>
        <v>1975.1595410545747</v>
      </c>
      <c r="Q15" s="35">
        <v>1977.6319654749529</v>
      </c>
      <c r="R15" s="36">
        <f t="shared" si="3"/>
        <v>-1.2517593485426503E-3</v>
      </c>
      <c r="S15" s="36">
        <f t="shared" si="4"/>
        <v>1.2517593485426503E-3</v>
      </c>
    </row>
    <row r="16" spans="1:19" ht="18.75" x14ac:dyDescent="0.35">
      <c r="A16" s="13"/>
      <c r="B16" s="91"/>
      <c r="C16" s="88"/>
      <c r="D16">
        <v>9</v>
      </c>
      <c r="E16" s="32" t="s">
        <v>12</v>
      </c>
      <c r="F16" s="55"/>
      <c r="G16" s="27" t="s">
        <v>25</v>
      </c>
      <c r="H16" s="28">
        <v>0.25</v>
      </c>
      <c r="I16" s="32" t="s">
        <v>37</v>
      </c>
      <c r="J16" s="73">
        <v>2.504645432383729E-2</v>
      </c>
      <c r="K16" s="76">
        <f t="shared" si="0"/>
        <v>0.94559547865153148</v>
      </c>
      <c r="L16" s="58">
        <f>'Caplet-Calibration'!J16</f>
        <v>0.25151562864237176</v>
      </c>
      <c r="N16" s="4">
        <f t="shared" si="1"/>
        <v>2.25</v>
      </c>
      <c r="O16" s="68">
        <v>0.32749230123119277</v>
      </c>
      <c r="P16" s="35">
        <f t="shared" si="2"/>
        <v>2108.4778886119234</v>
      </c>
      <c r="Q16" s="35">
        <v>2107.6746111422267</v>
      </c>
      <c r="R16" s="36">
        <f t="shared" si="3"/>
        <v>3.8097505031248771E-4</v>
      </c>
      <c r="S16" s="36">
        <f t="shared" si="4"/>
        <v>3.8097505031248771E-4</v>
      </c>
    </row>
    <row r="17" spans="1:65" ht="18.75" x14ac:dyDescent="0.35">
      <c r="A17" s="13"/>
      <c r="B17" s="91" t="s">
        <v>61</v>
      </c>
      <c r="C17" s="88">
        <v>15.0234375</v>
      </c>
      <c r="D17">
        <v>10</v>
      </c>
      <c r="E17" s="32" t="s">
        <v>13</v>
      </c>
      <c r="F17" s="55"/>
      <c r="G17" s="27" t="s">
        <v>26</v>
      </c>
      <c r="H17" s="28">
        <v>0.25</v>
      </c>
      <c r="I17" s="32" t="s">
        <v>38</v>
      </c>
      <c r="J17" s="73">
        <v>2.5680508333754827E-2</v>
      </c>
      <c r="K17" s="76">
        <f t="shared" si="0"/>
        <v>0.93956336246158512</v>
      </c>
      <c r="L17" s="58">
        <f>'Caplet-Calibration'!J17</f>
        <v>0.23440174125530011</v>
      </c>
      <c r="N17" s="4">
        <f t="shared" si="1"/>
        <v>2.5</v>
      </c>
      <c r="O17" s="68">
        <v>0.31940648750375084</v>
      </c>
      <c r="P17" s="35">
        <f t="shared" si="2"/>
        <v>2240.1057567088001</v>
      </c>
      <c r="Q17" s="35">
        <v>2237.9365403894953</v>
      </c>
      <c r="R17" s="36">
        <f t="shared" si="3"/>
        <v>9.6835442380710252E-4</v>
      </c>
      <c r="S17" s="36">
        <f t="shared" si="4"/>
        <v>9.6835442380710252E-4</v>
      </c>
    </row>
    <row r="18" spans="1:65" ht="18.75" x14ac:dyDescent="0.35">
      <c r="A18" s="13"/>
      <c r="B18" s="91"/>
      <c r="C18" s="88"/>
      <c r="D18">
        <v>11</v>
      </c>
      <c r="E18" s="32" t="s">
        <v>14</v>
      </c>
      <c r="F18" s="55"/>
      <c r="G18" s="27" t="s">
        <v>27</v>
      </c>
      <c r="H18" s="28">
        <v>0.25</v>
      </c>
      <c r="I18" s="32" t="s">
        <v>39</v>
      </c>
      <c r="J18" s="73">
        <v>2.6330613497352433E-2</v>
      </c>
      <c r="K18" s="76">
        <f t="shared" si="0"/>
        <v>0.93341898880525498</v>
      </c>
      <c r="L18" s="58">
        <f>'Caplet-Calibration'!J18</f>
        <v>0.21746015381995357</v>
      </c>
      <c r="N18" s="4">
        <f t="shared" si="1"/>
        <v>2.75</v>
      </c>
      <c r="O18" s="68">
        <v>0.311520313228562</v>
      </c>
      <c r="P18" s="35">
        <f t="shared" si="2"/>
        <v>2370.6706726497191</v>
      </c>
      <c r="Q18" s="35">
        <v>2364.7963416550783</v>
      </c>
      <c r="R18" s="36">
        <f t="shared" si="3"/>
        <v>2.4779194606878887E-3</v>
      </c>
      <c r="S18" s="36">
        <f t="shared" si="4"/>
        <v>2.4779194606878887E-3</v>
      </c>
    </row>
    <row r="19" spans="1:65" ht="18.75" x14ac:dyDescent="0.35">
      <c r="B19" s="92"/>
      <c r="C19" s="89"/>
      <c r="D19">
        <v>12</v>
      </c>
      <c r="E19" s="44" t="s">
        <v>15</v>
      </c>
      <c r="F19" s="56"/>
      <c r="G19" s="46"/>
      <c r="H19" s="47"/>
      <c r="I19" s="44"/>
      <c r="J19" s="74"/>
      <c r="K19" s="77"/>
      <c r="L19" s="59"/>
      <c r="N19" s="4"/>
      <c r="O19" s="14"/>
      <c r="P19" s="24"/>
      <c r="Q19" s="35"/>
      <c r="R19" s="24"/>
    </row>
    <row r="20" spans="1:65" x14ac:dyDescent="0.25">
      <c r="M20" s="2"/>
      <c r="P20" s="83">
        <f>SUM(P8:P19)</f>
        <v>18357.893899358682</v>
      </c>
      <c r="Q20" s="85">
        <f>SUM(Q8:Q19)</f>
        <v>18335.281581072704</v>
      </c>
      <c r="S20" s="84">
        <f>(Q20-P20)/P20</f>
        <v>-1.2317490453938903E-3</v>
      </c>
    </row>
    <row r="21" spans="1:65" x14ac:dyDescent="0.25">
      <c r="Q21" s="35"/>
    </row>
    <row r="22" spans="1:65" x14ac:dyDescent="0.25">
      <c r="Q22" s="35"/>
      <c r="U22" s="38"/>
      <c r="V22" s="39"/>
      <c r="W22" s="23"/>
      <c r="X22" s="40"/>
      <c r="Y22" s="41"/>
      <c r="Z22" s="2"/>
      <c r="AA22" s="8"/>
      <c r="AB22" s="20"/>
      <c r="AC22" s="8"/>
      <c r="AD22" s="9"/>
      <c r="AE22" s="5"/>
      <c r="AF22" s="20"/>
      <c r="AG22" s="8"/>
      <c r="AH22" s="9"/>
      <c r="AI22" s="5"/>
      <c r="AJ22" s="11"/>
      <c r="AK22" s="8"/>
      <c r="AL22" s="9"/>
      <c r="AM22" s="5"/>
      <c r="AN22" s="11"/>
      <c r="AO22" s="8"/>
      <c r="AP22" s="9"/>
      <c r="AQ22" s="5"/>
      <c r="AR22" s="11"/>
      <c r="AS22" s="8"/>
      <c r="AT22" s="9"/>
      <c r="AU22" s="5"/>
      <c r="AV22" s="11"/>
      <c r="AW22" s="8"/>
      <c r="AX22" s="9"/>
      <c r="AY22" s="5"/>
      <c r="AZ22" s="11"/>
      <c r="BA22" s="8"/>
      <c r="BB22" s="9"/>
      <c r="BC22" s="5"/>
      <c r="BD22" s="11"/>
      <c r="BE22" s="8"/>
      <c r="BF22" s="9"/>
      <c r="BG22" s="5"/>
      <c r="BH22" s="11"/>
      <c r="BI22" s="8"/>
      <c r="BJ22" s="9"/>
      <c r="BK22" s="5"/>
      <c r="BL22" s="11"/>
      <c r="BM22" s="8"/>
    </row>
    <row r="23" spans="1:65" x14ac:dyDescent="0.25">
      <c r="U23" s="38"/>
      <c r="V23" s="39"/>
      <c r="W23" s="23"/>
      <c r="X23" s="40"/>
      <c r="Y23" s="41"/>
      <c r="Z23" s="2"/>
      <c r="AA23" s="8"/>
      <c r="AB23" s="20"/>
      <c r="AC23" s="8"/>
      <c r="AD23" s="9"/>
      <c r="AE23" s="5"/>
      <c r="AF23" s="20"/>
      <c r="AG23" s="8"/>
      <c r="AH23" s="9"/>
      <c r="AI23" s="5"/>
      <c r="AJ23" s="11"/>
      <c r="AK23" s="8"/>
      <c r="AL23" s="9"/>
      <c r="AM23" s="5"/>
      <c r="AN23" s="11"/>
      <c r="AO23" s="8"/>
      <c r="AP23" s="9"/>
      <c r="AQ23" s="5"/>
      <c r="AR23" s="11"/>
      <c r="AS23" s="8"/>
      <c r="AT23" s="9"/>
      <c r="AU23" s="5"/>
      <c r="AV23" s="11"/>
      <c r="AW23" s="8"/>
      <c r="AX23" s="9"/>
      <c r="AY23" s="5"/>
      <c r="AZ23" s="11"/>
      <c r="BA23" s="8"/>
      <c r="BB23" s="9"/>
      <c r="BC23" s="5"/>
      <c r="BD23" s="11"/>
      <c r="BE23" s="8"/>
      <c r="BF23" s="9"/>
      <c r="BG23" s="5"/>
      <c r="BH23" s="11"/>
      <c r="BI23" s="8"/>
      <c r="BJ23" s="9"/>
      <c r="BK23" s="5"/>
      <c r="BL23" s="11"/>
      <c r="BM23" s="8"/>
    </row>
    <row r="24" spans="1:65" x14ac:dyDescent="0.25">
      <c r="U24" s="38"/>
      <c r="V24" s="39"/>
      <c r="W24" s="23"/>
      <c r="X24" s="40"/>
      <c r="Y24" s="41"/>
      <c r="Z24" s="2"/>
      <c r="AA24" s="8"/>
      <c r="AB24" s="20"/>
      <c r="AC24" s="8"/>
      <c r="AD24" s="9"/>
      <c r="AE24" s="5"/>
      <c r="AF24" s="20"/>
      <c r="AG24" s="8"/>
      <c r="AH24" s="9"/>
      <c r="AI24" s="5"/>
      <c r="AJ24" s="11"/>
      <c r="AK24" s="8"/>
      <c r="AL24" s="9"/>
      <c r="AM24" s="5"/>
      <c r="AN24" s="20"/>
      <c r="AO24" s="8"/>
      <c r="AP24" s="9"/>
      <c r="AQ24" s="5"/>
      <c r="AR24" s="20"/>
      <c r="AS24" s="8"/>
      <c r="AT24" s="9"/>
      <c r="AU24" s="5"/>
      <c r="AV24" s="11"/>
      <c r="AW24" s="8"/>
      <c r="AX24" s="9"/>
      <c r="AY24" s="5"/>
      <c r="AZ24" s="11"/>
      <c r="BA24" s="8"/>
      <c r="BB24" s="9"/>
      <c r="BC24" s="5"/>
      <c r="BD24" s="11"/>
      <c r="BE24" s="8"/>
      <c r="BF24" s="9"/>
      <c r="BG24" s="5"/>
      <c r="BH24" s="11"/>
      <c r="BI24" s="8"/>
      <c r="BJ24" s="9"/>
      <c r="BK24" s="5"/>
      <c r="BL24" s="11"/>
      <c r="BM24" s="8"/>
    </row>
    <row r="25" spans="1:65" x14ac:dyDescent="0.25">
      <c r="U25" s="38"/>
      <c r="V25" s="39"/>
      <c r="W25" s="24"/>
      <c r="X25" s="30"/>
      <c r="Y25" s="29"/>
      <c r="Z25" s="2"/>
      <c r="AB25" s="8"/>
      <c r="AC25" s="8"/>
      <c r="AF25" s="9"/>
      <c r="AG25" s="8"/>
      <c r="AK25" s="8"/>
      <c r="AO25" s="8"/>
      <c r="AS25" s="8"/>
      <c r="AW25" s="8"/>
      <c r="BA25" s="8"/>
      <c r="BE25" s="8"/>
      <c r="BH25" s="19"/>
      <c r="BI25" s="8"/>
      <c r="BM25" s="8"/>
    </row>
    <row r="26" spans="1:65" x14ac:dyDescent="0.25">
      <c r="U26" s="24"/>
      <c r="V26" s="24"/>
      <c r="W26" s="24"/>
      <c r="X26" s="30"/>
      <c r="Y26" s="30"/>
    </row>
    <row r="27" spans="1:65" x14ac:dyDescent="0.25">
      <c r="U27" s="24"/>
      <c r="V27" s="24"/>
      <c r="W27" s="24"/>
      <c r="X27" s="30"/>
      <c r="Y27" s="30"/>
      <c r="AV27" s="21"/>
    </row>
    <row r="28" spans="1:65" x14ac:dyDescent="0.25">
      <c r="U28" s="24"/>
      <c r="V28" s="24"/>
      <c r="W28" s="24"/>
      <c r="X28" s="30"/>
      <c r="Y28" s="30"/>
      <c r="AV28" s="21"/>
    </row>
    <row r="29" spans="1:65" x14ac:dyDescent="0.25">
      <c r="U29" s="24"/>
      <c r="V29" s="24"/>
      <c r="W29" s="24"/>
      <c r="X29" s="30"/>
      <c r="Y29" s="30"/>
      <c r="AV29" s="21"/>
    </row>
    <row r="30" spans="1:65" x14ac:dyDescent="0.25">
      <c r="U30" s="24"/>
      <c r="V30" s="24"/>
      <c r="W30" s="24"/>
      <c r="X30" s="30"/>
      <c r="Y30" s="30"/>
      <c r="AV30" s="21"/>
    </row>
    <row r="31" spans="1:65" x14ac:dyDescent="0.25">
      <c r="U31" s="24"/>
      <c r="V31" s="24"/>
      <c r="W31" s="24"/>
      <c r="X31" s="30"/>
      <c r="Y31" s="30"/>
      <c r="AV31" s="21"/>
    </row>
    <row r="32" spans="1:65" x14ac:dyDescent="0.25">
      <c r="U32" s="24"/>
      <c r="V32" s="24"/>
      <c r="W32" s="24"/>
      <c r="X32" s="30"/>
      <c r="Y32" s="30"/>
      <c r="AV32" s="21"/>
    </row>
    <row r="33" spans="21:48" x14ac:dyDescent="0.25">
      <c r="U33" s="24"/>
      <c r="V33" s="24"/>
      <c r="W33" s="24"/>
      <c r="X33" s="30"/>
      <c r="Y33" s="30"/>
      <c r="AV33" s="21"/>
    </row>
    <row r="34" spans="21:48" x14ac:dyDescent="0.25">
      <c r="U34" s="24"/>
      <c r="V34" s="24"/>
      <c r="W34" s="24"/>
      <c r="X34" s="30"/>
      <c r="Y34" s="30"/>
      <c r="AV34" s="21"/>
    </row>
    <row r="35" spans="21:48" x14ac:dyDescent="0.25">
      <c r="U35" s="24"/>
      <c r="V35" s="24"/>
      <c r="W35" s="24"/>
      <c r="X35" s="30"/>
      <c r="Y35" s="30"/>
      <c r="AV35" s="21"/>
    </row>
    <row r="36" spans="21:48" x14ac:dyDescent="0.25">
      <c r="U36" s="24"/>
      <c r="V36" s="24"/>
      <c r="W36" s="24"/>
      <c r="X36" s="30"/>
      <c r="Y36" s="30"/>
      <c r="AV36" s="21"/>
    </row>
    <row r="37" spans="21:48" x14ac:dyDescent="0.25">
      <c r="U37" s="24"/>
      <c r="V37" s="24"/>
      <c r="W37" s="24"/>
      <c r="X37" s="30"/>
      <c r="Y37" s="30"/>
    </row>
    <row r="38" spans="21:48" x14ac:dyDescent="0.25">
      <c r="U38" s="24"/>
      <c r="V38" s="24"/>
      <c r="W38" s="24"/>
      <c r="X38" s="30"/>
      <c r="Y38" s="30"/>
    </row>
    <row r="39" spans="21:48" x14ac:dyDescent="0.25">
      <c r="X39" s="2"/>
      <c r="Y39" s="2"/>
    </row>
    <row r="40" spans="21:48" x14ac:dyDescent="0.25">
      <c r="X40" s="2"/>
      <c r="Y40" s="2"/>
    </row>
    <row r="41" spans="21:48" x14ac:dyDescent="0.25">
      <c r="X41" s="2"/>
      <c r="Y41" s="2"/>
    </row>
    <row r="42" spans="21:48" x14ac:dyDescent="0.25">
      <c r="X42" s="2"/>
      <c r="Y42" s="2"/>
    </row>
    <row r="43" spans="21:48" x14ac:dyDescent="0.25">
      <c r="X43" s="2"/>
      <c r="Y43" s="2"/>
    </row>
    <row r="44" spans="21:48" x14ac:dyDescent="0.25">
      <c r="X44" s="2"/>
      <c r="Y44" s="2"/>
    </row>
    <row r="45" spans="21:48" x14ac:dyDescent="0.25">
      <c r="X45" s="2"/>
      <c r="Y45" s="2"/>
    </row>
  </sheetData>
  <mergeCells count="3">
    <mergeCell ref="E6:F6"/>
    <mergeCell ref="G6:H6"/>
    <mergeCell ref="I6:J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LMM">
                <anchor mov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2</xdr:col>
                    <xdr:colOff>533400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5:X30"/>
  <sheetViews>
    <sheetView topLeftCell="A5" workbookViewId="0">
      <selection activeCell="M21" sqref="M21:M26"/>
    </sheetView>
  </sheetViews>
  <sheetFormatPr defaultRowHeight="15" x14ac:dyDescent="0.25"/>
  <cols>
    <col min="3" max="3" width="12.140625" bestFit="1" customWidth="1"/>
    <col min="5" max="5" width="14" bestFit="1" customWidth="1"/>
    <col min="6" max="6" width="11.5703125" bestFit="1" customWidth="1"/>
    <col min="8" max="8" width="12.28515625" customWidth="1"/>
    <col min="12" max="12" width="5.7109375" customWidth="1"/>
  </cols>
  <sheetData>
    <row r="5" spans="2:24" ht="18.75" x14ac:dyDescent="0.35">
      <c r="L5" s="60" t="s">
        <v>3</v>
      </c>
      <c r="M5" s="60" t="s">
        <v>4</v>
      </c>
      <c r="N5" s="60" t="s">
        <v>5</v>
      </c>
      <c r="O5" s="60" t="s">
        <v>6</v>
      </c>
      <c r="P5" s="60" t="s">
        <v>7</v>
      </c>
      <c r="Q5" s="60" t="s">
        <v>8</v>
      </c>
      <c r="R5" s="60" t="s">
        <v>9</v>
      </c>
      <c r="S5" s="60" t="s">
        <v>10</v>
      </c>
      <c r="T5" s="60" t="s">
        <v>11</v>
      </c>
      <c r="U5" s="60" t="s">
        <v>12</v>
      </c>
      <c r="V5" s="60" t="s">
        <v>13</v>
      </c>
      <c r="W5" s="61" t="s">
        <v>14</v>
      </c>
    </row>
    <row r="6" spans="2:24" x14ac:dyDescent="0.25">
      <c r="C6" t="s">
        <v>55</v>
      </c>
      <c r="D6" t="s">
        <v>40</v>
      </c>
      <c r="E6" t="s">
        <v>68</v>
      </c>
      <c r="F6" t="s">
        <v>72</v>
      </c>
      <c r="J6" t="s">
        <v>73</v>
      </c>
      <c r="L6" s="37"/>
      <c r="M6" s="62">
        <v>0.25</v>
      </c>
      <c r="N6" s="62">
        <v>0.25</v>
      </c>
      <c r="O6" s="62">
        <v>0.25</v>
      </c>
      <c r="P6" s="62">
        <v>0.25</v>
      </c>
      <c r="Q6" s="62">
        <v>0.25</v>
      </c>
      <c r="R6" s="62">
        <v>0.25</v>
      </c>
      <c r="S6" s="62">
        <v>0.25</v>
      </c>
      <c r="T6" s="62">
        <v>0.25</v>
      </c>
      <c r="U6" s="62">
        <v>0.25</v>
      </c>
      <c r="V6" s="62">
        <v>0.25</v>
      </c>
      <c r="W6" s="26">
        <v>0.25</v>
      </c>
    </row>
    <row r="7" spans="2:24" ht="18.75" x14ac:dyDescent="0.35">
      <c r="B7" s="38"/>
      <c r="C7" s="39">
        <f>'LMM '!F7</f>
        <v>0</v>
      </c>
      <c r="D7" s="23">
        <f>'LMM '!H7</f>
        <v>0.25</v>
      </c>
      <c r="K7">
        <v>1</v>
      </c>
      <c r="L7" s="32" t="s">
        <v>28</v>
      </c>
      <c r="M7" s="63" t="s">
        <v>84</v>
      </c>
      <c r="N7" s="64"/>
      <c r="O7" s="64"/>
      <c r="P7" s="64"/>
      <c r="Q7" s="64"/>
      <c r="R7" s="64"/>
      <c r="S7" s="64"/>
      <c r="T7" s="64"/>
      <c r="U7" s="64"/>
      <c r="V7" s="64"/>
      <c r="W7" s="65"/>
    </row>
    <row r="8" spans="2:24" ht="18.75" x14ac:dyDescent="0.35">
      <c r="B8" s="38"/>
      <c r="C8" s="39">
        <f>'LMM '!F8</f>
        <v>0</v>
      </c>
      <c r="D8" s="23">
        <f>'LMM '!H8</f>
        <v>0.25</v>
      </c>
      <c r="E8" s="23">
        <f>D7</f>
        <v>0.25</v>
      </c>
      <c r="F8" s="14">
        <f>'LMM '!O8</f>
        <v>0.4</v>
      </c>
      <c r="G8" s="2">
        <f>F8^2*E8</f>
        <v>4.0000000000000008E-2</v>
      </c>
      <c r="H8" s="17">
        <f>G8</f>
        <v>4.0000000000000008E-2</v>
      </c>
      <c r="I8" s="2">
        <f t="shared" ref="I8:I18" si="0">H8/$E$8</f>
        <v>0.16000000000000003</v>
      </c>
      <c r="J8" s="15">
        <f t="shared" ref="J8:J18" si="1">SQRT(I8)</f>
        <v>0.4</v>
      </c>
      <c r="K8">
        <v>2</v>
      </c>
      <c r="L8" s="32" t="s">
        <v>29</v>
      </c>
      <c r="M8" s="64">
        <f t="shared" ref="M8:M16" si="2">J8</f>
        <v>0.4</v>
      </c>
      <c r="N8" s="64"/>
      <c r="O8" s="64"/>
      <c r="P8" s="64"/>
      <c r="Q8" s="64"/>
      <c r="R8" s="64"/>
      <c r="S8" s="64"/>
      <c r="T8" s="64"/>
      <c r="U8" s="64"/>
      <c r="V8" s="64"/>
      <c r="W8" s="65"/>
    </row>
    <row r="9" spans="2:24" ht="18.75" x14ac:dyDescent="0.35">
      <c r="B9" s="38"/>
      <c r="C9" s="39">
        <f>'LMM '!F9</f>
        <v>0</v>
      </c>
      <c r="D9" s="23">
        <f>'LMM '!H9</f>
        <v>0.25</v>
      </c>
      <c r="E9" s="23">
        <f>D8+E8</f>
        <v>0.5</v>
      </c>
      <c r="F9" s="14">
        <f>'LMM '!O9</f>
        <v>0.39012396481133305</v>
      </c>
      <c r="G9" s="2">
        <f>F9^2*E9</f>
        <v>7.6098353960057111E-2</v>
      </c>
      <c r="H9" s="18">
        <f>G9-SUMPRODUCT((N9:X9)^2,N$6:X$6)</f>
        <v>3.6098353960057103E-2</v>
      </c>
      <c r="I9" s="2">
        <f>H9/$E$8</f>
        <v>0.14439341584022841</v>
      </c>
      <c r="J9" s="15">
        <f>SQRT(I9)</f>
        <v>0.37999133653312206</v>
      </c>
      <c r="K9">
        <v>3</v>
      </c>
      <c r="L9" s="32" t="s">
        <v>30</v>
      </c>
      <c r="M9" s="64">
        <f t="shared" si="2"/>
        <v>0.37999133653312206</v>
      </c>
      <c r="N9" s="64">
        <f t="shared" ref="N9:N18" si="3">M8</f>
        <v>0.4</v>
      </c>
      <c r="O9" s="64"/>
      <c r="P9" s="64"/>
      <c r="Q9" s="64"/>
      <c r="R9" s="64"/>
      <c r="S9" s="64"/>
      <c r="T9" s="64"/>
      <c r="U9" s="64"/>
      <c r="V9" s="64"/>
      <c r="W9" s="65"/>
      <c r="X9" s="16"/>
    </row>
    <row r="10" spans="2:24" ht="18.75" x14ac:dyDescent="0.35">
      <c r="B10" s="38"/>
      <c r="C10" s="39">
        <f>'LMM '!F10</f>
        <v>0</v>
      </c>
      <c r="D10" s="23">
        <f>'LMM '!H10</f>
        <v>0.25</v>
      </c>
      <c r="E10" s="23">
        <f t="shared" ref="E10:E18" si="4">D9+E9</f>
        <v>0.75</v>
      </c>
      <c r="F10" s="14">
        <f>'LMM '!O10</f>
        <v>0.38049176980028565</v>
      </c>
      <c r="G10" s="2">
        <f t="shared" ref="G10:G16" si="5">F10^2*E10</f>
        <v>0.10858049016431517</v>
      </c>
      <c r="H10" s="18">
        <f t="shared" ref="H10:H18" si="6">G10-SUMPRODUCT((N10:X10)^2,N$6:X$6)</f>
        <v>3.2482136204258064E-2</v>
      </c>
      <c r="I10" s="2">
        <f t="shared" si="0"/>
        <v>0.12992854481703225</v>
      </c>
      <c r="J10" s="15">
        <f t="shared" si="1"/>
        <v>0.36045602341621685</v>
      </c>
      <c r="K10">
        <v>4</v>
      </c>
      <c r="L10" s="32" t="s">
        <v>31</v>
      </c>
      <c r="M10" s="64">
        <f t="shared" si="2"/>
        <v>0.36045602341621685</v>
      </c>
      <c r="N10" s="64">
        <f t="shared" si="3"/>
        <v>0.37999133653312206</v>
      </c>
      <c r="O10" s="64">
        <f t="shared" ref="O10:O18" si="7">N9</f>
        <v>0.4</v>
      </c>
      <c r="P10" s="64"/>
      <c r="Q10" s="64"/>
      <c r="R10" s="64"/>
      <c r="S10" s="64"/>
      <c r="T10" s="64"/>
      <c r="U10" s="64"/>
      <c r="V10" s="64"/>
      <c r="W10" s="65"/>
      <c r="X10" s="16"/>
    </row>
    <row r="11" spans="2:24" ht="18.75" x14ac:dyDescent="0.35">
      <c r="B11" s="38"/>
      <c r="C11" s="39">
        <f>'LMM '!F11</f>
        <v>0</v>
      </c>
      <c r="D11" s="23">
        <f>'LMM '!H11</f>
        <v>0.25</v>
      </c>
      <c r="E11" s="23">
        <f t="shared" si="4"/>
        <v>1</v>
      </c>
      <c r="F11" s="14">
        <f>'LMM '!O11</f>
        <v>0.37109739453142115</v>
      </c>
      <c r="G11" s="2">
        <f t="shared" si="5"/>
        <v>0.13771327622800925</v>
      </c>
      <c r="H11" s="18">
        <f t="shared" si="6"/>
        <v>2.9132786063694072E-2</v>
      </c>
      <c r="I11" s="2">
        <f t="shared" si="0"/>
        <v>0.11653114425477629</v>
      </c>
      <c r="J11" s="15">
        <f t="shared" si="1"/>
        <v>0.34136658338914239</v>
      </c>
      <c r="K11">
        <v>5</v>
      </c>
      <c r="L11" s="32" t="s">
        <v>32</v>
      </c>
      <c r="M11" s="64">
        <f t="shared" si="2"/>
        <v>0.34136658338914239</v>
      </c>
      <c r="N11" s="64">
        <f t="shared" si="3"/>
        <v>0.36045602341621685</v>
      </c>
      <c r="O11" s="64">
        <f t="shared" si="7"/>
        <v>0.37999133653312206</v>
      </c>
      <c r="P11" s="64">
        <f t="shared" ref="P11:P18" si="8">O10</f>
        <v>0.4</v>
      </c>
      <c r="Q11" s="64"/>
      <c r="R11" s="64"/>
      <c r="S11" s="64"/>
      <c r="T11" s="64"/>
      <c r="U11" s="64"/>
      <c r="V11" s="64"/>
      <c r="W11" s="65"/>
      <c r="X11" s="16"/>
    </row>
    <row r="12" spans="2:24" ht="18.75" x14ac:dyDescent="0.35">
      <c r="B12" s="38"/>
      <c r="C12" s="39">
        <f>'LMM '!F12</f>
        <v>0</v>
      </c>
      <c r="D12" s="23">
        <f>'LMM '!H12</f>
        <v>0.25</v>
      </c>
      <c r="E12" s="23">
        <f t="shared" si="4"/>
        <v>1.25</v>
      </c>
      <c r="F12" s="14">
        <f>'LMM '!O12</f>
        <v>0.36193496721438384</v>
      </c>
      <c r="G12" s="2">
        <f t="shared" si="5"/>
        <v>0.16374615061559639</v>
      </c>
      <c r="H12" s="18">
        <f t="shared" si="6"/>
        <v>2.6032874387587113E-2</v>
      </c>
      <c r="I12" s="2">
        <f t="shared" si="0"/>
        <v>0.10413149755034845</v>
      </c>
      <c r="J12" s="15">
        <f t="shared" si="1"/>
        <v>0.32269412382370466</v>
      </c>
      <c r="K12">
        <v>6</v>
      </c>
      <c r="L12" s="32" t="s">
        <v>33</v>
      </c>
      <c r="M12" s="64">
        <f t="shared" si="2"/>
        <v>0.32269412382370466</v>
      </c>
      <c r="N12" s="64">
        <f t="shared" si="3"/>
        <v>0.34136658338914239</v>
      </c>
      <c r="O12" s="64">
        <f t="shared" si="7"/>
        <v>0.36045602341621685</v>
      </c>
      <c r="P12" s="64">
        <f t="shared" si="8"/>
        <v>0.37999133653312206</v>
      </c>
      <c r="Q12" s="64">
        <f t="shared" ref="Q12:Q18" si="9">P11</f>
        <v>0.4</v>
      </c>
      <c r="R12" s="64"/>
      <c r="S12" s="64"/>
      <c r="T12" s="64"/>
      <c r="U12" s="64"/>
      <c r="V12" s="64"/>
      <c r="W12" s="65"/>
      <c r="X12" s="16"/>
    </row>
    <row r="13" spans="2:24" ht="18.75" x14ac:dyDescent="0.35">
      <c r="B13" s="38"/>
      <c r="C13" s="39">
        <f>'LMM '!F13</f>
        <v>0</v>
      </c>
      <c r="D13" s="23">
        <f>'LMM '!H13</f>
        <v>0.25</v>
      </c>
      <c r="E13" s="23">
        <f t="shared" si="4"/>
        <v>1.5</v>
      </c>
      <c r="F13" s="14">
        <f>'LMM '!O13</f>
        <v>0.3529987610338382</v>
      </c>
      <c r="G13" s="2">
        <f t="shared" si="5"/>
        <v>0.18691218793713721</v>
      </c>
      <c r="H13" s="18">
        <f t="shared" si="6"/>
        <v>2.3166037321540822E-2</v>
      </c>
      <c r="I13" s="2">
        <f t="shared" si="0"/>
        <v>9.2664149286163289E-2</v>
      </c>
      <c r="J13" s="15">
        <f t="shared" si="1"/>
        <v>0.30440786666274461</v>
      </c>
      <c r="K13">
        <v>7</v>
      </c>
      <c r="L13" s="32" t="s">
        <v>34</v>
      </c>
      <c r="M13" s="64">
        <f t="shared" si="2"/>
        <v>0.30440786666274461</v>
      </c>
      <c r="N13" s="64">
        <f t="shared" si="3"/>
        <v>0.32269412382370466</v>
      </c>
      <c r="O13" s="64">
        <f t="shared" si="7"/>
        <v>0.34136658338914239</v>
      </c>
      <c r="P13" s="64">
        <f t="shared" si="8"/>
        <v>0.36045602341621685</v>
      </c>
      <c r="Q13" s="64">
        <f t="shared" si="9"/>
        <v>0.37999133653312206</v>
      </c>
      <c r="R13" s="64">
        <f t="shared" ref="R13:R18" si="10">Q12</f>
        <v>0.4</v>
      </c>
      <c r="S13" s="64"/>
      <c r="T13" s="64"/>
      <c r="U13" s="64"/>
      <c r="V13" s="64"/>
      <c r="W13" s="65"/>
      <c r="X13" s="16"/>
    </row>
    <row r="14" spans="2:24" ht="18.75" x14ac:dyDescent="0.35">
      <c r="B14" s="38"/>
      <c r="C14" s="39">
        <f>'LMM '!F14</f>
        <v>0</v>
      </c>
      <c r="D14" s="23">
        <f>'LMM '!H14</f>
        <v>0.25</v>
      </c>
      <c r="E14" s="23">
        <f t="shared" si="4"/>
        <v>1.75</v>
      </c>
      <c r="F14" s="14">
        <f>'LMM '!O14</f>
        <v>0.34428319057002316</v>
      </c>
      <c r="G14" s="2">
        <f t="shared" si="5"/>
        <v>0.20742910179088103</v>
      </c>
      <c r="H14" s="18">
        <f t="shared" si="6"/>
        <v>2.0516913853743851E-2</v>
      </c>
      <c r="I14" s="2">
        <f t="shared" si="0"/>
        <v>8.2067655414975405E-2</v>
      </c>
      <c r="J14" s="15">
        <f t="shared" si="1"/>
        <v>0.28647452838773541</v>
      </c>
      <c r="K14">
        <v>8</v>
      </c>
      <c r="L14" s="32" t="s">
        <v>35</v>
      </c>
      <c r="M14" s="64">
        <f t="shared" si="2"/>
        <v>0.28647452838773541</v>
      </c>
      <c r="N14" s="64">
        <f t="shared" si="3"/>
        <v>0.30440786666274461</v>
      </c>
      <c r="O14" s="64">
        <f t="shared" si="7"/>
        <v>0.32269412382370466</v>
      </c>
      <c r="P14" s="64">
        <f t="shared" si="8"/>
        <v>0.34136658338914239</v>
      </c>
      <c r="Q14" s="64">
        <f t="shared" si="9"/>
        <v>0.36045602341621685</v>
      </c>
      <c r="R14" s="64">
        <f t="shared" si="10"/>
        <v>0.37999133653312206</v>
      </c>
      <c r="S14" s="64">
        <f>R13</f>
        <v>0.4</v>
      </c>
      <c r="T14" s="64"/>
      <c r="U14" s="64"/>
      <c r="V14" s="64"/>
      <c r="W14" s="65"/>
      <c r="X14" s="16"/>
    </row>
    <row r="15" spans="2:24" ht="18.75" x14ac:dyDescent="0.35">
      <c r="B15" s="38"/>
      <c r="C15" s="39">
        <f>'LMM '!F15</f>
        <v>0</v>
      </c>
      <c r="D15" s="23">
        <f>'LMM '!H15</f>
        <v>0.25</v>
      </c>
      <c r="E15" s="23">
        <f t="shared" si="4"/>
        <v>2</v>
      </c>
      <c r="F15" s="14">
        <f>'LMM '!O15</f>
        <v>0.33578280830768298</v>
      </c>
      <c r="G15" s="2">
        <f t="shared" si="5"/>
        <v>0.22550018870998834</v>
      </c>
      <c r="H15" s="18">
        <f t="shared" si="6"/>
        <v>1.8071086919107276E-2</v>
      </c>
      <c r="I15" s="2">
        <f t="shared" si="0"/>
        <v>7.2284347676429106E-2</v>
      </c>
      <c r="J15" s="15">
        <f t="shared" si="1"/>
        <v>0.26885748581065977</v>
      </c>
      <c r="K15">
        <v>9</v>
      </c>
      <c r="L15" s="32" t="s">
        <v>36</v>
      </c>
      <c r="M15" s="64">
        <f t="shared" si="2"/>
        <v>0.26885748581065977</v>
      </c>
      <c r="N15" s="64">
        <f t="shared" si="3"/>
        <v>0.28647452838773541</v>
      </c>
      <c r="O15" s="64">
        <f t="shared" si="7"/>
        <v>0.30440786666274461</v>
      </c>
      <c r="P15" s="64">
        <f t="shared" si="8"/>
        <v>0.32269412382370466</v>
      </c>
      <c r="Q15" s="64">
        <f t="shared" si="9"/>
        <v>0.34136658338914239</v>
      </c>
      <c r="R15" s="64">
        <f t="shared" si="10"/>
        <v>0.36045602341621685</v>
      </c>
      <c r="S15" s="64">
        <f>R14</f>
        <v>0.37999133653312206</v>
      </c>
      <c r="T15" s="64">
        <f>S14</f>
        <v>0.4</v>
      </c>
      <c r="U15" s="64"/>
      <c r="V15" s="64"/>
      <c r="W15" s="65"/>
      <c r="X15" s="16"/>
    </row>
    <row r="16" spans="2:24" ht="18.75" x14ac:dyDescent="0.35">
      <c r="B16" s="38"/>
      <c r="C16" s="39">
        <f>'LMM '!F16</f>
        <v>0</v>
      </c>
      <c r="D16" s="23">
        <f>'LMM '!H16</f>
        <v>0.25</v>
      </c>
      <c r="E16" s="23">
        <f t="shared" si="4"/>
        <v>2.25</v>
      </c>
      <c r="F16" s="14">
        <f>'LMM '!O16</f>
        <v>0.32749230123119277</v>
      </c>
      <c r="G16" s="2">
        <f t="shared" si="5"/>
        <v>0.24131521657283017</v>
      </c>
      <c r="H16" s="18">
        <f t="shared" si="6"/>
        <v>1.5815027862841863E-2</v>
      </c>
      <c r="I16" s="2">
        <f t="shared" si="0"/>
        <v>6.3260111451367451E-2</v>
      </c>
      <c r="J16" s="15">
        <f t="shared" si="1"/>
        <v>0.25151562864237176</v>
      </c>
      <c r="K16">
        <v>10</v>
      </c>
      <c r="L16" s="32" t="s">
        <v>37</v>
      </c>
      <c r="M16" s="64">
        <f t="shared" si="2"/>
        <v>0.25151562864237176</v>
      </c>
      <c r="N16" s="64">
        <f t="shared" si="3"/>
        <v>0.26885748581065977</v>
      </c>
      <c r="O16" s="64">
        <f t="shared" si="7"/>
        <v>0.28647452838773541</v>
      </c>
      <c r="P16" s="64">
        <f t="shared" si="8"/>
        <v>0.30440786666274461</v>
      </c>
      <c r="Q16" s="64">
        <f t="shared" si="9"/>
        <v>0.32269412382370466</v>
      </c>
      <c r="R16" s="64">
        <f t="shared" si="10"/>
        <v>0.34136658338914239</v>
      </c>
      <c r="S16" s="64">
        <f>R15</f>
        <v>0.36045602341621685</v>
      </c>
      <c r="T16" s="64">
        <f>S15</f>
        <v>0.37999133653312206</v>
      </c>
      <c r="U16" s="64">
        <f>T15</f>
        <v>0.4</v>
      </c>
      <c r="V16" s="64"/>
      <c r="W16" s="65"/>
      <c r="X16" s="16"/>
    </row>
    <row r="17" spans="2:24" ht="18.75" x14ac:dyDescent="0.35">
      <c r="B17" s="38"/>
      <c r="C17" s="39">
        <f>'LMM '!F17</f>
        <v>0</v>
      </c>
      <c r="D17" s="23">
        <f>'LMM '!H17</f>
        <v>0.25</v>
      </c>
      <c r="E17" s="23">
        <f t="shared" si="4"/>
        <v>2.5</v>
      </c>
      <c r="F17" s="14">
        <f>'LMM '!O17</f>
        <v>0.31940648750375084</v>
      </c>
      <c r="G17" s="2">
        <f>F17^2*E17</f>
        <v>0.25505126064870937</v>
      </c>
      <c r="H17" s="18">
        <f>G17-SUMPRODUCT((N17:X17)^2,N$6:X$6)</f>
        <v>1.3736044075879167E-2</v>
      </c>
      <c r="I17" s="2">
        <f t="shared" si="0"/>
        <v>5.4944176303516667E-2</v>
      </c>
      <c r="J17" s="15">
        <f t="shared" si="1"/>
        <v>0.23440174125530011</v>
      </c>
      <c r="K17">
        <v>11</v>
      </c>
      <c r="L17" s="32" t="s">
        <v>38</v>
      </c>
      <c r="M17" s="64">
        <f t="shared" ref="M17:M18" si="11">J17</f>
        <v>0.23440174125530011</v>
      </c>
      <c r="N17" s="64">
        <f t="shared" si="3"/>
        <v>0.25151562864237176</v>
      </c>
      <c r="O17" s="64">
        <f t="shared" si="7"/>
        <v>0.26885748581065977</v>
      </c>
      <c r="P17" s="64">
        <f t="shared" si="8"/>
        <v>0.28647452838773541</v>
      </c>
      <c r="Q17" s="64">
        <f t="shared" si="9"/>
        <v>0.30440786666274461</v>
      </c>
      <c r="R17" s="64">
        <f t="shared" si="10"/>
        <v>0.32269412382370466</v>
      </c>
      <c r="S17" s="64">
        <f>R16</f>
        <v>0.34136658338914239</v>
      </c>
      <c r="T17" s="64">
        <f>S16</f>
        <v>0.36045602341621685</v>
      </c>
      <c r="U17" s="64">
        <f>T16</f>
        <v>0.37999133653312206</v>
      </c>
      <c r="V17" s="64">
        <f>U16</f>
        <v>0.4</v>
      </c>
      <c r="W17" s="65"/>
      <c r="X17" s="16"/>
    </row>
    <row r="18" spans="2:24" ht="18.75" x14ac:dyDescent="0.35">
      <c r="B18" s="38"/>
      <c r="C18" s="39">
        <f>'LMM '!F18</f>
        <v>0</v>
      </c>
      <c r="D18" s="23">
        <f>'LMM '!H18</f>
        <v>0.25</v>
      </c>
      <c r="E18" s="23">
        <f t="shared" si="4"/>
        <v>2.75</v>
      </c>
      <c r="F18" s="14">
        <f>'LMM '!O18</f>
        <v>0.311520313228562</v>
      </c>
      <c r="G18" s="2">
        <f>F18^2*E18</f>
        <v>0.26687349027355878</v>
      </c>
      <c r="H18" s="18">
        <f t="shared" si="6"/>
        <v>1.1822229624849467E-2</v>
      </c>
      <c r="I18" s="2">
        <f t="shared" si="0"/>
        <v>4.728891849939787E-2</v>
      </c>
      <c r="J18" s="15">
        <f t="shared" si="1"/>
        <v>0.21746015381995357</v>
      </c>
      <c r="K18">
        <v>12</v>
      </c>
      <c r="L18" s="44" t="s">
        <v>39</v>
      </c>
      <c r="M18" s="66">
        <f t="shared" si="11"/>
        <v>0.21746015381995357</v>
      </c>
      <c r="N18" s="66">
        <f t="shared" si="3"/>
        <v>0.23440174125530011</v>
      </c>
      <c r="O18" s="66">
        <f t="shared" si="7"/>
        <v>0.25151562864237176</v>
      </c>
      <c r="P18" s="66">
        <f t="shared" si="8"/>
        <v>0.26885748581065977</v>
      </c>
      <c r="Q18" s="66">
        <f t="shared" si="9"/>
        <v>0.28647452838773541</v>
      </c>
      <c r="R18" s="66">
        <f t="shared" si="10"/>
        <v>0.30440786666274461</v>
      </c>
      <c r="S18" s="66">
        <f>R17</f>
        <v>0.32269412382370466</v>
      </c>
      <c r="T18" s="66">
        <f>S17</f>
        <v>0.34136658338914239</v>
      </c>
      <c r="U18" s="66">
        <f>T17</f>
        <v>0.36045602341621685</v>
      </c>
      <c r="V18" s="66">
        <f>U17</f>
        <v>0.37999133653312206</v>
      </c>
      <c r="W18" s="67">
        <f>V17</f>
        <v>0.4</v>
      </c>
      <c r="X18" s="16"/>
    </row>
    <row r="19" spans="2:24" x14ac:dyDescent="0.25">
      <c r="B19" s="38"/>
      <c r="C19" s="39">
        <f>'LMM '!F19</f>
        <v>0</v>
      </c>
      <c r="D19" s="23"/>
      <c r="E19" s="23"/>
      <c r="F19" s="14"/>
      <c r="G19" s="2"/>
      <c r="H19" s="18"/>
      <c r="I19" s="2"/>
      <c r="J19" s="15"/>
      <c r="L19" s="23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</row>
    <row r="20" spans="2:24" x14ac:dyDescent="0.25">
      <c r="B20" s="38"/>
      <c r="C20" s="39"/>
      <c r="D20" s="23"/>
      <c r="E20" s="23"/>
      <c r="F20" s="2"/>
      <c r="G20" s="2"/>
      <c r="I20" s="2"/>
      <c r="J20" s="2"/>
    </row>
    <row r="21" spans="2:24" x14ac:dyDescent="0.25">
      <c r="B21" s="38"/>
      <c r="C21" s="39"/>
      <c r="D21" s="23"/>
      <c r="E21" s="23"/>
      <c r="F21" s="2"/>
      <c r="G21" s="2"/>
      <c r="I21" s="2"/>
      <c r="J21" s="2"/>
      <c r="L21" s="2"/>
    </row>
    <row r="22" spans="2:24" x14ac:dyDescent="0.25">
      <c r="B22" s="38"/>
      <c r="C22" s="39"/>
      <c r="D22" s="23"/>
      <c r="E22" s="23"/>
      <c r="F22" s="2"/>
      <c r="G22" s="2"/>
      <c r="I22" s="2"/>
      <c r="J22" s="2"/>
      <c r="L22" s="23"/>
    </row>
    <row r="23" spans="2:24" x14ac:dyDescent="0.25">
      <c r="B23" s="38"/>
      <c r="C23" s="39"/>
      <c r="F23" s="2"/>
      <c r="G23" s="2"/>
      <c r="I23" s="2"/>
      <c r="J23" s="23"/>
      <c r="K23" s="23"/>
      <c r="N23" s="23"/>
      <c r="O23" s="23"/>
      <c r="P23" s="23"/>
      <c r="Q23" s="23"/>
      <c r="R23" s="23"/>
      <c r="S23" s="23"/>
      <c r="T23" s="23"/>
      <c r="U23" s="23"/>
    </row>
    <row r="29" spans="2:24" x14ac:dyDescent="0.25">
      <c r="L29" s="2"/>
    </row>
    <row r="30" spans="2:24" x14ac:dyDescent="0.25">
      <c r="L30" s="2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5:AZ35"/>
  <sheetViews>
    <sheetView topLeftCell="A21" workbookViewId="0">
      <selection activeCell="D25" sqref="D25:D49"/>
    </sheetView>
  </sheetViews>
  <sheetFormatPr defaultRowHeight="15" x14ac:dyDescent="0.25"/>
  <cols>
    <col min="2" max="2" width="9.28515625" customWidth="1"/>
    <col min="3" max="3" width="4" bestFit="1" customWidth="1"/>
    <col min="4" max="4" width="12.140625" bestFit="1" customWidth="1"/>
    <col min="5" max="5" width="9.140625" customWidth="1"/>
    <col min="6" max="6" width="10.140625" bestFit="1" customWidth="1"/>
    <col min="7" max="7" width="9.5703125" bestFit="1" customWidth="1"/>
    <col min="8" max="8" width="8.140625" bestFit="1" customWidth="1"/>
    <col min="9" max="9" width="11.5703125" bestFit="1" customWidth="1"/>
    <col min="10" max="10" width="14.42578125" customWidth="1"/>
    <col min="11" max="11" width="15.7109375" customWidth="1"/>
    <col min="12" max="12" width="11.5703125" bestFit="1" customWidth="1"/>
    <col min="13" max="13" width="10.140625" bestFit="1" customWidth="1"/>
    <col min="14" max="14" width="13.7109375" bestFit="1" customWidth="1"/>
    <col min="15" max="15" width="13.42578125" bestFit="1" customWidth="1"/>
    <col min="16" max="16" width="14.5703125" customWidth="1"/>
    <col min="17" max="17" width="10.140625" bestFit="1" customWidth="1"/>
    <col min="18" max="19" width="12.5703125" bestFit="1" customWidth="1"/>
    <col min="20" max="20" width="11.5703125" bestFit="1" customWidth="1"/>
    <col min="21" max="21" width="10.140625" bestFit="1" customWidth="1"/>
    <col min="22" max="22" width="12.5703125" bestFit="1" customWidth="1"/>
    <col min="23" max="23" width="13.42578125" bestFit="1" customWidth="1"/>
    <col min="24" max="24" width="15.42578125" customWidth="1"/>
    <col min="25" max="25" width="10.140625" bestFit="1" customWidth="1"/>
    <col min="26" max="27" width="12.5703125" bestFit="1" customWidth="1"/>
    <col min="28" max="28" width="11.5703125" bestFit="1" customWidth="1"/>
    <col min="29" max="29" width="10.140625" bestFit="1" customWidth="1"/>
    <col min="30" max="30" width="12.5703125" bestFit="1" customWidth="1"/>
    <col min="31" max="31" width="13.42578125" bestFit="1" customWidth="1"/>
    <col min="32" max="32" width="11.5703125" bestFit="1" customWidth="1"/>
    <col min="33" max="33" width="10.140625" bestFit="1" customWidth="1"/>
    <col min="34" max="34" width="12.5703125" bestFit="1" customWidth="1"/>
    <col min="35" max="35" width="13.42578125" bestFit="1" customWidth="1"/>
    <col min="36" max="36" width="11.5703125" bestFit="1" customWidth="1"/>
    <col min="37" max="37" width="10.140625" bestFit="1" customWidth="1"/>
    <col min="38" max="39" width="12.5703125" bestFit="1" customWidth="1"/>
    <col min="40" max="40" width="11.5703125" bestFit="1" customWidth="1"/>
    <col min="41" max="41" width="10.140625" bestFit="1" customWidth="1"/>
    <col min="42" max="43" width="12.5703125" bestFit="1" customWidth="1"/>
    <col min="44" max="44" width="11.5703125" bestFit="1" customWidth="1"/>
    <col min="45" max="45" width="10.140625" bestFit="1" customWidth="1"/>
    <col min="46" max="46" width="12.5703125" bestFit="1" customWidth="1"/>
    <col min="47" max="47" width="12" bestFit="1" customWidth="1"/>
    <col min="48" max="48" width="15" customWidth="1"/>
    <col min="49" max="49" width="10.140625" bestFit="1" customWidth="1"/>
    <col min="50" max="50" width="12.5703125" bestFit="1" customWidth="1"/>
    <col min="51" max="51" width="13.28515625" bestFit="1" customWidth="1"/>
    <col min="52" max="52" width="11.5703125" bestFit="1" customWidth="1"/>
  </cols>
  <sheetData>
    <row r="5" spans="2:52" x14ac:dyDescent="0.25">
      <c r="K5">
        <v>1.0874032753973999</v>
      </c>
      <c r="O5">
        <v>-1.1661809863000001</v>
      </c>
      <c r="S5">
        <v>0.21339917990000001</v>
      </c>
      <c r="W5">
        <v>-0.98979677649999998</v>
      </c>
      <c r="AA5">
        <v>0.88575185560000003</v>
      </c>
      <c r="AE5">
        <v>-2.0221040322000001</v>
      </c>
      <c r="AI5">
        <v>-1.5258033161</v>
      </c>
      <c r="AM5">
        <v>1.5573542045</v>
      </c>
      <c r="AQ5">
        <v>1.3783155543000001</v>
      </c>
      <c r="AU5">
        <v>0.33758327360000001</v>
      </c>
      <c r="AY5">
        <v>0.23758327360000001</v>
      </c>
    </row>
    <row r="6" spans="2:52" x14ac:dyDescent="0.25">
      <c r="K6" s="70">
        <f>ROUND(K5,5)</f>
        <v>1.0873999999999999</v>
      </c>
      <c r="L6" s="22"/>
      <c r="O6" s="70">
        <f>ROUND(O5,5)</f>
        <v>-1.16618</v>
      </c>
      <c r="P6" s="5"/>
      <c r="S6" s="70">
        <f>ROUND(S5,5)</f>
        <v>0.21340000000000001</v>
      </c>
      <c r="T6" s="5"/>
      <c r="W6" s="70">
        <f>ROUND(-0.9897967765,5)</f>
        <v>-0.98980000000000001</v>
      </c>
      <c r="X6" s="5"/>
      <c r="AA6" s="70">
        <f>ROUND(AA5,5)</f>
        <v>0.88575000000000004</v>
      </c>
      <c r="AB6" s="5"/>
      <c r="AE6" s="70">
        <f>ROUND(AE5,5)</f>
        <v>-2.0221</v>
      </c>
      <c r="AF6" s="5"/>
      <c r="AI6" s="70">
        <f>ROUND(AI5,5)</f>
        <v>-1.5258</v>
      </c>
      <c r="AJ6" s="5"/>
      <c r="AM6" s="70">
        <f>ROUND(AM5,5)</f>
        <v>1.55735</v>
      </c>
      <c r="AN6" s="5"/>
      <c r="AQ6" s="70">
        <f>ROUND(AQ5,5)</f>
        <v>1.37832</v>
      </c>
      <c r="AR6" s="5"/>
      <c r="AU6">
        <f>ROUND(AU5,5)</f>
        <v>0.33757999999999999</v>
      </c>
      <c r="AY6">
        <f>ROUND(AY5,5)</f>
        <v>0.23758000000000001</v>
      </c>
    </row>
    <row r="7" spans="2:52" x14ac:dyDescent="0.25">
      <c r="K7" s="10">
        <v>1</v>
      </c>
      <c r="L7" s="7"/>
      <c r="O7" s="10">
        <v>2</v>
      </c>
      <c r="P7" s="8"/>
      <c r="S7" s="10">
        <v>3</v>
      </c>
      <c r="T7" s="10"/>
      <c r="W7" s="10">
        <v>4</v>
      </c>
      <c r="X7" s="10"/>
      <c r="AA7" s="10">
        <v>5</v>
      </c>
      <c r="AB7" s="10"/>
      <c r="AE7" s="10">
        <v>6</v>
      </c>
      <c r="AF7" s="10"/>
      <c r="AI7" s="10">
        <v>7</v>
      </c>
      <c r="AJ7" s="10"/>
      <c r="AM7" s="10">
        <v>8</v>
      </c>
      <c r="AN7" s="10"/>
      <c r="AQ7" s="10">
        <v>9</v>
      </c>
      <c r="AR7" s="10"/>
      <c r="AU7">
        <v>10</v>
      </c>
      <c r="AY7">
        <v>11</v>
      </c>
    </row>
    <row r="8" spans="2:52" ht="20.25" x14ac:dyDescent="0.35">
      <c r="C8" s="97" t="s">
        <v>65</v>
      </c>
      <c r="D8" s="98"/>
      <c r="E8" s="50" t="s">
        <v>40</v>
      </c>
      <c r="F8" s="51" t="s">
        <v>71</v>
      </c>
      <c r="G8" s="34" t="s">
        <v>60</v>
      </c>
      <c r="H8" s="6" t="s">
        <v>41</v>
      </c>
      <c r="I8" s="12" t="s">
        <v>45</v>
      </c>
      <c r="J8" s="12"/>
      <c r="K8" s="3" t="s">
        <v>43</v>
      </c>
      <c r="L8" s="3" t="s">
        <v>74</v>
      </c>
      <c r="M8" t="s">
        <v>44</v>
      </c>
      <c r="N8" s="12" t="s">
        <v>45</v>
      </c>
      <c r="O8" s="3" t="s">
        <v>46</v>
      </c>
      <c r="P8" s="3" t="s">
        <v>75</v>
      </c>
      <c r="Q8" t="s">
        <v>44</v>
      </c>
      <c r="R8" s="12" t="s">
        <v>45</v>
      </c>
      <c r="S8" s="3" t="s">
        <v>47</v>
      </c>
      <c r="T8" s="3" t="s">
        <v>76</v>
      </c>
      <c r="U8" t="s">
        <v>44</v>
      </c>
      <c r="V8" s="12" t="s">
        <v>45</v>
      </c>
      <c r="W8" s="3" t="s">
        <v>48</v>
      </c>
      <c r="X8" s="3" t="s">
        <v>77</v>
      </c>
      <c r="Y8" t="s">
        <v>44</v>
      </c>
      <c r="Z8" s="12" t="s">
        <v>45</v>
      </c>
      <c r="AA8" s="3" t="s">
        <v>49</v>
      </c>
      <c r="AB8" s="3" t="s">
        <v>78</v>
      </c>
      <c r="AC8" t="s">
        <v>44</v>
      </c>
      <c r="AD8" s="12" t="s">
        <v>45</v>
      </c>
      <c r="AE8" s="3" t="s">
        <v>50</v>
      </c>
      <c r="AF8" s="3" t="s">
        <v>79</v>
      </c>
      <c r="AG8" t="s">
        <v>44</v>
      </c>
      <c r="AH8" s="12" t="s">
        <v>45</v>
      </c>
      <c r="AI8" s="3" t="s">
        <v>51</v>
      </c>
      <c r="AJ8" s="3" t="s">
        <v>80</v>
      </c>
      <c r="AK8" t="s">
        <v>44</v>
      </c>
      <c r="AL8" s="12" t="s">
        <v>45</v>
      </c>
      <c r="AM8" s="3" t="s">
        <v>52</v>
      </c>
      <c r="AN8" s="3" t="s">
        <v>81</v>
      </c>
      <c r="AO8" t="s">
        <v>44</v>
      </c>
      <c r="AP8" s="12" t="s">
        <v>45</v>
      </c>
      <c r="AQ8" s="3" t="s">
        <v>53</v>
      </c>
      <c r="AR8" s="3" t="s">
        <v>82</v>
      </c>
      <c r="AS8" t="s">
        <v>44</v>
      </c>
      <c r="AT8" s="12" t="s">
        <v>45</v>
      </c>
      <c r="AU8" s="3" t="s">
        <v>54</v>
      </c>
      <c r="AV8" s="3" t="s">
        <v>83</v>
      </c>
      <c r="AW8" t="s">
        <v>44</v>
      </c>
      <c r="AX8" s="12" t="s">
        <v>45</v>
      </c>
      <c r="AY8" s="3" t="s">
        <v>66</v>
      </c>
      <c r="AZ8" s="3" t="s">
        <v>67</v>
      </c>
    </row>
    <row r="9" spans="2:52" ht="18.75" x14ac:dyDescent="0.35">
      <c r="B9">
        <v>0</v>
      </c>
      <c r="C9" s="31" t="s">
        <v>28</v>
      </c>
      <c r="D9" s="82">
        <v>1</v>
      </c>
      <c r="E9" s="78">
        <f>'LMM '!H7</f>
        <v>0.25</v>
      </c>
      <c r="F9" s="42">
        <f>'LMM '!J7</f>
        <v>0.02</v>
      </c>
      <c r="G9" s="43">
        <f>1/(1 + E9*F9)</f>
        <v>0.99502487562189068</v>
      </c>
      <c r="H9" s="2"/>
      <c r="K9" s="2"/>
      <c r="L9" s="2"/>
    </row>
    <row r="10" spans="2:52" ht="18.75" x14ac:dyDescent="0.35">
      <c r="B10">
        <v>1</v>
      </c>
      <c r="C10" s="32" t="s">
        <v>29</v>
      </c>
      <c r="D10">
        <v>2</v>
      </c>
      <c r="E10" s="79">
        <f>'LMM '!H8</f>
        <v>0.25</v>
      </c>
      <c r="F10" s="40">
        <f>'LMM '!J8</f>
        <v>2.0506302410488578E-2</v>
      </c>
      <c r="G10" s="33">
        <f t="shared" ref="G10:G19" si="0">G9/(1 + E10*F10)</f>
        <v>0.9899498230114202</v>
      </c>
      <c r="H10" s="2">
        <f>'LMM '!L8</f>
        <v>0.4</v>
      </c>
      <c r="I10" s="8">
        <f t="shared" ref="I10:I20" si="1">$E10*$H10*F10/(1 + $E10*F10)</f>
        <v>2.0401711494091234E-3</v>
      </c>
      <c r="J10" s="5">
        <f>SUM(I11:$I$20)*H10</f>
        <v>6.8727696465135761E-3</v>
      </c>
      <c r="K10" s="20">
        <f>F10*EXP((-SUM(I11:$I$20)*H10 - 0.5*H10^2)*$E$9 + H10*SQRT($E$9)*K$6)</f>
        <v>2.4940527259381721E-2</v>
      </c>
      <c r="L10" s="8">
        <f>1/(1+$E10*K10)</f>
        <v>0.99380350415354735</v>
      </c>
      <c r="N10" s="7"/>
      <c r="R10" s="7"/>
      <c r="V10" s="7"/>
      <c r="Z10" s="7"/>
      <c r="AD10" s="7"/>
      <c r="AH10" s="7"/>
      <c r="AL10" s="7"/>
      <c r="AP10" s="7"/>
    </row>
    <row r="11" spans="2:52" ht="18.75" x14ac:dyDescent="0.35">
      <c r="B11">
        <v>2</v>
      </c>
      <c r="C11" s="32" t="s">
        <v>30</v>
      </c>
      <c r="D11">
        <v>3</v>
      </c>
      <c r="E11" s="79">
        <f>'LMM '!H9</f>
        <v>0.25</v>
      </c>
      <c r="F11" s="40">
        <f>'LMM '!J9</f>
        <v>2.1025421927520483E-2</v>
      </c>
      <c r="G11" s="33">
        <f t="shared" si="0"/>
        <v>0.98477350340836933</v>
      </c>
      <c r="H11" s="2">
        <f>'LMM '!L9</f>
        <v>0.37999133653312206</v>
      </c>
      <c r="I11" s="8">
        <f t="shared" si="1"/>
        <v>1.9869255578049741E-3</v>
      </c>
      <c r="J11" s="5">
        <f>SUM(I12:$I$20)*H11</f>
        <v>5.7739678108552853E-3</v>
      </c>
      <c r="K11" s="20">
        <f>F11*EXP((-SUM(I12:$I$20)*H11 - 0.5*H11^2)*$E$9 + H11*SQRT($E$9)*K$6)</f>
        <v>2.5351575912900087E-2</v>
      </c>
      <c r="L11" s="8">
        <f t="shared" ref="L11:L20" si="2">L10/(1+$E11*K11)</f>
        <v>0.98754455148744613</v>
      </c>
      <c r="M11" s="9">
        <f t="shared" ref="M11:M20" si="3">INDEX($H$10:$H$21,$B11-K$7)</f>
        <v>0.4</v>
      </c>
      <c r="N11" s="5">
        <f t="shared" ref="N11:N20" si="4">$E11*M11*K11/(1 + $E11*K11)</f>
        <v>2.5191912243988936E-3</v>
      </c>
      <c r="O11" s="20">
        <f>K11*EXP((-SUM(N12:$N$20)*M11 - 0.5*M11^2)*$E$10 + M11*SQRT($E$10)*O$6)</f>
        <v>1.9643263336945684E-2</v>
      </c>
      <c r="P11" s="8">
        <f>1/(1+$E11*O11)</f>
        <v>0.99511318242688074</v>
      </c>
      <c r="Q11" s="9"/>
      <c r="R11" s="5"/>
      <c r="U11" s="9"/>
      <c r="V11" s="5"/>
      <c r="Y11" s="9"/>
      <c r="Z11" s="5"/>
      <c r="AC11" s="9"/>
      <c r="AD11" s="5"/>
      <c r="AG11" s="9"/>
      <c r="AH11" s="5"/>
      <c r="AK11" s="9"/>
      <c r="AL11" s="5"/>
      <c r="AO11" s="9"/>
      <c r="AP11" s="5"/>
    </row>
    <row r="12" spans="2:52" ht="18.75" x14ac:dyDescent="0.35">
      <c r="B12">
        <v>3</v>
      </c>
      <c r="C12" s="32" t="s">
        <v>31</v>
      </c>
      <c r="D12">
        <v>4</v>
      </c>
      <c r="E12" s="79">
        <f>'LMM '!H10</f>
        <v>0.25</v>
      </c>
      <c r="F12" s="40">
        <f>'LMM '!J10</f>
        <v>2.155768301769263E-2</v>
      </c>
      <c r="G12" s="33">
        <f t="shared" si="0"/>
        <v>0.97949459490971758</v>
      </c>
      <c r="H12" s="2">
        <f>'LMM '!L10</f>
        <v>0.36045602341621685</v>
      </c>
      <c r="I12" s="8">
        <f t="shared" si="1"/>
        <v>1.932235543316614E-3</v>
      </c>
      <c r="J12" s="5">
        <f>SUM(I13:$I$20)*H12</f>
        <v>4.7806428159570952E-3</v>
      </c>
      <c r="K12" s="20">
        <f>F12*EXP((-SUM(I13:$I$20)*H12 - 0.5*H12^2)*$E$9 + H12*SQRT($E$9)*K$6)</f>
        <v>2.5771674073959795E-2</v>
      </c>
      <c r="L12" s="8">
        <f t="shared" si="2"/>
        <v>0.98122261413606771</v>
      </c>
      <c r="M12" s="9">
        <f t="shared" si="3"/>
        <v>0.37999133653312206</v>
      </c>
      <c r="N12" s="5">
        <f t="shared" si="4"/>
        <v>2.432580302337355E-3</v>
      </c>
      <c r="O12" s="20">
        <f>K12*EXP((-SUM(N13:$N$20)*M12 - 0.5*M12^2)*$E$10 + M12*SQRT($E$10)*O$6)</f>
        <v>2.0249130706172205E-2</v>
      </c>
      <c r="P12" s="8">
        <f t="shared" ref="P12:P20" si="5">P11/(1+$E12*O12)</f>
        <v>0.99010101122970495</v>
      </c>
      <c r="Q12" s="9">
        <f t="shared" ref="Q12:Q20" si="6">INDEX($H$10:$H$21,$B12-O$7)</f>
        <v>0.4</v>
      </c>
      <c r="R12" s="5">
        <f t="shared" ref="R12:R20" si="7">$E12*Q12*O12/(1 + $E12*O12)</f>
        <v>2.014714018741955E-3</v>
      </c>
      <c r="S12" s="11">
        <f>O12*EXP((-SUM(R13:$R$20)*Q12 - 0.5*Q12^2)*$E$11 + Q12*SQRT($E$11)*S$6)</f>
        <v>2.0683927581516045E-2</v>
      </c>
      <c r="T12" s="8">
        <f>1/(1+$E12*S12)</f>
        <v>0.99485561960251945</v>
      </c>
      <c r="U12" s="9"/>
      <c r="V12" s="5"/>
      <c r="W12" s="11"/>
      <c r="X12" s="11"/>
      <c r="Y12" s="9"/>
      <c r="Z12" s="5"/>
      <c r="AA12" s="11"/>
      <c r="AB12" s="11"/>
      <c r="AC12" s="9"/>
      <c r="AD12" s="5"/>
      <c r="AE12" s="11"/>
      <c r="AF12" s="11"/>
      <c r="AG12" s="9"/>
      <c r="AH12" s="5"/>
      <c r="AI12" s="11"/>
      <c r="AJ12" s="11"/>
      <c r="AK12" s="9"/>
      <c r="AL12" s="5"/>
      <c r="AM12" s="11"/>
      <c r="AN12" s="11"/>
      <c r="AO12" s="9"/>
      <c r="AP12" s="5"/>
      <c r="AQ12" s="11"/>
      <c r="AR12" s="11"/>
    </row>
    <row r="13" spans="2:52" ht="18.75" x14ac:dyDescent="0.35">
      <c r="B13">
        <v>4</v>
      </c>
      <c r="C13" s="32" t="s">
        <v>32</v>
      </c>
      <c r="D13">
        <v>5</v>
      </c>
      <c r="E13" s="79">
        <f>'LMM '!H11</f>
        <v>0.25</v>
      </c>
      <c r="F13" s="40">
        <f>'LMM '!J11</f>
        <v>2.2103418361512955E-2</v>
      </c>
      <c r="G13" s="33">
        <f t="shared" si="0"/>
        <v>0.97411179477700749</v>
      </c>
      <c r="H13" s="2">
        <f>'LMM '!L11</f>
        <v>0.34136658338914239</v>
      </c>
      <c r="I13" s="8">
        <f t="shared" si="1"/>
        <v>1.8759757327086023E-3</v>
      </c>
      <c r="J13" s="5">
        <f>SUM(I14:$I$20)*H13</f>
        <v>3.8870686703901735E-3</v>
      </c>
      <c r="K13" s="20">
        <f>F13*EXP((-SUM(I14:$I$20)*H13 - 0.5*H13^2)*$E$9 + H13*SQRT($E$9)*K$6)</f>
        <v>2.6200935722884799E-2</v>
      </c>
      <c r="L13" s="8">
        <f t="shared" si="2"/>
        <v>0.97483720241587379</v>
      </c>
      <c r="M13" s="9">
        <f t="shared" si="3"/>
        <v>0.36045602341621685</v>
      </c>
      <c r="N13" s="5">
        <f t="shared" si="4"/>
        <v>2.3457063497898372E-3</v>
      </c>
      <c r="O13" s="20">
        <f>K13*EXP((-SUM(N14:$N$20)*M13 - 0.5*M13^2)*$E$10 + M13*SQRT($E$10)*O$6)</f>
        <v>2.0865995186146492E-2</v>
      </c>
      <c r="P13" s="8">
        <f t="shared" si="5"/>
        <v>0.98496295316986116</v>
      </c>
      <c r="Q13" s="9">
        <f t="shared" si="6"/>
        <v>0.37999133653312206</v>
      </c>
      <c r="R13" s="5">
        <f t="shared" si="7"/>
        <v>1.9719377388776735E-3</v>
      </c>
      <c r="S13" s="11">
        <f>O13*EXP((-SUM(R14:$R$20)*Q13 - 0.5*Q13^2)*$E$11 + Q13*SQRT($E$11)*S$6)</f>
        <v>2.1315636326385504E-2</v>
      </c>
      <c r="T13" s="8">
        <f t="shared" ref="T13:T20" si="8">T12/(1+$E13*S13)</f>
        <v>0.98958222589197731</v>
      </c>
      <c r="U13" s="9">
        <f t="shared" ref="U13:U20" si="9">INDEX($H$10:$H$21,$B13-S$7)</f>
        <v>0.4</v>
      </c>
      <c r="V13" s="5">
        <f t="shared" ref="V13:V20" si="10">$E13*U13*S13/(1 + $E13*S13)</f>
        <v>2.120264933578613E-3</v>
      </c>
      <c r="W13" s="11">
        <f>S13*EXP((-SUM(V14:$V$20)*U13 - 0.5*U13^2)*$E$12 + U13*SQRT($E$12)*W$6)</f>
        <v>1.7118188112770532E-2</v>
      </c>
      <c r="X13" s="8">
        <f>1/(1+$E13*W13)</f>
        <v>0.99573868945070476</v>
      </c>
      <c r="Y13" s="9"/>
      <c r="Z13" s="5"/>
      <c r="AA13" s="11"/>
      <c r="AB13" s="11"/>
      <c r="AC13" s="9"/>
      <c r="AD13" s="5"/>
      <c r="AE13" s="11"/>
      <c r="AF13" s="11"/>
      <c r="AG13" s="9"/>
      <c r="AH13" s="5"/>
      <c r="AI13" s="11"/>
      <c r="AJ13" s="11"/>
      <c r="AK13" s="9"/>
      <c r="AL13" s="5"/>
      <c r="AM13" s="11"/>
      <c r="AN13" s="11"/>
      <c r="AO13" s="9"/>
      <c r="AP13" s="5"/>
      <c r="AQ13" s="11"/>
      <c r="AR13" s="11"/>
    </row>
    <row r="14" spans="2:52" ht="18.75" x14ac:dyDescent="0.35">
      <c r="B14">
        <v>5</v>
      </c>
      <c r="C14" s="32" t="s">
        <v>33</v>
      </c>
      <c r="D14">
        <v>6</v>
      </c>
      <c r="E14" s="79">
        <f>'LMM '!H12</f>
        <v>0.25</v>
      </c>
      <c r="F14" s="40">
        <f>'LMM '!J12</f>
        <v>2.2662969061336528E-2</v>
      </c>
      <c r="G14" s="33">
        <f t="shared" si="0"/>
        <v>0.96862382185034057</v>
      </c>
      <c r="H14" s="2">
        <f>'LMM '!L12</f>
        <v>0.32269412382370466</v>
      </c>
      <c r="I14" s="8">
        <f t="shared" si="1"/>
        <v>1.8180014087032027E-3</v>
      </c>
      <c r="J14" s="5">
        <f>SUM(I15:$I$20)*H14</f>
        <v>3.0877909735865746E-3</v>
      </c>
      <c r="K14" s="20">
        <f>F14*EXP((-SUM(I15:$I$20)*H14 - 0.5*H14^2)*$E$9 + H14*SQRT($E$9)*K$6)</f>
        <v>2.6639436252084831E-2</v>
      </c>
      <c r="L14" s="8">
        <f t="shared" si="2"/>
        <v>0.96838787564573481</v>
      </c>
      <c r="M14" s="9">
        <f t="shared" si="3"/>
        <v>0.34136658338914239</v>
      </c>
      <c r="N14" s="5">
        <f t="shared" si="4"/>
        <v>2.2584126244120329E-3</v>
      </c>
      <c r="O14" s="20">
        <f>K14*EXP((-SUM(N15:$N$20)*M14 - 0.5*M14^2)*$E$10 + M14*SQRT($E$10)*O$6)</f>
        <v>2.1494199379477885E-2</v>
      </c>
      <c r="P14" s="8">
        <f t="shared" si="5"/>
        <v>0.9796984944768462</v>
      </c>
      <c r="Q14" s="9">
        <f t="shared" si="6"/>
        <v>0.36045602341621685</v>
      </c>
      <c r="R14" s="5">
        <f t="shared" si="7"/>
        <v>1.926575857311294E-3</v>
      </c>
      <c r="S14" s="11">
        <f>O14*EXP((-SUM(R15:$R$20)*Q14 - 0.5*Q14^2)*$E$11 + Q14*SQRT($E$11)*S$6)</f>
        <v>2.195645001598763E-2</v>
      </c>
      <c r="T14" s="8">
        <f t="shared" si="8"/>
        <v>0.984179951414485</v>
      </c>
      <c r="U14" s="9">
        <f t="shared" si="9"/>
        <v>0.37999133653312206</v>
      </c>
      <c r="V14" s="5">
        <f t="shared" si="10"/>
        <v>2.0744284257639498E-3</v>
      </c>
      <c r="W14" s="11">
        <f>S14*EXP((-SUM(V15:$V$20)*U14 - 0.5*U14^2)*$E$12 + U14*SQRT($E$12)*W$6)</f>
        <v>1.7847773178041818E-2</v>
      </c>
      <c r="X14" s="8">
        <f t="shared" ref="X14:X20" si="11">X13/(1+$E14*W14)</f>
        <v>0.99131549592093593</v>
      </c>
      <c r="Y14" s="9">
        <f t="shared" ref="Y14:Y20" si="12">INDEX($H$10:$H$21,$B14-W$7)</f>
        <v>0.4</v>
      </c>
      <c r="Z14" s="5">
        <f t="shared" ref="Z14:Z20" si="13">$E14*Y14*W14/(1 + $E14*W14)</f>
        <v>1.7768491177976675E-3</v>
      </c>
      <c r="AA14" s="11">
        <f>W14*EXP((-SUM(Z15:$Z$20)*Y14 - 0.5*Y14^2)*$E$13 + Y14*SQRT($E$13)*AA$6)</f>
        <v>2.0863793716052632E-2</v>
      </c>
      <c r="AB14" s="8">
        <f>1/(1+$E14*AA14)</f>
        <v>0.99481111651962473</v>
      </c>
      <c r="AC14" s="9"/>
      <c r="AD14" s="5"/>
      <c r="AE14" s="11"/>
      <c r="AF14" s="11"/>
      <c r="AG14" s="9"/>
      <c r="AH14" s="5"/>
      <c r="AI14" s="11"/>
      <c r="AJ14" s="11"/>
      <c r="AK14" s="9"/>
      <c r="AL14" s="5"/>
      <c r="AM14" s="11"/>
      <c r="AN14" s="11"/>
      <c r="AO14" s="9"/>
      <c r="AP14" s="5"/>
      <c r="AQ14" s="11"/>
      <c r="AR14" s="11"/>
    </row>
    <row r="15" spans="2:52" ht="18.75" x14ac:dyDescent="0.35">
      <c r="B15">
        <v>6</v>
      </c>
      <c r="C15" s="32" t="s">
        <v>34</v>
      </c>
      <c r="D15">
        <v>7</v>
      </c>
      <c r="E15" s="79">
        <f>'LMM '!H13</f>
        <v>0.25</v>
      </c>
      <c r="F15" s="40">
        <f>'LMM '!J13</f>
        <v>2.3236684854565662E-2</v>
      </c>
      <c r="G15" s="33">
        <f t="shared" si="0"/>
        <v>0.96302941907118245</v>
      </c>
      <c r="H15" s="2">
        <f>'LMM '!L13</f>
        <v>0.30440786666274461</v>
      </c>
      <c r="I15" s="8">
        <f t="shared" si="1"/>
        <v>1.7581440563814445E-3</v>
      </c>
      <c r="J15" s="5">
        <f>SUM(I16:$I$20)*H15</f>
        <v>2.3776208128921507E-3</v>
      </c>
      <c r="K15" s="20">
        <f>F15*EXP((-SUM(I16:$I$20)*H15 - 0.5*H15^2)*$E$9 + H15*SQRT($E$9)*K$6)</f>
        <v>2.708720312078643E-2</v>
      </c>
      <c r="L15" s="8">
        <f t="shared" si="2"/>
        <v>0.96187425481651723</v>
      </c>
      <c r="M15" s="9">
        <f t="shared" si="3"/>
        <v>0.32269412382370466</v>
      </c>
      <c r="N15" s="5">
        <f t="shared" si="4"/>
        <v>2.1705219770565584E-3</v>
      </c>
      <c r="O15" s="20">
        <f>K15*EXP((-SUM(N16:$N$20)*M15 - 0.5*M15^2)*$E$10 + M15*SQRT($E$10)*O$6)</f>
        <v>2.2134092699948298E-2</v>
      </c>
      <c r="P15" s="8">
        <f t="shared" si="5"/>
        <v>0.97430714331973101</v>
      </c>
      <c r="Q15" s="9">
        <f t="shared" si="6"/>
        <v>0.34136658338914239</v>
      </c>
      <c r="R15" s="5">
        <f t="shared" si="7"/>
        <v>1.8785648183916911E-3</v>
      </c>
      <c r="S15" s="11">
        <f>O15*EXP((-SUM(R16:$R$20)*Q15 - 0.5*Q15^2)*$E$11 + Q15*SQRT($E$11)*S$6)</f>
        <v>2.2606668879703574E-2</v>
      </c>
      <c r="T15" s="8">
        <f t="shared" si="8"/>
        <v>0.97864895320583689</v>
      </c>
      <c r="U15" s="9">
        <f t="shared" si="9"/>
        <v>0.36045602341621685</v>
      </c>
      <c r="V15" s="5">
        <f t="shared" si="10"/>
        <v>2.025728747010333E-3</v>
      </c>
      <c r="W15" s="11">
        <f>S15*EXP((-SUM(V16:$V$20)*U15 - 0.5*U15^2)*$E$12 + U15*SQRT($E$12)*W$6)</f>
        <v>1.8592842801960299E-2</v>
      </c>
      <c r="X15" s="8">
        <f t="shared" si="11"/>
        <v>0.98672897175593632</v>
      </c>
      <c r="Y15" s="9">
        <f t="shared" si="12"/>
        <v>0.37999133653312206</v>
      </c>
      <c r="Z15" s="5">
        <f t="shared" si="13"/>
        <v>1.7581077413508215E-3</v>
      </c>
      <c r="AA15" s="11">
        <f>W15*EXP((-SUM(Z16:$Z$20)*Y15 - 0.5*Y15^2)*$E$13 + Y15*SQRT($E$13)*AA$6)</f>
        <v>2.158978871507649E-2</v>
      </c>
      <c r="AB15" s="8">
        <f t="shared" ref="AB15:AB20" si="14">AB14/(1+$E15*AA15)</f>
        <v>0.98947050175147089</v>
      </c>
      <c r="AC15" s="9">
        <f t="shared" ref="AC15:AC20" si="15">INDEX($H$10:$H$21,$B15-AA$7)</f>
        <v>0.4</v>
      </c>
      <c r="AD15" s="5">
        <f t="shared" ref="AD15:AD20" si="16">$E15*AC15*AA15/(1 + $E15*AA15)</f>
        <v>2.1473884557454644E-3</v>
      </c>
      <c r="AE15" s="11">
        <f>AA15*EXP((-SUM(AD16:$AD$20)*AC15 - 0.5*AC15^2)*$E$14 + AC15*SQRT($E$14)*AE$6)</f>
        <v>1.4108704441468448E-2</v>
      </c>
      <c r="AF15" s="8">
        <f>1/(1+$E15*AE15)</f>
        <v>0.99648522113368343</v>
      </c>
      <c r="AG15" s="9"/>
      <c r="AH15" s="5"/>
      <c r="AI15" s="11"/>
      <c r="AJ15" s="11"/>
      <c r="AK15" s="9"/>
      <c r="AL15" s="5"/>
      <c r="AM15" s="11"/>
      <c r="AN15" s="11"/>
      <c r="AO15" s="9"/>
      <c r="AP15" s="5"/>
      <c r="AQ15" s="11"/>
      <c r="AR15" s="11"/>
    </row>
    <row r="16" spans="2:52" ht="18.75" x14ac:dyDescent="0.35">
      <c r="B16">
        <v>7</v>
      </c>
      <c r="C16" s="32" t="s">
        <v>35</v>
      </c>
      <c r="D16">
        <v>8</v>
      </c>
      <c r="E16" s="79">
        <f>'LMM '!H14</f>
        <v>0.25</v>
      </c>
      <c r="F16" s="40">
        <f>'LMM '!J14</f>
        <v>2.3824924332247161E-2</v>
      </c>
      <c r="G16" s="33">
        <f t="shared" si="0"/>
        <v>0.95732735611601882</v>
      </c>
      <c r="H16" s="2">
        <f>'LMM '!L14</f>
        <v>0.28647452838773541</v>
      </c>
      <c r="I16" s="8">
        <f t="shared" si="1"/>
        <v>1.6962054985746261E-3</v>
      </c>
      <c r="J16" s="5">
        <f>SUM(I17:$I$20)*H16</f>
        <v>1.7516302607834885E-3</v>
      </c>
      <c r="K16" s="20">
        <f>F16*EXP((-SUM(I17:$I$20)*H16 - 0.5*H16^2)*$E$9 + H16*SQRT($E$9)*K$6)</f>
        <v>2.7544203388679852E-2</v>
      </c>
      <c r="L16" s="8">
        <f t="shared" si="2"/>
        <v>0.95529603772663163</v>
      </c>
      <c r="M16" s="9">
        <f t="shared" si="3"/>
        <v>0.30440786666274461</v>
      </c>
      <c r="N16" s="5">
        <f t="shared" si="4"/>
        <v>2.0818324440531554E-3</v>
      </c>
      <c r="O16" s="20">
        <f>K16*EXP((-SUM(N17:$N$20)*M16 - 0.5*M16^2)*$E$10 + M16*SQRT($E$10)*O$6)</f>
        <v>2.27860288950337E-2</v>
      </c>
      <c r="P16" s="8">
        <f t="shared" si="5"/>
        <v>0.96878843301278006</v>
      </c>
      <c r="Q16" s="9">
        <f t="shared" si="6"/>
        <v>0.32269412382370466</v>
      </c>
      <c r="R16" s="5">
        <f t="shared" si="7"/>
        <v>1.8278172333526259E-3</v>
      </c>
      <c r="S16" s="11">
        <f>O16*EXP((-SUM(R17:$R$20)*Q16 - 0.5*Q16^2)*$E$11 + Q16*SQRT($E$11)*S$6)</f>
        <v>2.3266592338017002E-2</v>
      </c>
      <c r="T16" s="8">
        <f t="shared" si="8"/>
        <v>0.97298941618195911</v>
      </c>
      <c r="U16" s="9">
        <f t="shared" si="9"/>
        <v>0.34136658338914239</v>
      </c>
      <c r="V16" s="5">
        <f t="shared" si="10"/>
        <v>1.9741264843504492E-3</v>
      </c>
      <c r="W16" s="11">
        <f>S16*EXP((-SUM(V17:$V$20)*U16 - 0.5*U16^2)*$E$12 + U16*SQRT($E$12)*W$6)</f>
        <v>1.9353729849986422E-2</v>
      </c>
      <c r="X16" s="8">
        <f t="shared" si="11"/>
        <v>0.98197773878713968</v>
      </c>
      <c r="Y16" s="9">
        <f t="shared" si="12"/>
        <v>0.36045602341621685</v>
      </c>
      <c r="Z16" s="5">
        <f t="shared" si="13"/>
        <v>1.7356443271436602E-3</v>
      </c>
      <c r="AA16" s="11">
        <f>W16*EXP((-SUM(Z17:$Z$20)*Y16 - 0.5*Y16^2)*$E$13 + Y16*SQRT($E$13)*AA$6)</f>
        <v>2.2324453048880262E-2</v>
      </c>
      <c r="AB16" s="8">
        <f t="shared" si="14"/>
        <v>0.98397880459539999</v>
      </c>
      <c r="AC16" s="9">
        <f t="shared" si="15"/>
        <v>0.37999133653312206</v>
      </c>
      <c r="AD16" s="5">
        <f t="shared" si="16"/>
        <v>2.1090040971172381E-3</v>
      </c>
      <c r="AE16" s="11">
        <f>AA16*EXP((-SUM(AD17:$AD$20)*AC16 - 0.5*AC16^2)*$E$14 + AC16*SQRT($E$14)*AE$6)</f>
        <v>1.4919744837030032E-2</v>
      </c>
      <c r="AF16" s="8">
        <f>AF15/(1+$E16*AE16)</f>
        <v>0.99278220683251228</v>
      </c>
      <c r="AG16" s="9">
        <f>INDEX($H$10:$H$21,$B16-AE$7)</f>
        <v>0.4</v>
      </c>
      <c r="AH16" s="5">
        <f>$E16*AG16*AE16/(1 + $E16*AE16)</f>
        <v>1.4864301939002411E-3</v>
      </c>
      <c r="AI16" s="11">
        <f>AE16*EXP((-SUM(AH17:$AH$20)*AG16 - 0.5*AG16^2)*$E$15 + AG16*SQRT($E$15)*AI$6)</f>
        <v>1.0771788703753771E-2</v>
      </c>
      <c r="AJ16" s="8">
        <f>1/(1+$E16*AI16)</f>
        <v>0.9973142853118464</v>
      </c>
      <c r="AK16" s="9"/>
      <c r="AL16" s="5"/>
      <c r="AM16" s="11"/>
      <c r="AN16" s="11"/>
      <c r="AO16" s="9"/>
      <c r="AP16" s="5"/>
      <c r="AQ16" s="11"/>
      <c r="AR16" s="11"/>
    </row>
    <row r="17" spans="2:52" ht="18.75" x14ac:dyDescent="0.35">
      <c r="B17">
        <v>8</v>
      </c>
      <c r="C17" s="32" t="s">
        <v>36</v>
      </c>
      <c r="D17">
        <v>9</v>
      </c>
      <c r="E17" s="79">
        <f>'LMM '!H15</f>
        <v>0.25</v>
      </c>
      <c r="F17" s="40">
        <f>'LMM '!J15</f>
        <v>2.4428055163203399E-2</v>
      </c>
      <c r="G17" s="33">
        <f t="shared" si="0"/>
        <v>0.9515164321427495</v>
      </c>
      <c r="H17" s="2">
        <f>'LMM '!L15</f>
        <v>0.26885748581065977</v>
      </c>
      <c r="I17" s="8">
        <f t="shared" si="1"/>
        <v>1.6319500322528769E-3</v>
      </c>
      <c r="J17" s="5">
        <f>SUM(I18:$I$20)*H17</f>
        <v>1.2051499931803348E-3</v>
      </c>
      <c r="K17" s="20">
        <f>F17*EXP((-SUM(I18:$I$20)*H17 - 0.5*H17^2)*$E$9 + H17*SQRT($E$9)*K$6)</f>
        <v>2.8010326832653053E-2</v>
      </c>
      <c r="L17" s="8">
        <f t="shared" si="2"/>
        <v>0.94865301745917796</v>
      </c>
      <c r="M17" s="9">
        <f t="shared" si="3"/>
        <v>0.28647452838773541</v>
      </c>
      <c r="N17" s="5">
        <f t="shared" si="4"/>
        <v>1.9921113697045361E-3</v>
      </c>
      <c r="O17" s="20">
        <f>K17*EXP((-SUM(N18:$N$20)*M17 - 0.5*M17^2)*$E$10 + M17*SQRT($E$10)*O$6)</f>
        <v>2.3450362610776043E-2</v>
      </c>
      <c r="P17" s="8">
        <f t="shared" si="5"/>
        <v>0.9631419261592612</v>
      </c>
      <c r="Q17" s="9">
        <f t="shared" si="6"/>
        <v>0.30440786666274461</v>
      </c>
      <c r="R17" s="5">
        <f t="shared" si="7"/>
        <v>1.7742172045045542E-3</v>
      </c>
      <c r="S17" s="11">
        <f>O17*EXP((-SUM(R18:$R$20)*Q17 - 0.5*Q17^2)*$E$11 + Q17*SQRT($E$11)*S$6)</f>
        <v>2.3936512957134792E-2</v>
      </c>
      <c r="T17" s="8">
        <f t="shared" si="8"/>
        <v>0.96720155802549956</v>
      </c>
      <c r="U17" s="9">
        <f t="shared" si="9"/>
        <v>0.32269412382370466</v>
      </c>
      <c r="V17" s="5">
        <f t="shared" si="10"/>
        <v>1.9195561488670157E-3</v>
      </c>
      <c r="W17" s="11">
        <f>S17*EXP((-SUM(V18:$V$20)*U17 - 0.5*U17^2)*$E$12 + U17*SQRT($E$12)*W$6)</f>
        <v>2.0130813374587692E-2</v>
      </c>
      <c r="X17" s="8">
        <f t="shared" si="11"/>
        <v>0.97706048322626149</v>
      </c>
      <c r="Y17" s="9">
        <f t="shared" si="12"/>
        <v>0.34136658338914239</v>
      </c>
      <c r="Z17" s="5">
        <f t="shared" si="13"/>
        <v>1.7093938733697453E-3</v>
      </c>
      <c r="AA17" s="11">
        <f>W17*EXP((-SUM(Z18:$Z$20)*Y17 - 0.5*Y17^2)*$E$13 + Y17*SQRT($E$13)*AA$6)</f>
        <v>2.306801734663648E-2</v>
      </c>
      <c r="AB17" s="8">
        <f t="shared" si="14"/>
        <v>0.97833673241683916</v>
      </c>
      <c r="AC17" s="9">
        <f t="shared" si="15"/>
        <v>0.36045602341621685</v>
      </c>
      <c r="AD17" s="5">
        <f t="shared" si="16"/>
        <v>2.0668320209880401E-3</v>
      </c>
      <c r="AE17" s="11">
        <f>AA17*EXP((-SUM(AD18:$AD$20)*AC17 - 0.5*AC17^2)*$E$14 + AC17*SQRT($E$14)*AE$6)</f>
        <v>1.5756208611626864E-2</v>
      </c>
      <c r="AF17" s="8">
        <f>AF16/(1+$E17*AE17)</f>
        <v>0.98888692964331937</v>
      </c>
      <c r="AG17" s="9">
        <f>INDEX($H$10:$H$21,$B17-AE$7)</f>
        <v>0.37999133653312206</v>
      </c>
      <c r="AH17" s="5">
        <f>$E17*AG17*AE17/(1 + $E17*AE17)</f>
        <v>1.4909328300825191E-3</v>
      </c>
      <c r="AI17" s="11">
        <f>AE17*EXP((-SUM(AH18:$AH$20)*AG17 - 0.5*AG17^2)*$E$15 + AG17*SQRT($E$15)*AI$6)</f>
        <v>1.1575217373352844E-2</v>
      </c>
      <c r="AJ17" s="8">
        <f>AJ16/(1+$E17*AI17)</f>
        <v>0.99443658041626348</v>
      </c>
      <c r="AK17" s="9">
        <f>INDEX($H$10:$H$21,$B17-AI$7)</f>
        <v>0.4</v>
      </c>
      <c r="AL17" s="5">
        <f>$E17*AK17*AI17/(1 + $E17*AI17)</f>
        <v>1.1541817611418904E-3</v>
      </c>
      <c r="AM17" s="11">
        <f>AI17*EXP((-SUM(AL18:$AL$20)*AK17 - 0.5*AK17^2)*$E$16 + AK17*SQRT($E$16)*AM$6)</f>
        <v>1.5486651699393866E-2</v>
      </c>
      <c r="AN17" s="8">
        <f>1/(1+$E17*AM17)</f>
        <v>0.99614326903743033</v>
      </c>
      <c r="AO17" s="9"/>
      <c r="AP17" s="5"/>
      <c r="AQ17" s="11"/>
      <c r="AR17" s="11"/>
    </row>
    <row r="18" spans="2:52" ht="18.75" x14ac:dyDescent="0.35">
      <c r="B18">
        <v>9</v>
      </c>
      <c r="C18" s="32" t="s">
        <v>37</v>
      </c>
      <c r="D18">
        <v>10</v>
      </c>
      <c r="E18" s="79">
        <f>'LMM '!H16</f>
        <v>0.25</v>
      </c>
      <c r="F18" s="40">
        <f>'LMM '!J16</f>
        <v>2.504645432383729E-2</v>
      </c>
      <c r="G18" s="33">
        <f t="shared" si="0"/>
        <v>0.94559547865153148</v>
      </c>
      <c r="H18" s="2">
        <f>'LMM '!L16</f>
        <v>0.25151562864237176</v>
      </c>
      <c r="I18" s="8">
        <f t="shared" si="1"/>
        <v>1.5650936643862028E-3</v>
      </c>
      <c r="J18" s="5">
        <f>SUM(I19:$I$20)*H18</f>
        <v>7.3376983935803186E-4</v>
      </c>
      <c r="K18" s="20">
        <f>F18*EXP((-SUM(I19:$I$20)*H18 - 0.5*H18^2)*$E$9 + H18*SQRT($E$9)*K$6)</f>
        <v>2.8485362659747788E-2</v>
      </c>
      <c r="L18" s="8">
        <f t="shared" si="2"/>
        <v>0.94194510547541765</v>
      </c>
      <c r="M18" s="9">
        <f t="shared" si="3"/>
        <v>0.26885748581065977</v>
      </c>
      <c r="N18" s="5">
        <f t="shared" si="4"/>
        <v>1.9010874553726134E-3</v>
      </c>
      <c r="O18" s="20">
        <f>K18*EXP((-SUM(N19:$N$20)*M18 - 0.5*M18^2)*$E$10 + M18*SQRT($E$10)*O$6)</f>
        <v>2.4127444430466969E-2</v>
      </c>
      <c r="P18" s="8">
        <f t="shared" si="5"/>
        <v>0.95736722005888097</v>
      </c>
      <c r="Q18" s="9">
        <f t="shared" si="6"/>
        <v>0.28647452838773541</v>
      </c>
      <c r="R18" s="5">
        <f t="shared" si="7"/>
        <v>1.7176141560788856E-3</v>
      </c>
      <c r="S18" s="11">
        <f>O18*EXP((-SUM(R19:$R$20)*Q18 - 0.5*Q18^2)*$E$11 + Q18*SQRT($E$11)*S$6)</f>
        <v>2.4616708249565696E-2</v>
      </c>
      <c r="T18" s="8">
        <f t="shared" si="8"/>
        <v>0.96128563601393624</v>
      </c>
      <c r="U18" s="9">
        <f t="shared" si="9"/>
        <v>0.30440786666274461</v>
      </c>
      <c r="V18" s="5">
        <f t="shared" si="10"/>
        <v>1.8619213171652935E-3</v>
      </c>
      <c r="W18" s="11">
        <f>S18*EXP((-SUM(V19:$V$20)*U18 - 0.5*U18^2)*$E$12 + U18*SQRT($E$12)*W$6)</f>
        <v>2.0924520303134967E-2</v>
      </c>
      <c r="X18" s="8">
        <f t="shared" si="11"/>
        <v>0.97197595059814912</v>
      </c>
      <c r="Y18" s="9">
        <f t="shared" si="12"/>
        <v>0.32269412382370466</v>
      </c>
      <c r="Z18" s="5">
        <f t="shared" si="13"/>
        <v>1.6792704542343442E-3</v>
      </c>
      <c r="AA18" s="11">
        <f>W18*EXP((-SUM(Z19:$Z$20)*Y18 - 0.5*Y18^2)*$E$13 + Y18*SQRT($E$13)*AA$6)</f>
        <v>2.3820726366663936E-2</v>
      </c>
      <c r="AB18" s="8">
        <f t="shared" si="14"/>
        <v>0.97254505003778813</v>
      </c>
      <c r="AC18" s="9">
        <f t="shared" si="15"/>
        <v>0.34136658338914239</v>
      </c>
      <c r="AD18" s="5">
        <f t="shared" si="16"/>
        <v>2.0208653731395758E-3</v>
      </c>
      <c r="AE18" s="11">
        <f>AA18*EXP((-SUM(AD19:$AD$20)*AC18 - 0.5*AC18^2)*$E$14 + AC18*SQRT($E$14)*AE$6)</f>
        <v>1.6618543224593177E-2</v>
      </c>
      <c r="AF18" s="8">
        <f>AF17/(1+$E18*AE18)</f>
        <v>0.98479546315038236</v>
      </c>
      <c r="AG18" s="9">
        <f>INDEX($H$10:$H$21,$B18-AE$7)</f>
        <v>0.36045602341621685</v>
      </c>
      <c r="AH18" s="5">
        <f>$E18*AG18*AE18/(1 + $E18*AE18)</f>
        <v>1.4913674129727829E-3</v>
      </c>
      <c r="AI18" s="11">
        <f>AE18*EXP((-SUM(AH19:$AH$20)*AG18 - 0.5*AG18^2)*$E$15 + AG18*SQRT($E$15)*AI$6)</f>
        <v>1.241640763371708E-2</v>
      </c>
      <c r="AJ18" s="8">
        <f>AJ17/(1+$E18*AI18)</f>
        <v>0.99135930012081941</v>
      </c>
      <c r="AK18" s="9">
        <f>INDEX($H$10:$H$21,$B18-AI$7)</f>
        <v>0.37999133653312206</v>
      </c>
      <c r="AL18" s="5">
        <f>$E18*AK18*AI18/(1 + $E18*AI18)</f>
        <v>1.175881776053917E-3</v>
      </c>
      <c r="AM18" s="11">
        <f>AI18*EXP((-SUM(AL19:$AL$20)*AK18 - 0.5*AK18^2)*$E$16 + AK18*SQRT($E$16)*AM$6)</f>
        <v>1.6389339179276662E-2</v>
      </c>
      <c r="AN18" s="8">
        <f>AN17/(1+$E18*AM18)</f>
        <v>0.99207839172383194</v>
      </c>
      <c r="AO18" s="9">
        <f>INDEX($H$10:$H$21,$B18-AM$7)</f>
        <v>0.4</v>
      </c>
      <c r="AP18" s="5">
        <f>$E18*AO18*AM18/(1 + $E18*AM18)</f>
        <v>1.6322460593549647E-3</v>
      </c>
      <c r="AQ18" s="11">
        <f>AM18*EXP((-SUM(AP19:$AP$20)*AO18 - 0.5*AO18^2)*$E$17 + AO18*SQRT($E$17)*AQ$6)</f>
        <v>2.1156925508608444E-2</v>
      </c>
      <c r="AR18" s="8">
        <f>1/(1+$E18*AQ18)</f>
        <v>0.99473859739857506</v>
      </c>
      <c r="AS18" s="9"/>
      <c r="AT18" s="5"/>
      <c r="AU18" s="11"/>
      <c r="AW18" s="9"/>
      <c r="AX18" s="5"/>
      <c r="AY18" s="11"/>
    </row>
    <row r="19" spans="2:52" ht="18.75" x14ac:dyDescent="0.35">
      <c r="B19">
        <v>10</v>
      </c>
      <c r="C19" s="32" t="s">
        <v>38</v>
      </c>
      <c r="D19">
        <v>11</v>
      </c>
      <c r="E19" s="79">
        <f>'LMM '!H17</f>
        <v>0.25</v>
      </c>
      <c r="F19" s="40">
        <f>'LMM '!J17</f>
        <v>2.5680508333754827E-2</v>
      </c>
      <c r="G19" s="33">
        <f t="shared" si="0"/>
        <v>0.93956336246158512</v>
      </c>
      <c r="H19" s="2">
        <f>'LMM '!L17</f>
        <v>0.23440174125530011</v>
      </c>
      <c r="I19" s="8">
        <f t="shared" si="1"/>
        <v>1.4952890218913311E-3</v>
      </c>
      <c r="J19" s="5">
        <f>SUM(I20:$I$20)*H19</f>
        <v>3.3334356014732809E-4</v>
      </c>
      <c r="K19" s="20">
        <f>F19*EXP((-SUM(I20:$I$20)*H19 - 0.5*H19^2)*$E$9 + H19*SQRT($E$9)*K$6)</f>
        <v>2.8968966674904815E-2</v>
      </c>
      <c r="L19" s="8">
        <f t="shared" si="2"/>
        <v>0.93517236123345171</v>
      </c>
      <c r="M19" s="9">
        <f t="shared" si="3"/>
        <v>0.25151562864237176</v>
      </c>
      <c r="N19" s="5">
        <f t="shared" si="4"/>
        <v>1.8084398079570808E-3</v>
      </c>
      <c r="O19" s="20">
        <f>K19*EXP((-SUM(N20:$N$20)*M19 - 0.5*M19^2)*$E$10 + M19*SQRT($E$10)*O$6)</f>
        <v>2.4817613422595926E-2</v>
      </c>
      <c r="P19" s="8">
        <f t="shared" si="5"/>
        <v>0.9514639539104599</v>
      </c>
      <c r="Q19" s="9">
        <f t="shared" si="6"/>
        <v>0.26885748581065977</v>
      </c>
      <c r="R19" s="5">
        <f t="shared" si="7"/>
        <v>1.6578145370781149E-3</v>
      </c>
      <c r="S19" s="11">
        <f>O19*EXP((-SUM(R20:$R$20)*Q19 - 0.5*Q19^2)*$E$11 + Q19*SQRT($E$11)*S$6)</f>
        <v>2.5307429075201251E-2</v>
      </c>
      <c r="T19" s="8">
        <f t="shared" si="8"/>
        <v>0.95524195649800392</v>
      </c>
      <c r="U19" s="9">
        <f t="shared" si="9"/>
        <v>0.28647452838773541</v>
      </c>
      <c r="V19" s="5">
        <f t="shared" si="10"/>
        <v>1.8010882241334761E-3</v>
      </c>
      <c r="W19" s="11">
        <f>S19*EXP((-SUM(V20:$V$20)*U19 - 0.5*U19^2)*$E$12 + U19*SQRT($E$12)*W$6)</f>
        <v>2.1735326760683928E-2</v>
      </c>
      <c r="X19" s="8">
        <f t="shared" si="11"/>
        <v>0.96672294084656174</v>
      </c>
      <c r="Y19" s="9">
        <f t="shared" si="12"/>
        <v>0.30440786666274461</v>
      </c>
      <c r="Z19" s="5">
        <f t="shared" si="13"/>
        <v>1.6451615814725073E-3</v>
      </c>
      <c r="AA19" s="11">
        <f>W19*EXP((-SUM(Z20:$Z$20)*Y19 - 0.5*Y19^2)*$E$13 + Y19*SQRT($E$13)*AA$6)</f>
        <v>2.4582829799702655E-2</v>
      </c>
      <c r="AB19" s="8">
        <f t="shared" si="14"/>
        <v>0.9666045810628181</v>
      </c>
      <c r="AC19" s="9">
        <f t="shared" si="15"/>
        <v>0.32269412382370466</v>
      </c>
      <c r="AD19" s="5">
        <f t="shared" si="16"/>
        <v>1.971070060873143E-3</v>
      </c>
      <c r="AE19" s="11">
        <f>AA19*EXP((-SUM(AD20:$AD$20)*AC19 - 0.5*AC19^2)*$E$14 + AC19*SQRT($E$14)*AE$6)</f>
        <v>1.7507287289574489E-2</v>
      </c>
      <c r="AF19" s="8">
        <f>AF18/(1+$E19*AE19)</f>
        <v>0.98050397196892514</v>
      </c>
      <c r="AG19" s="9">
        <f>INDEX($H$10:$H$21,$B19-AE$7)</f>
        <v>0.34136658338914239</v>
      </c>
      <c r="AH19" s="5">
        <f>$E19*AG19*AE19/(1 + $E19*AE19)</f>
        <v>1.4875897961310739E-3</v>
      </c>
      <c r="AI19" s="11">
        <f>AE19*EXP((-SUM(AH20:$AH$20)*AG19 - 0.5*AG19^2)*$E$15 + AG19*SQRT($E$15)*AI$6)</f>
        <v>1.3296435520863398E-2</v>
      </c>
      <c r="AJ19" s="8">
        <f>AJ18/(1+$E19*AI19)</f>
        <v>0.9880748317981215</v>
      </c>
      <c r="AK19" s="9">
        <f>INDEX($H$10:$H$21,$B19-AI$7)</f>
        <v>0.36045602341621685</v>
      </c>
      <c r="AL19" s="5">
        <f>$E19*AK19*AI19/(1 + $E19*AI19)</f>
        <v>1.1942253333296388E-3</v>
      </c>
      <c r="AM19" s="11">
        <f>AI19*EXP((-SUM(AL20:$AL$20)*AK19 - 0.5*AK19^2)*$E$16 + AK19*SQRT($E$16)*AM$6)</f>
        <v>1.7319344823466726E-2</v>
      </c>
      <c r="AN19" s="8">
        <f>AN18/(1+$E19*AM19)</f>
        <v>0.98780137357233366</v>
      </c>
      <c r="AO19" s="9">
        <f>INDEX($H$10:$H$21,$B19-AM$7)</f>
        <v>0.37999133653312206</v>
      </c>
      <c r="AP19" s="5">
        <f>$E19*AO19*AM19/(1 + $E19*AM19)</f>
        <v>1.638207078515519E-3</v>
      </c>
      <c r="AQ19" s="11">
        <f>AM19*EXP((-SUM(AP20:$AP$20)*AO19 - 0.5*AO19^2)*$E$17 + AO19*SQRT($E$17)*AQ$6)</f>
        <v>2.2098151772324146E-2</v>
      </c>
      <c r="AR19" s="8">
        <f>AR18/(1+$E19*AQ19)</f>
        <v>0.98927331940941998</v>
      </c>
      <c r="AS19" s="9">
        <f>INDEX($H$10:$H$21,$B19-AQ$7)</f>
        <v>0.4</v>
      </c>
      <c r="AT19" s="5">
        <f>$E19*AS19*AQ19/(1 + $E19*AQ19)</f>
        <v>2.1976740435920659E-3</v>
      </c>
      <c r="AU19" s="11">
        <f>AQ19*EXP((-SUM(AT20:AT20)*AS19 - 0.5*AS19^2)*$E$18 + AS19*SQRT($E$18)*AU$6)</f>
        <v>2.316846821229299E-2</v>
      </c>
      <c r="AV19" s="8">
        <f>1/(1+$E19*AU19)</f>
        <v>0.99424123836837786</v>
      </c>
      <c r="AW19" s="9"/>
      <c r="AX19" s="5"/>
      <c r="AY19" s="11"/>
      <c r="AZ19" s="8"/>
    </row>
    <row r="20" spans="2:52" ht="18.75" x14ac:dyDescent="0.35">
      <c r="B20">
        <v>11</v>
      </c>
      <c r="C20" s="32" t="s">
        <v>39</v>
      </c>
      <c r="D20">
        <v>12</v>
      </c>
      <c r="E20" s="79">
        <f>'LMM '!H18</f>
        <v>0.25</v>
      </c>
      <c r="F20" s="40">
        <f>'LMM '!J18</f>
        <v>2.6330613497352433E-2</v>
      </c>
      <c r="G20" s="33">
        <f>G19/(1 + E20*F20)</f>
        <v>0.93341898880525498</v>
      </c>
      <c r="H20" s="2">
        <f>'LMM '!L18</f>
        <v>0.21746015381995357</v>
      </c>
      <c r="I20" s="8">
        <f t="shared" si="1"/>
        <v>1.4221036002640649E-3</v>
      </c>
      <c r="J20" s="5">
        <v>0</v>
      </c>
      <c r="K20" s="20">
        <f>F20*EXP((0*SUM(I$20:$I21)*H20 - 0.5*H20^2)*$E$9 + H20*SQRT($E$9)*K$6)</f>
        <v>2.9460613756559943E-2</v>
      </c>
      <c r="L20" s="8">
        <f t="shared" si="2"/>
        <v>0.92833503128510819</v>
      </c>
      <c r="M20" s="9">
        <f t="shared" si="3"/>
        <v>0.23440174125530011</v>
      </c>
      <c r="N20" s="5">
        <f t="shared" si="4"/>
        <v>1.7137825195292261E-3</v>
      </c>
      <c r="O20" s="20">
        <f>K20*EXP((0*SUM(N$20:$N21)*M20 - 0.5*M20^2)*$E$10 + M20*SQRT($E$10)*O$6)</f>
        <v>2.5521185496620493E-2</v>
      </c>
      <c r="P20" s="8">
        <f t="shared" si="5"/>
        <v>0.94543181870556203</v>
      </c>
      <c r="Q20" s="9">
        <f t="shared" si="6"/>
        <v>0.25151562864237176</v>
      </c>
      <c r="R20" s="5">
        <f t="shared" si="7"/>
        <v>1.5945704215910587E-3</v>
      </c>
      <c r="S20" s="11">
        <f>O20*EXP((0*SUM(R$20:$R21)*Q20 - 0.5*Q20^2)*$E$11 + Q20*SQRT($E$11)*S$6)</f>
        <v>2.6008882509848345E-2</v>
      </c>
      <c r="T20" s="8">
        <f t="shared" si="8"/>
        <v>0.9490708881918789</v>
      </c>
      <c r="U20" s="9">
        <f t="shared" si="9"/>
        <v>0.26885748581065977</v>
      </c>
      <c r="V20" s="5">
        <f t="shared" si="10"/>
        <v>1.7368771317720915E-3</v>
      </c>
      <c r="W20" s="11">
        <f>S20*EXP((0*SUM(V$20:$V21)*U20 - 0.5*U20^2)*$E$12 + U20*SQRT($E$12)*W$6)</f>
        <v>2.2563758241725258E-2</v>
      </c>
      <c r="X20" s="8">
        <f t="shared" si="11"/>
        <v>0.96130030393265342</v>
      </c>
      <c r="Y20" s="9">
        <f t="shared" si="12"/>
        <v>0.28647452838773541</v>
      </c>
      <c r="Z20" s="5">
        <f t="shared" si="13"/>
        <v>1.6069209562457076E-3</v>
      </c>
      <c r="AA20" s="11">
        <f>W20*EXP((0*SUM(Z$20:$Z21)*Y20 - 0.5*Y20^2)*$E$13 + Y20*SQRT($E$13)*AA$6)</f>
        <v>2.5354569021155772E-2</v>
      </c>
      <c r="AB20" s="8">
        <f t="shared" si="14"/>
        <v>0.96051621241193375</v>
      </c>
      <c r="AC20" s="9">
        <f t="shared" si="15"/>
        <v>0.30440786666274461</v>
      </c>
      <c r="AD20" s="5">
        <f t="shared" si="16"/>
        <v>1.9173789870044061E-3</v>
      </c>
      <c r="AE20" s="11">
        <f>AA20*EXP((0*SUM(AD$20:$AD21)*AC20 - 0.5*AC20^2)*$E$14 + AC20*SQRT($E$14)*AE$6)</f>
        <v>1.8423082444063581E-2</v>
      </c>
      <c r="AF20" s="8">
        <f>AF19/(1+$E20*AE20)</f>
        <v>0.97600869978336713</v>
      </c>
      <c r="AG20" s="9">
        <f>INDEX($H$10:$H$21,$B20-AE$7)</f>
        <v>0.32269412382370466</v>
      </c>
      <c r="AH20" s="5">
        <f>$E20*AG20*AE20/(1 + $E20*AE20)</f>
        <v>1.4794411453069609E-3</v>
      </c>
      <c r="AI20" s="11">
        <f>AE20*EXP((0*SUM(AH$20:$AH21)*AG20 - 0.5*AG20^2)*$E$15 + AG20*SQRT($E$15)*AI$6)</f>
        <v>1.4216518665378684E-2</v>
      </c>
      <c r="AJ20" s="8">
        <f>AJ19/(1+$E20*AI20)</f>
        <v>0.98457552272405124</v>
      </c>
      <c r="AK20" s="9">
        <f>INDEX($H$10:$H$21,$B20-AI$7)</f>
        <v>0.34136658338914239</v>
      </c>
      <c r="AL20" s="5">
        <f>$E20*AK20*AI20/(1 + $E20*AI20)</f>
        <v>1.208964285290172E-3</v>
      </c>
      <c r="AM20" s="11">
        <f>AI20*EXP((0*SUM(AL$20:$AL21)*AK20 - 0.5*AK20^2)*$E$16 + AK20*SQRT($E$16)*AM$6)</f>
        <v>1.8277152930232462E-2</v>
      </c>
      <c r="AN20" s="8">
        <f>AN19/(1+$E20*AM20)</f>
        <v>0.98330835428014529</v>
      </c>
      <c r="AO20" s="9">
        <f>INDEX($H$10:$H$21,$B20-AM$7)</f>
        <v>0.36045602341621685</v>
      </c>
      <c r="AP20" s="5">
        <f>$E20*AO20*AM20/(1 + $E20*AM20)</f>
        <v>1.6395359538098132E-3</v>
      </c>
      <c r="AQ20" s="11">
        <f>AM20*EXP((0*SUM(AP$20:$AP21)*AO20 - 0.5*AO20^2)*$E$17 + AO20*SQRT($E$17)*AQ$6)</f>
        <v>2.3053615483547143E-2</v>
      </c>
      <c r="AR20" s="8">
        <f>AR19/(1+$E20*AQ20)</f>
        <v>0.98360440994571763</v>
      </c>
      <c r="AS20" s="9">
        <f>INDEX($H$10:$H$21,$B20-AQ$7)</f>
        <v>0.37999133653312206</v>
      </c>
      <c r="AT20" s="5">
        <f>$E20*AS20*AQ20/(1 + $E20*AQ20)</f>
        <v>2.1774937638907991E-3</v>
      </c>
      <c r="AU20" s="11">
        <f>AQ20*EXP((0*SUM(AT21:AT21)*AS20 - 0.5*AS20^2)*$E$18 + AS20*SQRT($E$18)*AU$6)</f>
        <v>2.4141012842379038E-2</v>
      </c>
      <c r="AV20" s="8">
        <f>AV19/(1+$E20*AU20)</f>
        <v>0.98827673801233284</v>
      </c>
      <c r="AW20" s="9">
        <f>INDEX($H$10:$H$21,$B20-AU$7)</f>
        <v>0.4</v>
      </c>
      <c r="AX20" s="5">
        <f>$E20*AW20*AU20/(1 + $E20*AU20)</f>
        <v>2.3996189761081436E-3</v>
      </c>
      <c r="AY20" s="11">
        <f>AU20*EXP((0*SUM(AX$10:AX20)*AW20 - 0.5*AW20^2)*$E$19 + AW20*SQRT($E$19)*AY$6)</f>
        <v>2.481450029957805E-2</v>
      </c>
      <c r="AZ20" s="8">
        <f>1/(1+$E20*AY20)</f>
        <v>0.99383462261484823</v>
      </c>
    </row>
    <row r="21" spans="2:52" x14ac:dyDescent="0.25">
      <c r="B21">
        <v>12</v>
      </c>
      <c r="C21" s="44"/>
      <c r="D21" s="45"/>
      <c r="E21" s="80"/>
      <c r="F21" s="48"/>
      <c r="G21" s="49"/>
      <c r="H21" s="2"/>
      <c r="I21" s="8"/>
      <c r="J21" s="8"/>
      <c r="K21" s="20"/>
      <c r="L21" s="8"/>
      <c r="M21" s="9"/>
      <c r="N21" s="5"/>
      <c r="O21" s="20"/>
      <c r="P21" s="8"/>
      <c r="Q21" s="9"/>
      <c r="R21" s="5"/>
      <c r="S21" s="11"/>
      <c r="T21" s="8"/>
      <c r="U21" s="9"/>
      <c r="V21" s="5"/>
      <c r="W21" s="11"/>
      <c r="X21" s="8"/>
      <c r="Y21" s="9"/>
      <c r="Z21" s="5"/>
      <c r="AA21" s="11"/>
      <c r="AB21" s="8"/>
      <c r="AC21" s="9"/>
      <c r="AD21" s="5"/>
      <c r="AE21" s="11"/>
      <c r="AF21" s="8"/>
      <c r="AG21" s="9"/>
      <c r="AH21" s="5"/>
      <c r="AI21" s="11"/>
      <c r="AJ21" s="8"/>
      <c r="AK21" s="9"/>
      <c r="AL21" s="5"/>
      <c r="AM21" s="11"/>
      <c r="AN21" s="8"/>
      <c r="AO21" s="9"/>
      <c r="AP21" s="5"/>
      <c r="AQ21" s="11"/>
      <c r="AR21" s="8"/>
      <c r="AS21" s="9"/>
      <c r="AT21" s="5"/>
      <c r="AU21" s="11"/>
      <c r="AV21" s="8"/>
    </row>
    <row r="24" spans="2:52" x14ac:dyDescent="0.25">
      <c r="K24" s="20"/>
    </row>
    <row r="25" spans="2:52" x14ac:dyDescent="0.25">
      <c r="E25" s="17"/>
      <c r="F25" s="17"/>
      <c r="G25" s="17"/>
      <c r="M25" s="17"/>
      <c r="N25" s="21"/>
      <c r="O25" s="17"/>
      <c r="P25" s="81"/>
    </row>
    <row r="26" spans="2:52" x14ac:dyDescent="0.25">
      <c r="E26" s="17"/>
      <c r="F26" s="17"/>
      <c r="G26" s="17"/>
      <c r="M26" s="17"/>
      <c r="N26" s="21"/>
      <c r="O26" s="17"/>
      <c r="P26" s="81"/>
    </row>
    <row r="27" spans="2:52" x14ac:dyDescent="0.25">
      <c r="E27" s="17"/>
      <c r="F27" s="17"/>
      <c r="G27" s="17"/>
      <c r="M27" s="17"/>
      <c r="N27" s="21"/>
      <c r="O27" s="17"/>
      <c r="P27" s="81"/>
    </row>
    <row r="28" spans="2:52" x14ac:dyDescent="0.25">
      <c r="E28" s="17"/>
      <c r="F28" s="17"/>
      <c r="G28" s="17"/>
      <c r="M28" s="17"/>
      <c r="N28" s="69"/>
      <c r="O28" s="17"/>
      <c r="P28" s="81"/>
    </row>
    <row r="29" spans="2:52" x14ac:dyDescent="0.25">
      <c r="E29" s="17"/>
      <c r="F29" s="17"/>
      <c r="G29" s="17"/>
      <c r="M29" s="17"/>
      <c r="N29" s="69"/>
      <c r="O29" s="17"/>
      <c r="P29" s="81"/>
    </row>
    <row r="30" spans="2:52" x14ac:dyDescent="0.25">
      <c r="E30" s="17"/>
      <c r="F30" s="17"/>
      <c r="G30" s="17"/>
      <c r="M30" s="17"/>
      <c r="N30" s="69"/>
      <c r="O30" s="17"/>
      <c r="P30" s="81"/>
    </row>
    <row r="31" spans="2:52" x14ac:dyDescent="0.25">
      <c r="E31" s="17"/>
      <c r="F31" s="17"/>
      <c r="G31" s="17"/>
      <c r="M31" s="17"/>
      <c r="N31" s="69"/>
      <c r="O31" s="17"/>
      <c r="P31" s="81"/>
    </row>
    <row r="32" spans="2:52" x14ac:dyDescent="0.25">
      <c r="E32" s="17"/>
      <c r="F32" s="17"/>
      <c r="G32" s="17"/>
      <c r="M32" s="17"/>
      <c r="N32" s="69"/>
      <c r="O32" s="17"/>
      <c r="P32" s="81"/>
    </row>
    <row r="33" spans="5:16" x14ac:dyDescent="0.25">
      <c r="E33" s="17"/>
      <c r="F33" s="17"/>
      <c r="G33" s="17"/>
      <c r="M33" s="17"/>
      <c r="N33" s="69"/>
      <c r="O33" s="17"/>
      <c r="P33" s="81"/>
    </row>
    <row r="34" spans="5:16" x14ac:dyDescent="0.25">
      <c r="E34" s="17"/>
      <c r="F34" s="17"/>
      <c r="G34" s="17"/>
      <c r="M34" s="17"/>
      <c r="N34" s="69"/>
      <c r="O34" s="17"/>
      <c r="P34" s="81"/>
    </row>
    <row r="35" spans="5:16" x14ac:dyDescent="0.25">
      <c r="E35" s="17"/>
      <c r="F35" s="17"/>
      <c r="G35" s="17"/>
      <c r="M35" s="17"/>
      <c r="N35" s="8"/>
      <c r="O35" s="17"/>
      <c r="P35" s="81"/>
    </row>
  </sheetData>
  <mergeCells count="1">
    <mergeCell ref="C8:D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720"/>
  <sheetViews>
    <sheetView topLeftCell="A689" workbookViewId="0">
      <selection activeCell="I695" sqref="I695"/>
    </sheetView>
  </sheetViews>
  <sheetFormatPr defaultRowHeight="15" x14ac:dyDescent="0.25"/>
  <cols>
    <col min="2" max="2" width="19.140625" bestFit="1" customWidth="1"/>
  </cols>
  <sheetData>
    <row r="2" spans="2:2" x14ac:dyDescent="0.25">
      <c r="B2" t="s">
        <v>0</v>
      </c>
    </row>
    <row r="3" spans="2:2" x14ac:dyDescent="0.25">
      <c r="B3" s="1">
        <v>18265</v>
      </c>
    </row>
    <row r="4" spans="2:2" x14ac:dyDescent="0.25">
      <c r="B4" s="1">
        <v>18307</v>
      </c>
    </row>
    <row r="5" spans="2:2" x14ac:dyDescent="0.25">
      <c r="B5" s="1">
        <v>18316</v>
      </c>
    </row>
    <row r="6" spans="2:2" x14ac:dyDescent="0.25">
      <c r="B6" s="1">
        <v>18360</v>
      </c>
    </row>
    <row r="7" spans="2:2" x14ac:dyDescent="0.25">
      <c r="B7" s="1">
        <v>18413</v>
      </c>
    </row>
    <row r="8" spans="2:2" x14ac:dyDescent="0.25">
      <c r="B8" s="1">
        <v>18448</v>
      </c>
    </row>
    <row r="9" spans="2:2" x14ac:dyDescent="0.25">
      <c r="B9" s="1">
        <v>18510</v>
      </c>
    </row>
    <row r="10" spans="2:2" x14ac:dyDescent="0.25">
      <c r="B10" s="1">
        <v>18548</v>
      </c>
    </row>
    <row r="11" spans="2:2" x14ac:dyDescent="0.25">
      <c r="B11" s="1">
        <v>18574</v>
      </c>
    </row>
    <row r="12" spans="2:2" x14ac:dyDescent="0.25">
      <c r="B12" s="1">
        <v>18578</v>
      </c>
    </row>
    <row r="13" spans="2:2" x14ac:dyDescent="0.25">
      <c r="B13" s="1">
        <v>18590</v>
      </c>
    </row>
    <row r="14" spans="2:2" x14ac:dyDescent="0.25">
      <c r="B14" s="1">
        <v>18622</v>
      </c>
    </row>
    <row r="15" spans="2:2" x14ac:dyDescent="0.25">
      <c r="B15" s="1">
        <v>18629</v>
      </c>
    </row>
    <row r="16" spans="2:2" x14ac:dyDescent="0.25">
      <c r="B16" s="1">
        <v>18671</v>
      </c>
    </row>
    <row r="17" spans="2:2" x14ac:dyDescent="0.25">
      <c r="B17" s="1">
        <v>18681</v>
      </c>
    </row>
    <row r="18" spans="2:2" x14ac:dyDescent="0.25">
      <c r="B18" s="1">
        <v>18710</v>
      </c>
    </row>
    <row r="19" spans="2:2" x14ac:dyDescent="0.25">
      <c r="B19" s="1">
        <v>18778</v>
      </c>
    </row>
    <row r="20" spans="2:2" x14ac:dyDescent="0.25">
      <c r="B20" s="1">
        <v>18813</v>
      </c>
    </row>
    <row r="21" spans="2:2" x14ac:dyDescent="0.25">
      <c r="B21" s="1">
        <v>18874</v>
      </c>
    </row>
    <row r="22" spans="2:2" x14ac:dyDescent="0.25">
      <c r="B22" s="1">
        <v>18913</v>
      </c>
    </row>
    <row r="23" spans="2:2" x14ac:dyDescent="0.25">
      <c r="B23" s="1">
        <v>18938</v>
      </c>
    </row>
    <row r="24" spans="2:2" x14ac:dyDescent="0.25">
      <c r="B24" s="1">
        <v>18944</v>
      </c>
    </row>
    <row r="25" spans="2:2" x14ac:dyDescent="0.25">
      <c r="B25" s="1">
        <v>18954</v>
      </c>
    </row>
    <row r="26" spans="2:2" x14ac:dyDescent="0.25">
      <c r="B26" s="1">
        <v>18987</v>
      </c>
    </row>
    <row r="27" spans="2:2" x14ac:dyDescent="0.25">
      <c r="B27" s="1">
        <v>18994</v>
      </c>
    </row>
    <row r="28" spans="2:2" x14ac:dyDescent="0.25">
      <c r="B28" s="1">
        <v>19036</v>
      </c>
    </row>
    <row r="29" spans="2:2" x14ac:dyDescent="0.25">
      <c r="B29" s="1">
        <v>19046</v>
      </c>
    </row>
    <row r="30" spans="2:2" x14ac:dyDescent="0.25">
      <c r="B30" s="1">
        <v>19095</v>
      </c>
    </row>
    <row r="31" spans="2:2" x14ac:dyDescent="0.25">
      <c r="B31" s="1">
        <v>19144</v>
      </c>
    </row>
    <row r="32" spans="2:2" x14ac:dyDescent="0.25">
      <c r="B32" s="1">
        <v>19179</v>
      </c>
    </row>
    <row r="33" spans="2:2" x14ac:dyDescent="0.25">
      <c r="B33" s="1">
        <v>19238</v>
      </c>
    </row>
    <row r="34" spans="2:2" x14ac:dyDescent="0.25">
      <c r="B34" s="1">
        <v>19280</v>
      </c>
    </row>
    <row r="35" spans="2:2" x14ac:dyDescent="0.25">
      <c r="B35" s="1">
        <v>19302</v>
      </c>
    </row>
    <row r="36" spans="2:2" x14ac:dyDescent="0.25">
      <c r="B36" s="1">
        <v>19309</v>
      </c>
    </row>
    <row r="37" spans="2:2" x14ac:dyDescent="0.25">
      <c r="B37" s="1">
        <v>19325</v>
      </c>
    </row>
    <row r="38" spans="2:2" x14ac:dyDescent="0.25">
      <c r="B38" s="1">
        <v>19353</v>
      </c>
    </row>
    <row r="39" spans="2:2" x14ac:dyDescent="0.25">
      <c r="B39" s="1">
        <v>19360</v>
      </c>
    </row>
    <row r="40" spans="2:2" x14ac:dyDescent="0.25">
      <c r="B40" s="1">
        <v>19402</v>
      </c>
    </row>
    <row r="41" spans="2:2" x14ac:dyDescent="0.25">
      <c r="B41" s="1">
        <v>19413</v>
      </c>
    </row>
    <row r="42" spans="2:2" x14ac:dyDescent="0.25">
      <c r="B42" s="1">
        <v>19452</v>
      </c>
    </row>
    <row r="43" spans="2:2" x14ac:dyDescent="0.25">
      <c r="B43" s="1">
        <v>19609</v>
      </c>
    </row>
    <row r="44" spans="2:2" x14ac:dyDescent="0.25">
      <c r="B44" s="1">
        <v>19644</v>
      </c>
    </row>
    <row r="45" spans="2:2" x14ac:dyDescent="0.25">
      <c r="B45" s="1">
        <v>19666</v>
      </c>
    </row>
    <row r="46" spans="2:2" x14ac:dyDescent="0.25">
      <c r="B46" s="1">
        <v>19674</v>
      </c>
    </row>
    <row r="47" spans="2:2" x14ac:dyDescent="0.25">
      <c r="B47" s="1">
        <v>19689</v>
      </c>
    </row>
    <row r="48" spans="2:2" x14ac:dyDescent="0.25">
      <c r="B48" s="1">
        <v>19718</v>
      </c>
    </row>
    <row r="49" spans="2:2" x14ac:dyDescent="0.25">
      <c r="B49" s="1">
        <v>19725</v>
      </c>
    </row>
    <row r="50" spans="2:2" x14ac:dyDescent="0.25">
      <c r="B50" s="1">
        <v>19777</v>
      </c>
    </row>
    <row r="51" spans="2:2" x14ac:dyDescent="0.25">
      <c r="B51" s="1">
        <v>19830</v>
      </c>
    </row>
    <row r="52" spans="2:2" x14ac:dyDescent="0.25">
      <c r="B52" s="1">
        <v>19875</v>
      </c>
    </row>
    <row r="53" spans="2:2" x14ac:dyDescent="0.25">
      <c r="B53" s="1">
        <v>19910</v>
      </c>
    </row>
    <row r="54" spans="2:2" x14ac:dyDescent="0.25">
      <c r="B54" s="1">
        <v>19973</v>
      </c>
    </row>
    <row r="55" spans="2:2" x14ac:dyDescent="0.25">
      <c r="B55" s="1">
        <v>20030</v>
      </c>
    </row>
    <row r="56" spans="2:2" x14ac:dyDescent="0.25">
      <c r="B56" s="1">
        <v>20053</v>
      </c>
    </row>
    <row r="57" spans="2:2" x14ac:dyDescent="0.25">
      <c r="B57" s="1">
        <v>20082</v>
      </c>
    </row>
    <row r="58" spans="2:2" x14ac:dyDescent="0.25">
      <c r="B58" s="1">
        <v>20142</v>
      </c>
    </row>
    <row r="59" spans="2:2" x14ac:dyDescent="0.25">
      <c r="B59" s="1">
        <v>20187</v>
      </c>
    </row>
    <row r="60" spans="2:2" x14ac:dyDescent="0.25">
      <c r="B60" s="1">
        <v>20239</v>
      </c>
    </row>
    <row r="61" spans="2:2" x14ac:dyDescent="0.25">
      <c r="B61" s="1">
        <v>20274</v>
      </c>
    </row>
    <row r="62" spans="2:2" x14ac:dyDescent="0.25">
      <c r="B62" s="1">
        <v>20337</v>
      </c>
    </row>
    <row r="63" spans="2:2" x14ac:dyDescent="0.25">
      <c r="B63" s="1">
        <v>20401</v>
      </c>
    </row>
    <row r="64" spans="2:2" x14ac:dyDescent="0.25">
      <c r="B64" s="1">
        <v>20417</v>
      </c>
    </row>
    <row r="65" spans="2:2" x14ac:dyDescent="0.25">
      <c r="B65" s="1">
        <v>20449</v>
      </c>
    </row>
    <row r="66" spans="2:2" x14ac:dyDescent="0.25">
      <c r="B66" s="1">
        <v>20456</v>
      </c>
    </row>
    <row r="67" spans="2:2" x14ac:dyDescent="0.25">
      <c r="B67" s="1">
        <v>20507</v>
      </c>
    </row>
    <row r="68" spans="2:2" x14ac:dyDescent="0.25">
      <c r="B68" s="1">
        <v>20544</v>
      </c>
    </row>
    <row r="69" spans="2:2" x14ac:dyDescent="0.25">
      <c r="B69" s="1">
        <v>20605</v>
      </c>
    </row>
    <row r="70" spans="2:2" x14ac:dyDescent="0.25">
      <c r="B70" s="1">
        <v>20640</v>
      </c>
    </row>
    <row r="71" spans="2:2" x14ac:dyDescent="0.25">
      <c r="B71" s="1">
        <v>20701</v>
      </c>
    </row>
    <row r="72" spans="2:2" x14ac:dyDescent="0.25">
      <c r="B72" s="1">
        <v>20765</v>
      </c>
    </row>
    <row r="73" spans="2:2" x14ac:dyDescent="0.25">
      <c r="B73" s="1">
        <v>20781</v>
      </c>
    </row>
    <row r="74" spans="2:2" x14ac:dyDescent="0.25">
      <c r="B74" s="1">
        <v>20813</v>
      </c>
    </row>
    <row r="75" spans="2:2" x14ac:dyDescent="0.25">
      <c r="B75" s="1">
        <v>20814</v>
      </c>
    </row>
    <row r="76" spans="2:2" x14ac:dyDescent="0.25">
      <c r="B76" s="1">
        <v>20821</v>
      </c>
    </row>
    <row r="77" spans="2:2" x14ac:dyDescent="0.25">
      <c r="B77" s="1">
        <v>20873</v>
      </c>
    </row>
    <row r="78" spans="2:2" x14ac:dyDescent="0.25">
      <c r="B78" s="1">
        <v>20929</v>
      </c>
    </row>
    <row r="79" spans="2:2" x14ac:dyDescent="0.25">
      <c r="B79" s="1">
        <v>20970</v>
      </c>
    </row>
    <row r="80" spans="2:2" x14ac:dyDescent="0.25">
      <c r="B80" s="1">
        <v>21005</v>
      </c>
    </row>
    <row r="81" spans="2:2" x14ac:dyDescent="0.25">
      <c r="B81" s="1">
        <v>21065</v>
      </c>
    </row>
    <row r="82" spans="2:2" x14ac:dyDescent="0.25">
      <c r="B82" s="1">
        <v>21129</v>
      </c>
    </row>
    <row r="83" spans="2:2" x14ac:dyDescent="0.25">
      <c r="B83" s="1">
        <v>21152</v>
      </c>
    </row>
    <row r="84" spans="2:2" x14ac:dyDescent="0.25">
      <c r="B84" s="1">
        <v>21179</v>
      </c>
    </row>
    <row r="85" spans="2:2" x14ac:dyDescent="0.25">
      <c r="B85" s="1">
        <v>21186</v>
      </c>
    </row>
    <row r="86" spans="2:2" x14ac:dyDescent="0.25">
      <c r="B86" s="1">
        <v>21279</v>
      </c>
    </row>
    <row r="87" spans="2:2" x14ac:dyDescent="0.25">
      <c r="B87" s="1">
        <v>21335</v>
      </c>
    </row>
    <row r="88" spans="2:2" x14ac:dyDescent="0.25">
      <c r="B88" s="1">
        <v>21370</v>
      </c>
    </row>
    <row r="89" spans="2:2" x14ac:dyDescent="0.25">
      <c r="B89" s="1">
        <v>21429</v>
      </c>
    </row>
    <row r="90" spans="2:2" x14ac:dyDescent="0.25">
      <c r="B90" s="1">
        <v>21493</v>
      </c>
    </row>
    <row r="91" spans="2:2" x14ac:dyDescent="0.25">
      <c r="B91" s="1">
        <v>21516</v>
      </c>
    </row>
    <row r="92" spans="2:2" x14ac:dyDescent="0.25">
      <c r="B92" s="1">
        <v>21544</v>
      </c>
    </row>
    <row r="93" spans="2:2" x14ac:dyDescent="0.25">
      <c r="B93" s="1">
        <v>21545</v>
      </c>
    </row>
    <row r="94" spans="2:2" x14ac:dyDescent="0.25">
      <c r="B94" s="1">
        <v>21551</v>
      </c>
    </row>
    <row r="95" spans="2:2" x14ac:dyDescent="0.25">
      <c r="B95" s="1">
        <v>21604</v>
      </c>
    </row>
    <row r="96" spans="2:2" x14ac:dyDescent="0.25">
      <c r="B96" s="1">
        <v>21636</v>
      </c>
    </row>
    <row r="97" spans="2:2" x14ac:dyDescent="0.25">
      <c r="B97" s="1">
        <v>21734</v>
      </c>
    </row>
    <row r="98" spans="2:2" x14ac:dyDescent="0.25">
      <c r="B98" s="1">
        <v>21800</v>
      </c>
    </row>
    <row r="99" spans="2:2" x14ac:dyDescent="0.25">
      <c r="B99" s="1">
        <v>21857</v>
      </c>
    </row>
    <row r="100" spans="2:2" x14ac:dyDescent="0.25">
      <c r="B100" s="1">
        <v>21880</v>
      </c>
    </row>
    <row r="101" spans="2:2" x14ac:dyDescent="0.25">
      <c r="B101" s="1">
        <v>21909</v>
      </c>
    </row>
    <row r="102" spans="2:2" x14ac:dyDescent="0.25">
      <c r="B102" s="1">
        <v>21916</v>
      </c>
    </row>
    <row r="103" spans="2:2" x14ac:dyDescent="0.25">
      <c r="B103" s="1">
        <v>21968</v>
      </c>
    </row>
    <row r="104" spans="2:2" x14ac:dyDescent="0.25">
      <c r="B104" s="1">
        <v>22021</v>
      </c>
    </row>
    <row r="105" spans="2:2" x14ac:dyDescent="0.25">
      <c r="B105" s="1">
        <v>22066</v>
      </c>
    </row>
    <row r="106" spans="2:2" x14ac:dyDescent="0.25">
      <c r="B106" s="1">
        <v>22101</v>
      </c>
    </row>
    <row r="107" spans="2:2" x14ac:dyDescent="0.25">
      <c r="B107" s="1">
        <v>22164</v>
      </c>
    </row>
    <row r="108" spans="2:2" x14ac:dyDescent="0.25">
      <c r="B108" s="1">
        <v>22228</v>
      </c>
    </row>
    <row r="109" spans="2:2" x14ac:dyDescent="0.25">
      <c r="B109" s="1">
        <v>22244</v>
      </c>
    </row>
    <row r="110" spans="2:2" x14ac:dyDescent="0.25">
      <c r="B110" s="1">
        <v>22276</v>
      </c>
    </row>
    <row r="111" spans="2:2" x14ac:dyDescent="0.25">
      <c r="B111" s="1">
        <v>22283</v>
      </c>
    </row>
    <row r="112" spans="2:2" x14ac:dyDescent="0.25">
      <c r="B112" s="1">
        <v>22334</v>
      </c>
    </row>
    <row r="113" spans="2:2" x14ac:dyDescent="0.25">
      <c r="B113" s="1">
        <v>22371</v>
      </c>
    </row>
    <row r="114" spans="2:2" x14ac:dyDescent="0.25">
      <c r="B114" s="1">
        <v>22430</v>
      </c>
    </row>
    <row r="115" spans="2:2" x14ac:dyDescent="0.25">
      <c r="B115" s="1">
        <v>22431</v>
      </c>
    </row>
    <row r="116" spans="2:2" x14ac:dyDescent="0.25">
      <c r="B116" s="1">
        <v>22466</v>
      </c>
    </row>
    <row r="117" spans="2:2" x14ac:dyDescent="0.25">
      <c r="B117" s="1">
        <v>22528</v>
      </c>
    </row>
    <row r="118" spans="2:2" x14ac:dyDescent="0.25">
      <c r="B118" s="1">
        <v>22592</v>
      </c>
    </row>
    <row r="119" spans="2:2" x14ac:dyDescent="0.25">
      <c r="B119" s="1">
        <v>22608</v>
      </c>
    </row>
    <row r="120" spans="2:2" x14ac:dyDescent="0.25">
      <c r="B120" s="1">
        <v>22640</v>
      </c>
    </row>
    <row r="121" spans="2:2" x14ac:dyDescent="0.25">
      <c r="B121" s="1">
        <v>22647</v>
      </c>
    </row>
    <row r="122" spans="2:2" x14ac:dyDescent="0.25">
      <c r="B122" s="1">
        <v>22699</v>
      </c>
    </row>
    <row r="123" spans="2:2" x14ac:dyDescent="0.25">
      <c r="B123" s="1">
        <v>22756</v>
      </c>
    </row>
    <row r="124" spans="2:2" x14ac:dyDescent="0.25">
      <c r="B124" s="1">
        <v>22796</v>
      </c>
    </row>
    <row r="125" spans="2:2" x14ac:dyDescent="0.25">
      <c r="B125" s="1">
        <v>22831</v>
      </c>
    </row>
    <row r="126" spans="2:2" x14ac:dyDescent="0.25">
      <c r="B126" s="1">
        <v>22892</v>
      </c>
    </row>
    <row r="127" spans="2:2" x14ac:dyDescent="0.25">
      <c r="B127" s="1">
        <v>22956</v>
      </c>
    </row>
    <row r="128" spans="2:2" x14ac:dyDescent="0.25">
      <c r="B128" s="1">
        <v>22972</v>
      </c>
    </row>
    <row r="129" spans="2:2" x14ac:dyDescent="0.25">
      <c r="B129" s="1">
        <v>23005</v>
      </c>
    </row>
    <row r="130" spans="2:2" x14ac:dyDescent="0.25">
      <c r="B130" s="1">
        <v>23012</v>
      </c>
    </row>
    <row r="131" spans="2:2" x14ac:dyDescent="0.25">
      <c r="B131" s="1">
        <v>23064</v>
      </c>
    </row>
    <row r="132" spans="2:2" x14ac:dyDescent="0.25">
      <c r="B132" s="1">
        <v>23113</v>
      </c>
    </row>
    <row r="133" spans="2:2" x14ac:dyDescent="0.25">
      <c r="B133" s="1">
        <v>23161</v>
      </c>
    </row>
    <row r="134" spans="2:2" x14ac:dyDescent="0.25">
      <c r="B134" s="1">
        <v>23196</v>
      </c>
    </row>
    <row r="135" spans="2:2" x14ac:dyDescent="0.25">
      <c r="B135" s="1">
        <v>23256</v>
      </c>
    </row>
    <row r="136" spans="2:2" x14ac:dyDescent="0.25">
      <c r="B136" s="1">
        <v>23320</v>
      </c>
    </row>
    <row r="137" spans="2:2" x14ac:dyDescent="0.25">
      <c r="B137" s="1">
        <v>23340</v>
      </c>
    </row>
    <row r="138" spans="2:2" x14ac:dyDescent="0.25">
      <c r="B138" s="1">
        <v>23343</v>
      </c>
    </row>
    <row r="139" spans="2:2" x14ac:dyDescent="0.25">
      <c r="B139" s="1">
        <v>23370</v>
      </c>
    </row>
    <row r="140" spans="2:2" x14ac:dyDescent="0.25">
      <c r="B140" s="1">
        <v>23377</v>
      </c>
    </row>
    <row r="141" spans="2:2" x14ac:dyDescent="0.25">
      <c r="B141" s="1">
        <v>23428</v>
      </c>
    </row>
    <row r="142" spans="2:2" x14ac:dyDescent="0.25">
      <c r="B142" s="1">
        <v>23463</v>
      </c>
    </row>
    <row r="143" spans="2:2" x14ac:dyDescent="0.25">
      <c r="B143" s="1">
        <v>23526</v>
      </c>
    </row>
    <row r="144" spans="2:2" x14ac:dyDescent="0.25">
      <c r="B144" s="1">
        <v>23561</v>
      </c>
    </row>
    <row r="145" spans="2:2" x14ac:dyDescent="0.25">
      <c r="B145" s="1">
        <v>23627</v>
      </c>
    </row>
    <row r="146" spans="2:2" x14ac:dyDescent="0.25">
      <c r="B146" s="1">
        <v>23684</v>
      </c>
    </row>
    <row r="147" spans="2:2" x14ac:dyDescent="0.25">
      <c r="B147" s="1">
        <v>23707</v>
      </c>
    </row>
    <row r="148" spans="2:2" x14ac:dyDescent="0.25">
      <c r="B148" s="1">
        <v>23736</v>
      </c>
    </row>
    <row r="149" spans="2:2" x14ac:dyDescent="0.25">
      <c r="B149" s="1">
        <v>23743</v>
      </c>
    </row>
    <row r="150" spans="2:2" x14ac:dyDescent="0.25">
      <c r="B150" s="1">
        <v>23795</v>
      </c>
    </row>
    <row r="151" spans="2:2" x14ac:dyDescent="0.25">
      <c r="B151" s="1">
        <v>23848</v>
      </c>
    </row>
    <row r="152" spans="2:2" x14ac:dyDescent="0.25">
      <c r="B152" s="1">
        <v>23893</v>
      </c>
    </row>
    <row r="153" spans="2:2" x14ac:dyDescent="0.25">
      <c r="B153" s="1">
        <v>23928</v>
      </c>
    </row>
    <row r="154" spans="2:2" x14ac:dyDescent="0.25">
      <c r="B154" s="1">
        <v>23991</v>
      </c>
    </row>
    <row r="155" spans="2:2" x14ac:dyDescent="0.25">
      <c r="B155" s="1">
        <v>24048</v>
      </c>
    </row>
    <row r="156" spans="2:2" x14ac:dyDescent="0.25">
      <c r="B156" s="1">
        <v>24071</v>
      </c>
    </row>
    <row r="157" spans="2:2" x14ac:dyDescent="0.25">
      <c r="B157" s="1">
        <v>24100</v>
      </c>
    </row>
    <row r="158" spans="2:2" x14ac:dyDescent="0.25">
      <c r="B158" s="1">
        <v>24160</v>
      </c>
    </row>
    <row r="159" spans="2:2" x14ac:dyDescent="0.25">
      <c r="B159" s="1">
        <v>24205</v>
      </c>
    </row>
    <row r="160" spans="2:2" x14ac:dyDescent="0.25">
      <c r="B160" s="1">
        <v>24257</v>
      </c>
    </row>
    <row r="161" spans="2:2" x14ac:dyDescent="0.25">
      <c r="B161" s="1">
        <v>24292</v>
      </c>
    </row>
    <row r="162" spans="2:2" x14ac:dyDescent="0.25">
      <c r="B162" s="1">
        <v>24355</v>
      </c>
    </row>
    <row r="163" spans="2:2" x14ac:dyDescent="0.25">
      <c r="B163" s="1">
        <v>24419</v>
      </c>
    </row>
    <row r="164" spans="2:2" x14ac:dyDescent="0.25">
      <c r="B164" s="1">
        <v>24435</v>
      </c>
    </row>
    <row r="165" spans="2:2" x14ac:dyDescent="0.25">
      <c r="B165" s="1">
        <v>24467</v>
      </c>
    </row>
    <row r="166" spans="2:2" x14ac:dyDescent="0.25">
      <c r="B166" s="1">
        <v>24474</v>
      </c>
    </row>
    <row r="167" spans="2:2" x14ac:dyDescent="0.25">
      <c r="B167" s="1">
        <v>24525</v>
      </c>
    </row>
    <row r="168" spans="2:2" x14ac:dyDescent="0.25">
      <c r="B168" s="1">
        <v>24555</v>
      </c>
    </row>
    <row r="169" spans="2:2" x14ac:dyDescent="0.25">
      <c r="B169" s="1">
        <v>24622</v>
      </c>
    </row>
    <row r="170" spans="2:2" x14ac:dyDescent="0.25">
      <c r="B170" s="1">
        <v>24657</v>
      </c>
    </row>
    <row r="171" spans="2:2" x14ac:dyDescent="0.25">
      <c r="B171" s="1">
        <v>24719</v>
      </c>
    </row>
    <row r="172" spans="2:2" x14ac:dyDescent="0.25">
      <c r="B172" s="1">
        <v>24783</v>
      </c>
    </row>
    <row r="173" spans="2:2" x14ac:dyDescent="0.25">
      <c r="B173" s="1">
        <v>24799</v>
      </c>
    </row>
    <row r="174" spans="2:2" x14ac:dyDescent="0.25">
      <c r="B174" s="1">
        <v>24831</v>
      </c>
    </row>
    <row r="175" spans="2:2" x14ac:dyDescent="0.25">
      <c r="B175" s="1">
        <v>24838</v>
      </c>
    </row>
    <row r="176" spans="2:2" x14ac:dyDescent="0.25">
      <c r="B176" s="1">
        <v>24880</v>
      </c>
    </row>
    <row r="177" spans="2:2" x14ac:dyDescent="0.25">
      <c r="B177" s="1">
        <v>24890</v>
      </c>
    </row>
    <row r="178" spans="2:2" x14ac:dyDescent="0.25">
      <c r="B178" s="1">
        <v>24937</v>
      </c>
    </row>
    <row r="179" spans="2:2" x14ac:dyDescent="0.25">
      <c r="B179" s="1">
        <v>24940</v>
      </c>
    </row>
    <row r="180" spans="2:2" x14ac:dyDescent="0.25">
      <c r="B180" s="1">
        <v>24988</v>
      </c>
    </row>
    <row r="181" spans="2:2" x14ac:dyDescent="0.25">
      <c r="B181" s="1">
        <v>25023</v>
      </c>
    </row>
    <row r="182" spans="2:2" x14ac:dyDescent="0.25">
      <c r="B182" s="1">
        <v>25024</v>
      </c>
    </row>
    <row r="183" spans="2:2" x14ac:dyDescent="0.25">
      <c r="B183" s="1">
        <v>25083</v>
      </c>
    </row>
    <row r="184" spans="2:2" x14ac:dyDescent="0.25">
      <c r="B184" s="1">
        <v>25147</v>
      </c>
    </row>
    <row r="185" spans="2:2" x14ac:dyDescent="0.25">
      <c r="B185" s="1">
        <v>25170</v>
      </c>
    </row>
    <row r="186" spans="2:2" x14ac:dyDescent="0.25">
      <c r="B186" s="1">
        <v>25197</v>
      </c>
    </row>
    <row r="187" spans="2:2" x14ac:dyDescent="0.25">
      <c r="B187" s="1">
        <v>25204</v>
      </c>
    </row>
    <row r="188" spans="2:2" x14ac:dyDescent="0.25">
      <c r="B188" s="1">
        <v>25244</v>
      </c>
    </row>
    <row r="189" spans="2:2" x14ac:dyDescent="0.25">
      <c r="B189" s="1">
        <v>25255</v>
      </c>
    </row>
    <row r="190" spans="2:2" x14ac:dyDescent="0.25">
      <c r="B190" s="1">
        <v>25293</v>
      </c>
    </row>
    <row r="191" spans="2:2" x14ac:dyDescent="0.25">
      <c r="B191" s="1">
        <v>25297</v>
      </c>
    </row>
    <row r="192" spans="2:2" x14ac:dyDescent="0.25">
      <c r="B192" s="1">
        <v>25353</v>
      </c>
    </row>
    <row r="193" spans="2:2" x14ac:dyDescent="0.25">
      <c r="B193" s="1">
        <v>25388</v>
      </c>
    </row>
    <row r="194" spans="2:2" x14ac:dyDescent="0.25">
      <c r="B194" s="1">
        <v>25405</v>
      </c>
    </row>
    <row r="195" spans="2:2" x14ac:dyDescent="0.25">
      <c r="B195" s="1">
        <v>25447</v>
      </c>
    </row>
    <row r="196" spans="2:2" x14ac:dyDescent="0.25">
      <c r="B196" s="1">
        <v>25534</v>
      </c>
    </row>
    <row r="197" spans="2:2" x14ac:dyDescent="0.25">
      <c r="B197" s="1">
        <v>25562</v>
      </c>
    </row>
    <row r="198" spans="2:2" x14ac:dyDescent="0.25">
      <c r="B198" s="1">
        <v>25569</v>
      </c>
    </row>
    <row r="199" spans="2:2" x14ac:dyDescent="0.25">
      <c r="B199" s="1">
        <v>25622</v>
      </c>
    </row>
    <row r="200" spans="2:2" x14ac:dyDescent="0.25">
      <c r="B200" s="1">
        <v>25654</v>
      </c>
    </row>
    <row r="201" spans="2:2" x14ac:dyDescent="0.25">
      <c r="B201" s="1">
        <v>25752</v>
      </c>
    </row>
    <row r="202" spans="2:2" x14ac:dyDescent="0.25">
      <c r="B202" s="1">
        <v>25818</v>
      </c>
    </row>
    <row r="203" spans="2:2" x14ac:dyDescent="0.25">
      <c r="B203" s="1">
        <v>25898</v>
      </c>
    </row>
    <row r="204" spans="2:2" x14ac:dyDescent="0.25">
      <c r="B204" s="1">
        <v>25927</v>
      </c>
    </row>
    <row r="205" spans="2:2" x14ac:dyDescent="0.25">
      <c r="B205" s="1">
        <v>25934</v>
      </c>
    </row>
    <row r="206" spans="2:2" x14ac:dyDescent="0.25">
      <c r="B206" s="1">
        <v>25979</v>
      </c>
    </row>
    <row r="207" spans="2:2" x14ac:dyDescent="0.25">
      <c r="B207" s="1">
        <v>26032</v>
      </c>
    </row>
    <row r="208" spans="2:2" x14ac:dyDescent="0.25">
      <c r="B208" s="1">
        <v>26084</v>
      </c>
    </row>
    <row r="209" spans="2:2" x14ac:dyDescent="0.25">
      <c r="B209" s="1">
        <v>26119</v>
      </c>
    </row>
    <row r="210" spans="2:2" x14ac:dyDescent="0.25">
      <c r="B210" s="1">
        <v>26182</v>
      </c>
    </row>
    <row r="211" spans="2:2" x14ac:dyDescent="0.25">
      <c r="B211" s="1">
        <v>26262</v>
      </c>
    </row>
    <row r="212" spans="2:2" x14ac:dyDescent="0.25">
      <c r="B212" s="1">
        <v>26291</v>
      </c>
    </row>
    <row r="213" spans="2:2" x14ac:dyDescent="0.25">
      <c r="B213" s="1">
        <v>26350</v>
      </c>
    </row>
    <row r="214" spans="2:2" x14ac:dyDescent="0.25">
      <c r="B214" s="1">
        <v>26389</v>
      </c>
    </row>
    <row r="215" spans="2:2" x14ac:dyDescent="0.25">
      <c r="B215" s="1">
        <v>26448</v>
      </c>
    </row>
    <row r="216" spans="2:2" x14ac:dyDescent="0.25">
      <c r="B216" s="1">
        <v>26484</v>
      </c>
    </row>
    <row r="217" spans="2:2" x14ac:dyDescent="0.25">
      <c r="B217" s="1">
        <v>26546</v>
      </c>
    </row>
    <row r="218" spans="2:2" x14ac:dyDescent="0.25">
      <c r="B218" s="1">
        <v>26610</v>
      </c>
    </row>
    <row r="219" spans="2:2" x14ac:dyDescent="0.25">
      <c r="B219" s="1">
        <v>26626</v>
      </c>
    </row>
    <row r="220" spans="2:2" x14ac:dyDescent="0.25">
      <c r="B220" s="1">
        <v>26658</v>
      </c>
    </row>
    <row r="221" spans="2:2" x14ac:dyDescent="0.25">
      <c r="B221" s="1">
        <v>26661</v>
      </c>
    </row>
    <row r="222" spans="2:2" x14ac:dyDescent="0.25">
      <c r="B222" s="1">
        <v>26665</v>
      </c>
    </row>
    <row r="223" spans="2:2" x14ac:dyDescent="0.25">
      <c r="B223" s="1">
        <v>26689</v>
      </c>
    </row>
    <row r="224" spans="2:2" x14ac:dyDescent="0.25">
      <c r="B224" s="1">
        <v>26714</v>
      </c>
    </row>
    <row r="225" spans="2:2" x14ac:dyDescent="0.25">
      <c r="B225" s="1">
        <v>26774</v>
      </c>
    </row>
    <row r="226" spans="2:2" x14ac:dyDescent="0.25">
      <c r="B226" s="1">
        <v>26812</v>
      </c>
    </row>
    <row r="227" spans="2:2" x14ac:dyDescent="0.25">
      <c r="B227" s="1">
        <v>26849</v>
      </c>
    </row>
    <row r="228" spans="2:2" x14ac:dyDescent="0.25">
      <c r="B228" s="1">
        <v>26910</v>
      </c>
    </row>
    <row r="229" spans="2:2" x14ac:dyDescent="0.25">
      <c r="B229" s="1">
        <v>26990</v>
      </c>
    </row>
    <row r="230" spans="2:2" x14ac:dyDescent="0.25">
      <c r="B230" s="1">
        <v>27023</v>
      </c>
    </row>
    <row r="231" spans="2:2" x14ac:dyDescent="0.25">
      <c r="B231" s="1">
        <v>27030</v>
      </c>
    </row>
    <row r="232" spans="2:2" x14ac:dyDescent="0.25">
      <c r="B232" s="1">
        <v>27078</v>
      </c>
    </row>
    <row r="233" spans="2:2" x14ac:dyDescent="0.25">
      <c r="B233" s="1">
        <v>27131</v>
      </c>
    </row>
    <row r="234" spans="2:2" x14ac:dyDescent="0.25">
      <c r="B234" s="1">
        <v>27176</v>
      </c>
    </row>
    <row r="235" spans="2:2" x14ac:dyDescent="0.25">
      <c r="B235" s="1">
        <v>27214</v>
      </c>
    </row>
    <row r="236" spans="2:2" x14ac:dyDescent="0.25">
      <c r="B236" s="1">
        <v>27274</v>
      </c>
    </row>
    <row r="237" spans="2:2" x14ac:dyDescent="0.25">
      <c r="B237" s="1">
        <v>27361</v>
      </c>
    </row>
    <row r="238" spans="2:2" x14ac:dyDescent="0.25">
      <c r="B238" s="1">
        <v>27388</v>
      </c>
    </row>
    <row r="239" spans="2:2" x14ac:dyDescent="0.25">
      <c r="B239" s="1">
        <v>27395</v>
      </c>
    </row>
    <row r="240" spans="2:2" x14ac:dyDescent="0.25">
      <c r="B240" s="1">
        <v>27442</v>
      </c>
    </row>
    <row r="241" spans="2:2" x14ac:dyDescent="0.25">
      <c r="B241" s="1">
        <v>27481</v>
      </c>
    </row>
    <row r="242" spans="2:2" x14ac:dyDescent="0.25">
      <c r="B242" s="1">
        <v>27540</v>
      </c>
    </row>
    <row r="243" spans="2:2" x14ac:dyDescent="0.25">
      <c r="B243" s="1">
        <v>27579</v>
      </c>
    </row>
    <row r="244" spans="2:2" x14ac:dyDescent="0.25">
      <c r="B244" s="1">
        <v>27638</v>
      </c>
    </row>
    <row r="245" spans="2:2" x14ac:dyDescent="0.25">
      <c r="B245" s="1">
        <v>27725</v>
      </c>
    </row>
    <row r="246" spans="2:2" x14ac:dyDescent="0.25">
      <c r="B246" s="1">
        <v>27753</v>
      </c>
    </row>
    <row r="247" spans="2:2" x14ac:dyDescent="0.25">
      <c r="B247" s="1">
        <v>27760</v>
      </c>
    </row>
    <row r="248" spans="2:2" x14ac:dyDescent="0.25">
      <c r="B248" s="1">
        <v>27806</v>
      </c>
    </row>
    <row r="249" spans="2:2" x14ac:dyDescent="0.25">
      <c r="B249" s="1">
        <v>27866</v>
      </c>
    </row>
    <row r="250" spans="2:2" x14ac:dyDescent="0.25">
      <c r="B250" s="1">
        <v>27911</v>
      </c>
    </row>
    <row r="251" spans="2:2" x14ac:dyDescent="0.25">
      <c r="B251" s="1">
        <v>27946</v>
      </c>
    </row>
    <row r="252" spans="2:2" x14ac:dyDescent="0.25">
      <c r="B252" s="1">
        <v>28009</v>
      </c>
    </row>
    <row r="253" spans="2:2" x14ac:dyDescent="0.25">
      <c r="B253" s="1">
        <v>28066</v>
      </c>
    </row>
    <row r="254" spans="2:2" x14ac:dyDescent="0.25">
      <c r="B254" s="1">
        <v>28089</v>
      </c>
    </row>
    <row r="255" spans="2:2" x14ac:dyDescent="0.25">
      <c r="B255" s="1">
        <v>28118</v>
      </c>
    </row>
    <row r="256" spans="2:2" x14ac:dyDescent="0.25">
      <c r="B256" s="1">
        <v>28177</v>
      </c>
    </row>
    <row r="257" spans="2:2" x14ac:dyDescent="0.25">
      <c r="B257" s="1">
        <v>28223</v>
      </c>
    </row>
    <row r="258" spans="2:2" x14ac:dyDescent="0.25">
      <c r="B258" s="1">
        <v>28275</v>
      </c>
    </row>
    <row r="259" spans="2:2" x14ac:dyDescent="0.25">
      <c r="B259" s="1">
        <v>28310</v>
      </c>
    </row>
    <row r="260" spans="2:2" x14ac:dyDescent="0.25">
      <c r="B260" s="1">
        <v>28320</v>
      </c>
    </row>
    <row r="261" spans="2:2" x14ac:dyDescent="0.25">
      <c r="B261" s="1">
        <v>28373</v>
      </c>
    </row>
    <row r="262" spans="2:2" x14ac:dyDescent="0.25">
      <c r="B262" s="1">
        <v>28453</v>
      </c>
    </row>
    <row r="263" spans="2:2" x14ac:dyDescent="0.25">
      <c r="B263" s="1">
        <v>28485</v>
      </c>
    </row>
    <row r="264" spans="2:2" x14ac:dyDescent="0.25">
      <c r="B264" s="1">
        <v>28492</v>
      </c>
    </row>
    <row r="265" spans="2:2" x14ac:dyDescent="0.25">
      <c r="B265" s="1">
        <v>28541</v>
      </c>
    </row>
    <row r="266" spans="2:2" x14ac:dyDescent="0.25">
      <c r="B266" s="1">
        <v>28573</v>
      </c>
    </row>
    <row r="267" spans="2:2" x14ac:dyDescent="0.25">
      <c r="B267" s="1">
        <v>28639</v>
      </c>
    </row>
    <row r="268" spans="2:2" x14ac:dyDescent="0.25">
      <c r="B268" s="1">
        <v>28675</v>
      </c>
    </row>
    <row r="269" spans="2:2" x14ac:dyDescent="0.25">
      <c r="B269" s="1">
        <v>28737</v>
      </c>
    </row>
    <row r="270" spans="2:2" x14ac:dyDescent="0.25">
      <c r="B270" s="1">
        <v>28817</v>
      </c>
    </row>
    <row r="271" spans="2:2" x14ac:dyDescent="0.25">
      <c r="B271" s="1">
        <v>28849</v>
      </c>
    </row>
    <row r="272" spans="2:2" x14ac:dyDescent="0.25">
      <c r="B272" s="1">
        <v>28856</v>
      </c>
    </row>
    <row r="273" spans="2:2" x14ac:dyDescent="0.25">
      <c r="B273" s="1">
        <v>28905</v>
      </c>
    </row>
    <row r="274" spans="2:2" x14ac:dyDescent="0.25">
      <c r="B274" s="1">
        <v>28958</v>
      </c>
    </row>
    <row r="275" spans="2:2" x14ac:dyDescent="0.25">
      <c r="B275" s="1">
        <v>29003</v>
      </c>
    </row>
    <row r="276" spans="2:2" x14ac:dyDescent="0.25">
      <c r="B276" s="1">
        <v>29040</v>
      </c>
    </row>
    <row r="277" spans="2:2" x14ac:dyDescent="0.25">
      <c r="B277" s="1">
        <v>29101</v>
      </c>
    </row>
    <row r="278" spans="2:2" x14ac:dyDescent="0.25">
      <c r="B278" s="1">
        <v>29181</v>
      </c>
    </row>
    <row r="279" spans="2:2" x14ac:dyDescent="0.25">
      <c r="B279" s="1">
        <v>29214</v>
      </c>
    </row>
    <row r="280" spans="2:2" x14ac:dyDescent="0.25">
      <c r="B280" s="1">
        <v>29221</v>
      </c>
    </row>
    <row r="281" spans="2:2" x14ac:dyDescent="0.25">
      <c r="B281" s="1">
        <v>29269</v>
      </c>
    </row>
    <row r="282" spans="2:2" x14ac:dyDescent="0.25">
      <c r="B282" s="1">
        <v>29315</v>
      </c>
    </row>
    <row r="283" spans="2:2" x14ac:dyDescent="0.25">
      <c r="B283" s="1">
        <v>29367</v>
      </c>
    </row>
    <row r="284" spans="2:2" x14ac:dyDescent="0.25">
      <c r="B284" s="1">
        <v>29406</v>
      </c>
    </row>
    <row r="285" spans="2:2" x14ac:dyDescent="0.25">
      <c r="B285" s="1">
        <v>29465</v>
      </c>
    </row>
    <row r="286" spans="2:2" x14ac:dyDescent="0.25">
      <c r="B286" s="1">
        <v>29529</v>
      </c>
    </row>
    <row r="287" spans="2:2" x14ac:dyDescent="0.25">
      <c r="B287" s="1">
        <v>29552</v>
      </c>
    </row>
    <row r="288" spans="2:2" x14ac:dyDescent="0.25">
      <c r="B288" s="1">
        <v>29580</v>
      </c>
    </row>
    <row r="289" spans="2:2" x14ac:dyDescent="0.25">
      <c r="B289" s="1">
        <v>29587</v>
      </c>
    </row>
    <row r="290" spans="2:2" x14ac:dyDescent="0.25">
      <c r="B290" s="1">
        <v>29633</v>
      </c>
    </row>
    <row r="291" spans="2:2" x14ac:dyDescent="0.25">
      <c r="B291" s="1">
        <v>29693</v>
      </c>
    </row>
    <row r="292" spans="2:2" x14ac:dyDescent="0.25">
      <c r="B292" s="1">
        <v>29731</v>
      </c>
    </row>
    <row r="293" spans="2:2" x14ac:dyDescent="0.25">
      <c r="B293" s="1">
        <v>29770</v>
      </c>
    </row>
    <row r="294" spans="2:2" x14ac:dyDescent="0.25">
      <c r="B294" s="1">
        <v>29836</v>
      </c>
    </row>
    <row r="295" spans="2:2" x14ac:dyDescent="0.25">
      <c r="B295" s="1">
        <v>29916</v>
      </c>
    </row>
    <row r="296" spans="2:2" x14ac:dyDescent="0.25">
      <c r="B296" s="1">
        <v>29945</v>
      </c>
    </row>
    <row r="297" spans="2:2" x14ac:dyDescent="0.25">
      <c r="B297" s="1">
        <v>29952</v>
      </c>
    </row>
    <row r="298" spans="2:2" x14ac:dyDescent="0.25">
      <c r="B298" s="1">
        <v>29997</v>
      </c>
    </row>
    <row r="299" spans="2:2" x14ac:dyDescent="0.25">
      <c r="B299" s="1">
        <v>30050</v>
      </c>
    </row>
    <row r="300" spans="2:2" x14ac:dyDescent="0.25">
      <c r="B300" s="1">
        <v>30102</v>
      </c>
    </row>
    <row r="301" spans="2:2" x14ac:dyDescent="0.25">
      <c r="B301" s="1">
        <v>30137</v>
      </c>
    </row>
    <row r="302" spans="2:2" x14ac:dyDescent="0.25">
      <c r="B302" s="1">
        <v>30200</v>
      </c>
    </row>
    <row r="303" spans="2:2" x14ac:dyDescent="0.25">
      <c r="B303" s="1">
        <v>30280</v>
      </c>
    </row>
    <row r="304" spans="2:2" x14ac:dyDescent="0.25">
      <c r="B304" s="1">
        <v>30309</v>
      </c>
    </row>
    <row r="305" spans="2:2" x14ac:dyDescent="0.25">
      <c r="B305" s="1">
        <v>30368</v>
      </c>
    </row>
    <row r="306" spans="2:2" x14ac:dyDescent="0.25">
      <c r="B306" s="1">
        <v>30407</v>
      </c>
    </row>
    <row r="307" spans="2:2" x14ac:dyDescent="0.25">
      <c r="B307" s="1">
        <v>30466</v>
      </c>
    </row>
    <row r="308" spans="2:2" x14ac:dyDescent="0.25">
      <c r="B308" s="1">
        <v>30501</v>
      </c>
    </row>
    <row r="309" spans="2:2" x14ac:dyDescent="0.25">
      <c r="B309" s="1">
        <v>30564</v>
      </c>
    </row>
    <row r="310" spans="2:2" x14ac:dyDescent="0.25">
      <c r="B310" s="1">
        <v>30644</v>
      </c>
    </row>
    <row r="311" spans="2:2" x14ac:dyDescent="0.25">
      <c r="B311" s="1">
        <v>30676</v>
      </c>
    </row>
    <row r="312" spans="2:2" x14ac:dyDescent="0.25">
      <c r="B312" s="1">
        <v>30683</v>
      </c>
    </row>
    <row r="313" spans="2:2" x14ac:dyDescent="0.25">
      <c r="B313" s="1">
        <v>30732</v>
      </c>
    </row>
    <row r="314" spans="2:2" x14ac:dyDescent="0.25">
      <c r="B314" s="1">
        <v>30792</v>
      </c>
    </row>
    <row r="315" spans="2:2" x14ac:dyDescent="0.25">
      <c r="B315" s="1">
        <v>30830</v>
      </c>
    </row>
    <row r="316" spans="2:2" x14ac:dyDescent="0.25">
      <c r="B316" s="1">
        <v>30867</v>
      </c>
    </row>
    <row r="317" spans="2:2" x14ac:dyDescent="0.25">
      <c r="B317" s="1">
        <v>30928</v>
      </c>
    </row>
    <row r="318" spans="2:2" x14ac:dyDescent="0.25">
      <c r="B318" s="1">
        <v>31008</v>
      </c>
    </row>
    <row r="319" spans="2:2" x14ac:dyDescent="0.25">
      <c r="B319" s="1">
        <v>31041</v>
      </c>
    </row>
    <row r="320" spans="2:2" x14ac:dyDescent="0.25">
      <c r="B320" s="1">
        <v>31048</v>
      </c>
    </row>
    <row r="321" spans="2:2" x14ac:dyDescent="0.25">
      <c r="B321" s="1">
        <v>31096</v>
      </c>
    </row>
    <row r="322" spans="2:2" x14ac:dyDescent="0.25">
      <c r="B322" s="1">
        <v>31142</v>
      </c>
    </row>
    <row r="323" spans="2:2" x14ac:dyDescent="0.25">
      <c r="B323" s="1">
        <v>31194</v>
      </c>
    </row>
    <row r="324" spans="2:2" x14ac:dyDescent="0.25">
      <c r="B324" s="1">
        <v>31232</v>
      </c>
    </row>
    <row r="325" spans="2:2" x14ac:dyDescent="0.25">
      <c r="B325" s="1">
        <v>31292</v>
      </c>
    </row>
    <row r="326" spans="2:2" x14ac:dyDescent="0.25">
      <c r="B326" s="1">
        <v>31317</v>
      </c>
    </row>
    <row r="327" spans="2:2" x14ac:dyDescent="0.25">
      <c r="B327" s="1">
        <v>31379</v>
      </c>
    </row>
    <row r="328" spans="2:2" x14ac:dyDescent="0.25">
      <c r="B328" s="1">
        <v>31406</v>
      </c>
    </row>
    <row r="329" spans="2:2" x14ac:dyDescent="0.25">
      <c r="B329" s="1">
        <v>31413</v>
      </c>
    </row>
    <row r="330" spans="2:2" x14ac:dyDescent="0.25">
      <c r="B330" s="1">
        <v>31460</v>
      </c>
    </row>
    <row r="331" spans="2:2" x14ac:dyDescent="0.25">
      <c r="B331" s="1">
        <v>31499</v>
      </c>
    </row>
    <row r="332" spans="2:2" x14ac:dyDescent="0.25">
      <c r="B332" s="1">
        <v>31558</v>
      </c>
    </row>
    <row r="333" spans="2:2" x14ac:dyDescent="0.25">
      <c r="B333" s="1">
        <v>31597</v>
      </c>
    </row>
    <row r="334" spans="2:2" x14ac:dyDescent="0.25">
      <c r="B334" s="1">
        <v>31656</v>
      </c>
    </row>
    <row r="335" spans="2:2" x14ac:dyDescent="0.25">
      <c r="B335" s="1">
        <v>31743</v>
      </c>
    </row>
    <row r="336" spans="2:2" x14ac:dyDescent="0.25">
      <c r="B336" s="1">
        <v>31771</v>
      </c>
    </row>
    <row r="337" spans="2:2" x14ac:dyDescent="0.25">
      <c r="B337" s="1">
        <v>31778</v>
      </c>
    </row>
    <row r="338" spans="2:2" x14ac:dyDescent="0.25">
      <c r="B338" s="1">
        <v>31824</v>
      </c>
    </row>
    <row r="339" spans="2:2" x14ac:dyDescent="0.25">
      <c r="B339" s="1">
        <v>31884</v>
      </c>
    </row>
    <row r="340" spans="2:2" x14ac:dyDescent="0.25">
      <c r="B340" s="1">
        <v>31922</v>
      </c>
    </row>
    <row r="341" spans="2:2" x14ac:dyDescent="0.25">
      <c r="B341" s="1">
        <v>31961</v>
      </c>
    </row>
    <row r="342" spans="2:2" x14ac:dyDescent="0.25">
      <c r="B342" s="1">
        <v>32027</v>
      </c>
    </row>
    <row r="343" spans="2:2" x14ac:dyDescent="0.25">
      <c r="B343" s="1">
        <v>32107</v>
      </c>
    </row>
    <row r="344" spans="2:2" x14ac:dyDescent="0.25">
      <c r="B344" s="1">
        <v>32136</v>
      </c>
    </row>
    <row r="345" spans="2:2" x14ac:dyDescent="0.25">
      <c r="B345" s="1">
        <v>32143</v>
      </c>
    </row>
    <row r="346" spans="2:2" x14ac:dyDescent="0.25">
      <c r="B346" s="1">
        <v>32188</v>
      </c>
    </row>
    <row r="347" spans="2:2" x14ac:dyDescent="0.25">
      <c r="B347" s="1">
        <v>32234</v>
      </c>
    </row>
    <row r="348" spans="2:2" x14ac:dyDescent="0.25">
      <c r="B348" s="1">
        <v>32293</v>
      </c>
    </row>
    <row r="349" spans="2:2" x14ac:dyDescent="0.25">
      <c r="B349" s="1">
        <v>32328</v>
      </c>
    </row>
    <row r="350" spans="2:2" x14ac:dyDescent="0.25">
      <c r="B350" s="1">
        <v>32391</v>
      </c>
    </row>
    <row r="351" spans="2:2" x14ac:dyDescent="0.25">
      <c r="B351" s="1">
        <v>32471</v>
      </c>
    </row>
    <row r="352" spans="2:2" x14ac:dyDescent="0.25">
      <c r="B352" s="1">
        <v>32503</v>
      </c>
    </row>
    <row r="353" spans="2:2" x14ac:dyDescent="0.25">
      <c r="B353" s="1">
        <v>32510</v>
      </c>
    </row>
    <row r="354" spans="2:2" x14ac:dyDescent="0.25">
      <c r="B354" s="1">
        <v>32559</v>
      </c>
    </row>
    <row r="355" spans="2:2" x14ac:dyDescent="0.25">
      <c r="B355" s="1">
        <v>32591</v>
      </c>
    </row>
    <row r="356" spans="2:2" x14ac:dyDescent="0.25">
      <c r="B356" s="1">
        <v>32657</v>
      </c>
    </row>
    <row r="357" spans="2:2" x14ac:dyDescent="0.25">
      <c r="B357" s="1">
        <v>32693</v>
      </c>
    </row>
    <row r="358" spans="2:2" x14ac:dyDescent="0.25">
      <c r="B358" s="1">
        <v>32755</v>
      </c>
    </row>
    <row r="359" spans="2:2" x14ac:dyDescent="0.25">
      <c r="B359" s="1">
        <v>32835</v>
      </c>
    </row>
    <row r="360" spans="2:2" x14ac:dyDescent="0.25">
      <c r="B360" s="1">
        <v>32867</v>
      </c>
    </row>
    <row r="361" spans="2:2" x14ac:dyDescent="0.25">
      <c r="B361" s="1">
        <v>32874</v>
      </c>
    </row>
    <row r="362" spans="2:2" x14ac:dyDescent="0.25">
      <c r="B362" s="1">
        <v>32923</v>
      </c>
    </row>
    <row r="363" spans="2:2" x14ac:dyDescent="0.25">
      <c r="B363" s="1">
        <v>32976</v>
      </c>
    </row>
    <row r="364" spans="2:2" x14ac:dyDescent="0.25">
      <c r="B364" s="1">
        <v>33021</v>
      </c>
    </row>
    <row r="365" spans="2:2" x14ac:dyDescent="0.25">
      <c r="B365" s="1">
        <v>33058</v>
      </c>
    </row>
    <row r="366" spans="2:2" x14ac:dyDescent="0.25">
      <c r="B366" s="1">
        <v>33119</v>
      </c>
    </row>
    <row r="367" spans="2:2" x14ac:dyDescent="0.25">
      <c r="B367" s="1">
        <v>33199</v>
      </c>
    </row>
    <row r="368" spans="2:2" x14ac:dyDescent="0.25">
      <c r="B368" s="1">
        <v>33232</v>
      </c>
    </row>
    <row r="369" spans="2:2" x14ac:dyDescent="0.25">
      <c r="B369" s="1">
        <v>33239</v>
      </c>
    </row>
    <row r="370" spans="2:2" x14ac:dyDescent="0.25">
      <c r="B370" s="1">
        <v>33287</v>
      </c>
    </row>
    <row r="371" spans="2:2" x14ac:dyDescent="0.25">
      <c r="B371" s="1">
        <v>33326</v>
      </c>
    </row>
    <row r="372" spans="2:2" x14ac:dyDescent="0.25">
      <c r="B372" s="1">
        <v>33385</v>
      </c>
    </row>
    <row r="373" spans="2:2" x14ac:dyDescent="0.25">
      <c r="B373" s="1">
        <v>33423</v>
      </c>
    </row>
    <row r="374" spans="2:2" x14ac:dyDescent="0.25">
      <c r="B374" s="1">
        <v>33483</v>
      </c>
    </row>
    <row r="375" spans="2:2" x14ac:dyDescent="0.25">
      <c r="B375" s="1">
        <v>33570</v>
      </c>
    </row>
    <row r="376" spans="2:2" x14ac:dyDescent="0.25">
      <c r="B376" s="1">
        <v>33597</v>
      </c>
    </row>
    <row r="377" spans="2:2" x14ac:dyDescent="0.25">
      <c r="B377" s="1">
        <v>33604</v>
      </c>
    </row>
    <row r="378" spans="2:2" x14ac:dyDescent="0.25">
      <c r="B378" s="1">
        <v>33651</v>
      </c>
    </row>
    <row r="379" spans="2:2" x14ac:dyDescent="0.25">
      <c r="B379" s="1">
        <v>33711</v>
      </c>
    </row>
    <row r="380" spans="2:2" x14ac:dyDescent="0.25">
      <c r="B380" s="1">
        <v>33749</v>
      </c>
    </row>
    <row r="381" spans="2:2" x14ac:dyDescent="0.25">
      <c r="B381" s="1">
        <v>33788</v>
      </c>
    </row>
    <row r="382" spans="2:2" x14ac:dyDescent="0.25">
      <c r="B382" s="1">
        <v>33854</v>
      </c>
    </row>
    <row r="383" spans="2:2" x14ac:dyDescent="0.25">
      <c r="B383" s="1">
        <v>33934</v>
      </c>
    </row>
    <row r="384" spans="2:2" x14ac:dyDescent="0.25">
      <c r="B384" s="1">
        <v>33963</v>
      </c>
    </row>
    <row r="385" spans="2:2" x14ac:dyDescent="0.25">
      <c r="B385" s="1">
        <v>33970</v>
      </c>
    </row>
    <row r="386" spans="2:2" x14ac:dyDescent="0.25">
      <c r="B386" s="1">
        <v>34015</v>
      </c>
    </row>
    <row r="387" spans="2:2" x14ac:dyDescent="0.25">
      <c r="B387" s="1">
        <v>34068</v>
      </c>
    </row>
    <row r="388" spans="2:2" x14ac:dyDescent="0.25">
      <c r="B388" s="1">
        <v>34120</v>
      </c>
    </row>
    <row r="389" spans="2:2" x14ac:dyDescent="0.25">
      <c r="B389" s="1">
        <v>34155</v>
      </c>
    </row>
    <row r="390" spans="2:2" x14ac:dyDescent="0.25">
      <c r="B390" s="1">
        <v>34218</v>
      </c>
    </row>
    <row r="391" spans="2:2" x14ac:dyDescent="0.25">
      <c r="B391" s="1">
        <v>34298</v>
      </c>
    </row>
    <row r="392" spans="2:2" x14ac:dyDescent="0.25">
      <c r="B392" s="1">
        <v>34327</v>
      </c>
    </row>
    <row r="393" spans="2:2" x14ac:dyDescent="0.25">
      <c r="B393" s="1">
        <v>34386</v>
      </c>
    </row>
    <row r="394" spans="2:2" x14ac:dyDescent="0.25">
      <c r="B394" s="1">
        <v>34425</v>
      </c>
    </row>
    <row r="395" spans="2:2" x14ac:dyDescent="0.25">
      <c r="B395" s="1">
        <v>34451</v>
      </c>
    </row>
    <row r="396" spans="2:2" x14ac:dyDescent="0.25">
      <c r="B396" s="1">
        <v>34484</v>
      </c>
    </row>
    <row r="397" spans="2:2" x14ac:dyDescent="0.25">
      <c r="B397" s="1">
        <v>34519</v>
      </c>
    </row>
    <row r="398" spans="2:2" x14ac:dyDescent="0.25">
      <c r="B398" s="1">
        <v>34582</v>
      </c>
    </row>
    <row r="399" spans="2:2" x14ac:dyDescent="0.25">
      <c r="B399" s="1">
        <v>34662</v>
      </c>
    </row>
    <row r="400" spans="2:2" x14ac:dyDescent="0.25">
      <c r="B400" s="1">
        <v>34694</v>
      </c>
    </row>
    <row r="401" spans="2:2" x14ac:dyDescent="0.25">
      <c r="B401" s="1">
        <v>34701</v>
      </c>
    </row>
    <row r="402" spans="2:2" x14ac:dyDescent="0.25">
      <c r="B402" s="1">
        <v>34750</v>
      </c>
    </row>
    <row r="403" spans="2:2" x14ac:dyDescent="0.25">
      <c r="B403" s="1">
        <v>34803</v>
      </c>
    </row>
    <row r="404" spans="2:2" x14ac:dyDescent="0.25">
      <c r="B404" s="1">
        <v>34848</v>
      </c>
    </row>
    <row r="405" spans="2:2" x14ac:dyDescent="0.25">
      <c r="B405" s="1">
        <v>34884</v>
      </c>
    </row>
    <row r="406" spans="2:2" x14ac:dyDescent="0.25">
      <c r="B406" s="1">
        <v>34946</v>
      </c>
    </row>
    <row r="407" spans="2:2" x14ac:dyDescent="0.25">
      <c r="B407" s="1">
        <v>35026</v>
      </c>
    </row>
    <row r="408" spans="2:2" x14ac:dyDescent="0.25">
      <c r="B408" s="1">
        <v>35058</v>
      </c>
    </row>
    <row r="409" spans="2:2" x14ac:dyDescent="0.25">
      <c r="B409" s="1">
        <v>35065</v>
      </c>
    </row>
    <row r="410" spans="2:2" x14ac:dyDescent="0.25">
      <c r="B410" s="1">
        <v>35114</v>
      </c>
    </row>
    <row r="411" spans="2:2" x14ac:dyDescent="0.25">
      <c r="B411" s="1">
        <v>35160</v>
      </c>
    </row>
    <row r="412" spans="2:2" x14ac:dyDescent="0.25">
      <c r="B412" s="1">
        <v>35212</v>
      </c>
    </row>
    <row r="413" spans="2:2" x14ac:dyDescent="0.25">
      <c r="B413" s="1">
        <v>35250</v>
      </c>
    </row>
    <row r="414" spans="2:2" x14ac:dyDescent="0.25">
      <c r="B414" s="1">
        <v>35310</v>
      </c>
    </row>
    <row r="415" spans="2:2" x14ac:dyDescent="0.25">
      <c r="B415" s="1">
        <v>35397</v>
      </c>
    </row>
    <row r="416" spans="2:2" x14ac:dyDescent="0.25">
      <c r="B416" s="1">
        <v>35424</v>
      </c>
    </row>
    <row r="417" spans="2:2" x14ac:dyDescent="0.25">
      <c r="B417" s="1">
        <v>35431</v>
      </c>
    </row>
    <row r="418" spans="2:2" x14ac:dyDescent="0.25">
      <c r="B418" s="1">
        <v>35478</v>
      </c>
    </row>
    <row r="419" spans="2:2" x14ac:dyDescent="0.25">
      <c r="B419" s="1">
        <v>35517</v>
      </c>
    </row>
    <row r="420" spans="2:2" x14ac:dyDescent="0.25">
      <c r="B420" s="1">
        <v>35576</v>
      </c>
    </row>
    <row r="421" spans="2:2" x14ac:dyDescent="0.25">
      <c r="B421" s="1">
        <v>35615</v>
      </c>
    </row>
    <row r="422" spans="2:2" x14ac:dyDescent="0.25">
      <c r="B422" s="1">
        <v>35674</v>
      </c>
    </row>
    <row r="423" spans="2:2" x14ac:dyDescent="0.25">
      <c r="B423" s="1">
        <v>35761</v>
      </c>
    </row>
    <row r="424" spans="2:2" x14ac:dyDescent="0.25">
      <c r="B424" s="1">
        <v>35789</v>
      </c>
    </row>
    <row r="425" spans="2:2" x14ac:dyDescent="0.25">
      <c r="B425" s="1">
        <v>35796</v>
      </c>
    </row>
    <row r="426" spans="2:2" x14ac:dyDescent="0.25">
      <c r="B426" s="1">
        <v>35814</v>
      </c>
    </row>
    <row r="427" spans="2:2" x14ac:dyDescent="0.25">
      <c r="B427" s="1">
        <v>35842</v>
      </c>
    </row>
    <row r="428" spans="2:2" x14ac:dyDescent="0.25">
      <c r="B428" s="1">
        <v>35895</v>
      </c>
    </row>
    <row r="429" spans="2:2" x14ac:dyDescent="0.25">
      <c r="B429" s="1">
        <v>35940</v>
      </c>
    </row>
    <row r="430" spans="2:2" x14ac:dyDescent="0.25">
      <c r="B430" s="1">
        <v>35979</v>
      </c>
    </row>
    <row r="431" spans="2:2" x14ac:dyDescent="0.25">
      <c r="B431" s="1">
        <v>36045</v>
      </c>
    </row>
    <row r="432" spans="2:2" x14ac:dyDescent="0.25">
      <c r="B432" s="1">
        <v>36125</v>
      </c>
    </row>
    <row r="433" spans="2:2" x14ac:dyDescent="0.25">
      <c r="B433" s="1">
        <v>36161</v>
      </c>
    </row>
    <row r="434" spans="2:2" x14ac:dyDescent="0.25">
      <c r="B434" s="1">
        <v>36154</v>
      </c>
    </row>
    <row r="435" spans="2:2" x14ac:dyDescent="0.25">
      <c r="B435" s="1">
        <v>36178</v>
      </c>
    </row>
    <row r="436" spans="2:2" x14ac:dyDescent="0.25">
      <c r="B436" s="1">
        <v>36206</v>
      </c>
    </row>
    <row r="437" spans="2:2" x14ac:dyDescent="0.25">
      <c r="B437" s="1">
        <v>36252</v>
      </c>
    </row>
    <row r="438" spans="2:2" x14ac:dyDescent="0.25">
      <c r="B438" s="1">
        <v>36311</v>
      </c>
    </row>
    <row r="439" spans="2:2" x14ac:dyDescent="0.25">
      <c r="B439" s="1">
        <v>36346</v>
      </c>
    </row>
    <row r="440" spans="2:2" x14ac:dyDescent="0.25">
      <c r="B440" s="1">
        <v>36409</v>
      </c>
    </row>
    <row r="441" spans="2:2" x14ac:dyDescent="0.25">
      <c r="B441" s="1">
        <v>36489</v>
      </c>
    </row>
    <row r="442" spans="2:2" x14ac:dyDescent="0.25">
      <c r="B442" s="1">
        <v>36518</v>
      </c>
    </row>
    <row r="443" spans="2:2" x14ac:dyDescent="0.25">
      <c r="B443" s="1">
        <v>36542</v>
      </c>
    </row>
    <row r="444" spans="2:2" x14ac:dyDescent="0.25">
      <c r="B444" s="1">
        <v>36577</v>
      </c>
    </row>
    <row r="445" spans="2:2" x14ac:dyDescent="0.25">
      <c r="B445" s="1">
        <v>36637</v>
      </c>
    </row>
    <row r="446" spans="2:2" x14ac:dyDescent="0.25">
      <c r="B446" s="1">
        <v>36675</v>
      </c>
    </row>
    <row r="447" spans="2:2" x14ac:dyDescent="0.25">
      <c r="B447" s="1">
        <v>36711</v>
      </c>
    </row>
    <row r="448" spans="2:2" x14ac:dyDescent="0.25">
      <c r="B448" s="1">
        <v>36773</v>
      </c>
    </row>
    <row r="449" spans="2:2" x14ac:dyDescent="0.25">
      <c r="B449" s="1">
        <v>36853</v>
      </c>
    </row>
    <row r="450" spans="2:2" x14ac:dyDescent="0.25">
      <c r="B450" s="1">
        <v>36892</v>
      </c>
    </row>
    <row r="451" spans="2:2" x14ac:dyDescent="0.25">
      <c r="B451" s="1">
        <v>36885</v>
      </c>
    </row>
    <row r="452" spans="2:2" x14ac:dyDescent="0.25">
      <c r="B452" s="1">
        <v>36906</v>
      </c>
    </row>
    <row r="453" spans="2:2" x14ac:dyDescent="0.25">
      <c r="B453" s="1">
        <v>36941</v>
      </c>
    </row>
    <row r="454" spans="2:2" x14ac:dyDescent="0.25">
      <c r="B454" s="1">
        <v>36994</v>
      </c>
    </row>
    <row r="455" spans="2:2" x14ac:dyDescent="0.25">
      <c r="B455" s="1">
        <v>37039</v>
      </c>
    </row>
    <row r="456" spans="2:2" x14ac:dyDescent="0.25">
      <c r="B456" s="1">
        <v>37076</v>
      </c>
    </row>
    <row r="457" spans="2:2" x14ac:dyDescent="0.25">
      <c r="B457" s="1">
        <v>37137</v>
      </c>
    </row>
    <row r="458" spans="2:2" x14ac:dyDescent="0.25">
      <c r="B458" s="1">
        <v>37145</v>
      </c>
    </row>
    <row r="459" spans="2:2" x14ac:dyDescent="0.25">
      <c r="B459" s="1">
        <v>37146</v>
      </c>
    </row>
    <row r="460" spans="2:2" x14ac:dyDescent="0.25">
      <c r="B460" s="1">
        <v>37147</v>
      </c>
    </row>
    <row r="461" spans="2:2" x14ac:dyDescent="0.25">
      <c r="B461" s="1">
        <v>37148</v>
      </c>
    </row>
    <row r="462" spans="2:2" x14ac:dyDescent="0.25">
      <c r="B462" s="1">
        <v>37217</v>
      </c>
    </row>
    <row r="463" spans="2:2" x14ac:dyDescent="0.25">
      <c r="B463" s="1">
        <v>37257</v>
      </c>
    </row>
    <row r="464" spans="2:2" x14ac:dyDescent="0.25">
      <c r="B464" s="1">
        <v>37250</v>
      </c>
    </row>
    <row r="465" spans="2:2" x14ac:dyDescent="0.25">
      <c r="B465" s="1">
        <v>37277</v>
      </c>
    </row>
    <row r="466" spans="2:2" x14ac:dyDescent="0.25">
      <c r="B466" s="1">
        <v>37305</v>
      </c>
    </row>
    <row r="467" spans="2:2" x14ac:dyDescent="0.25">
      <c r="B467" s="1">
        <v>37344</v>
      </c>
    </row>
    <row r="468" spans="2:2" x14ac:dyDescent="0.25">
      <c r="B468" s="1">
        <v>37403</v>
      </c>
    </row>
    <row r="469" spans="2:2" x14ac:dyDescent="0.25">
      <c r="B469" s="1">
        <v>37441</v>
      </c>
    </row>
    <row r="470" spans="2:2" x14ac:dyDescent="0.25">
      <c r="B470" s="1">
        <v>37501</v>
      </c>
    </row>
    <row r="471" spans="2:2" x14ac:dyDescent="0.25">
      <c r="B471" s="1">
        <v>37588</v>
      </c>
    </row>
    <row r="472" spans="2:2" x14ac:dyDescent="0.25">
      <c r="B472" s="1">
        <v>37622</v>
      </c>
    </row>
    <row r="473" spans="2:2" x14ac:dyDescent="0.25">
      <c r="B473" s="1">
        <v>37615</v>
      </c>
    </row>
    <row r="474" spans="2:2" x14ac:dyDescent="0.25">
      <c r="B474" s="1">
        <v>37641</v>
      </c>
    </row>
    <row r="475" spans="2:2" x14ac:dyDescent="0.25">
      <c r="B475" s="1">
        <v>37669</v>
      </c>
    </row>
    <row r="476" spans="2:2" x14ac:dyDescent="0.25">
      <c r="B476" s="1">
        <v>37729</v>
      </c>
    </row>
    <row r="477" spans="2:2" x14ac:dyDescent="0.25">
      <c r="B477" s="1">
        <v>37767</v>
      </c>
    </row>
    <row r="478" spans="2:2" x14ac:dyDescent="0.25">
      <c r="B478" s="1">
        <v>37806</v>
      </c>
    </row>
    <row r="479" spans="2:2" x14ac:dyDescent="0.25">
      <c r="B479" s="1">
        <v>37865</v>
      </c>
    </row>
    <row r="480" spans="2:2" x14ac:dyDescent="0.25">
      <c r="B480" s="1">
        <v>37952</v>
      </c>
    </row>
    <row r="481" spans="2:2" x14ac:dyDescent="0.25">
      <c r="B481" s="1">
        <v>37987</v>
      </c>
    </row>
    <row r="482" spans="2:2" x14ac:dyDescent="0.25">
      <c r="B482" s="1">
        <v>37980</v>
      </c>
    </row>
    <row r="483" spans="2:2" x14ac:dyDescent="0.25">
      <c r="B483" s="1">
        <v>38005</v>
      </c>
    </row>
    <row r="484" spans="2:2" x14ac:dyDescent="0.25">
      <c r="B484" s="1">
        <v>38033</v>
      </c>
    </row>
    <row r="485" spans="2:2" x14ac:dyDescent="0.25">
      <c r="B485" s="1">
        <v>38086</v>
      </c>
    </row>
    <row r="486" spans="2:2" x14ac:dyDescent="0.25">
      <c r="B486" s="1">
        <v>38138</v>
      </c>
    </row>
    <row r="487" spans="2:2" x14ac:dyDescent="0.25">
      <c r="B487" s="1">
        <v>38173</v>
      </c>
    </row>
    <row r="488" spans="2:2" x14ac:dyDescent="0.25">
      <c r="B488" s="1">
        <v>38236</v>
      </c>
    </row>
    <row r="489" spans="2:2" x14ac:dyDescent="0.25">
      <c r="B489" s="1">
        <v>38316</v>
      </c>
    </row>
    <row r="490" spans="2:2" x14ac:dyDescent="0.25">
      <c r="B490" s="1">
        <v>38345</v>
      </c>
    </row>
    <row r="491" spans="2:2" x14ac:dyDescent="0.25">
      <c r="B491" s="1">
        <v>38369</v>
      </c>
    </row>
    <row r="492" spans="2:2" x14ac:dyDescent="0.25">
      <c r="B492" s="1">
        <v>38404</v>
      </c>
    </row>
    <row r="493" spans="2:2" x14ac:dyDescent="0.25">
      <c r="B493" s="1">
        <v>38436</v>
      </c>
    </row>
    <row r="494" spans="2:2" x14ac:dyDescent="0.25">
      <c r="B494" s="1">
        <v>38502</v>
      </c>
    </row>
    <row r="495" spans="2:2" x14ac:dyDescent="0.25">
      <c r="B495" s="1">
        <v>38537</v>
      </c>
    </row>
    <row r="496" spans="2:2" x14ac:dyDescent="0.25">
      <c r="B496" s="1">
        <v>38600</v>
      </c>
    </row>
    <row r="497" spans="2:2" x14ac:dyDescent="0.25">
      <c r="B497" s="1">
        <v>38680</v>
      </c>
    </row>
    <row r="498" spans="2:2" x14ac:dyDescent="0.25">
      <c r="B498" s="1">
        <v>38719</v>
      </c>
    </row>
    <row r="499" spans="2:2" x14ac:dyDescent="0.25">
      <c r="B499" s="1">
        <v>38712</v>
      </c>
    </row>
    <row r="500" spans="2:2" x14ac:dyDescent="0.25">
      <c r="B500" s="1">
        <v>38733</v>
      </c>
    </row>
    <row r="501" spans="2:2" x14ac:dyDescent="0.25">
      <c r="B501" s="1">
        <v>38768</v>
      </c>
    </row>
    <row r="502" spans="2:2" x14ac:dyDescent="0.25">
      <c r="B502" s="1">
        <v>38821</v>
      </c>
    </row>
    <row r="503" spans="2:2" x14ac:dyDescent="0.25">
      <c r="B503" s="1">
        <v>38866</v>
      </c>
    </row>
    <row r="504" spans="2:2" x14ac:dyDescent="0.25">
      <c r="B504" s="1">
        <v>38902</v>
      </c>
    </row>
    <row r="505" spans="2:2" x14ac:dyDescent="0.25">
      <c r="B505" s="1">
        <v>38964</v>
      </c>
    </row>
    <row r="506" spans="2:2" x14ac:dyDescent="0.25">
      <c r="B506" s="1">
        <v>39044</v>
      </c>
    </row>
    <row r="507" spans="2:2" x14ac:dyDescent="0.25">
      <c r="B507" s="1">
        <v>39083</v>
      </c>
    </row>
    <row r="508" spans="2:2" x14ac:dyDescent="0.25">
      <c r="B508" s="1">
        <v>39076</v>
      </c>
    </row>
    <row r="509" spans="2:2" x14ac:dyDescent="0.25">
      <c r="B509" s="1">
        <v>39097</v>
      </c>
    </row>
    <row r="510" spans="2:2" x14ac:dyDescent="0.25">
      <c r="B510" s="1">
        <v>39132</v>
      </c>
    </row>
    <row r="511" spans="2:2" x14ac:dyDescent="0.25">
      <c r="B511" s="1">
        <v>39178</v>
      </c>
    </row>
    <row r="512" spans="2:2" x14ac:dyDescent="0.25">
      <c r="B512" s="1">
        <v>39230</v>
      </c>
    </row>
    <row r="513" spans="2:2" x14ac:dyDescent="0.25">
      <c r="B513" s="1">
        <v>39267</v>
      </c>
    </row>
    <row r="514" spans="2:2" x14ac:dyDescent="0.25">
      <c r="B514" s="1">
        <v>39328</v>
      </c>
    </row>
    <row r="515" spans="2:2" x14ac:dyDescent="0.25">
      <c r="B515" s="1">
        <v>39408</v>
      </c>
    </row>
    <row r="516" spans="2:2" x14ac:dyDescent="0.25">
      <c r="B516" s="1">
        <v>39448</v>
      </c>
    </row>
    <row r="517" spans="2:2" x14ac:dyDescent="0.25">
      <c r="B517" s="1">
        <v>39441</v>
      </c>
    </row>
    <row r="518" spans="2:2" x14ac:dyDescent="0.25">
      <c r="B518" s="1">
        <v>39468</v>
      </c>
    </row>
    <row r="519" spans="2:2" x14ac:dyDescent="0.25">
      <c r="B519" s="1">
        <v>39496</v>
      </c>
    </row>
    <row r="520" spans="2:2" x14ac:dyDescent="0.25">
      <c r="B520" s="1">
        <v>39528</v>
      </c>
    </row>
    <row r="521" spans="2:2" x14ac:dyDescent="0.25">
      <c r="B521" s="1">
        <v>39594</v>
      </c>
    </row>
    <row r="522" spans="2:2" x14ac:dyDescent="0.25">
      <c r="B522" s="1">
        <v>39633</v>
      </c>
    </row>
    <row r="523" spans="2:2" x14ac:dyDescent="0.25">
      <c r="B523" s="1">
        <v>39692</v>
      </c>
    </row>
    <row r="524" spans="2:2" x14ac:dyDescent="0.25">
      <c r="B524" s="1">
        <v>39779</v>
      </c>
    </row>
    <row r="525" spans="2:2" x14ac:dyDescent="0.25">
      <c r="B525" s="1">
        <v>39814</v>
      </c>
    </row>
    <row r="526" spans="2:2" x14ac:dyDescent="0.25">
      <c r="B526" s="1">
        <v>39807</v>
      </c>
    </row>
    <row r="527" spans="2:2" x14ac:dyDescent="0.25">
      <c r="B527" s="1">
        <v>39832</v>
      </c>
    </row>
    <row r="528" spans="2:2" x14ac:dyDescent="0.25">
      <c r="B528" s="1">
        <v>39860</v>
      </c>
    </row>
    <row r="529" spans="2:2" x14ac:dyDescent="0.25">
      <c r="B529" s="1">
        <v>39913</v>
      </c>
    </row>
    <row r="530" spans="2:2" x14ac:dyDescent="0.25">
      <c r="B530" s="1">
        <v>39958</v>
      </c>
    </row>
    <row r="531" spans="2:2" x14ac:dyDescent="0.25">
      <c r="B531" s="1">
        <v>39997</v>
      </c>
    </row>
    <row r="532" spans="2:2" x14ac:dyDescent="0.25">
      <c r="B532" s="1">
        <v>40063</v>
      </c>
    </row>
    <row r="533" spans="2:2" x14ac:dyDescent="0.25">
      <c r="B533" s="1">
        <v>40143</v>
      </c>
    </row>
    <row r="534" spans="2:2" x14ac:dyDescent="0.25">
      <c r="B534" s="1">
        <v>40179</v>
      </c>
    </row>
    <row r="535" spans="2:2" x14ac:dyDescent="0.25">
      <c r="B535" s="1">
        <v>40172</v>
      </c>
    </row>
    <row r="536" spans="2:2" x14ac:dyDescent="0.25">
      <c r="B536" s="1">
        <v>40196</v>
      </c>
    </row>
    <row r="537" spans="2:2" x14ac:dyDescent="0.25">
      <c r="B537" s="1">
        <v>40224</v>
      </c>
    </row>
    <row r="538" spans="2:2" x14ac:dyDescent="0.25">
      <c r="B538" s="1">
        <v>40270</v>
      </c>
    </row>
    <row r="539" spans="2:2" x14ac:dyDescent="0.25">
      <c r="B539" s="1">
        <v>40329</v>
      </c>
    </row>
    <row r="540" spans="2:2" x14ac:dyDescent="0.25">
      <c r="B540" s="1">
        <v>40364</v>
      </c>
    </row>
    <row r="541" spans="2:2" x14ac:dyDescent="0.25">
      <c r="B541" s="1">
        <v>40427</v>
      </c>
    </row>
    <row r="542" spans="2:2" x14ac:dyDescent="0.25">
      <c r="B542" s="1">
        <v>40507</v>
      </c>
    </row>
    <row r="543" spans="2:2" x14ac:dyDescent="0.25">
      <c r="B543" s="1">
        <v>40536</v>
      </c>
    </row>
    <row r="544" spans="2:2" x14ac:dyDescent="0.25">
      <c r="B544" s="1">
        <v>40560</v>
      </c>
    </row>
    <row r="545" spans="2:2" x14ac:dyDescent="0.25">
      <c r="B545" s="1">
        <v>40595</v>
      </c>
    </row>
    <row r="546" spans="2:2" x14ac:dyDescent="0.25">
      <c r="B546" s="1">
        <v>40655</v>
      </c>
    </row>
    <row r="547" spans="2:2" x14ac:dyDescent="0.25">
      <c r="B547" s="1">
        <v>40693</v>
      </c>
    </row>
    <row r="548" spans="2:2" x14ac:dyDescent="0.25">
      <c r="B548" s="1">
        <v>40728</v>
      </c>
    </row>
    <row r="549" spans="2:2" x14ac:dyDescent="0.25">
      <c r="B549" s="1">
        <v>40791</v>
      </c>
    </row>
    <row r="550" spans="2:2" x14ac:dyDescent="0.25">
      <c r="B550" s="1">
        <v>40871</v>
      </c>
    </row>
    <row r="551" spans="2:2" x14ac:dyDescent="0.25">
      <c r="B551" s="1">
        <v>40910</v>
      </c>
    </row>
    <row r="552" spans="2:2" x14ac:dyDescent="0.25">
      <c r="B552" s="1">
        <v>40903</v>
      </c>
    </row>
    <row r="553" spans="2:2" x14ac:dyDescent="0.25">
      <c r="B553" s="1">
        <v>40924</v>
      </c>
    </row>
    <row r="554" spans="2:2" x14ac:dyDescent="0.25">
      <c r="B554" s="1">
        <v>40959</v>
      </c>
    </row>
    <row r="555" spans="2:2" x14ac:dyDescent="0.25">
      <c r="B555" s="1">
        <v>41005</v>
      </c>
    </row>
    <row r="556" spans="2:2" x14ac:dyDescent="0.25">
      <c r="B556" s="1">
        <v>41057</v>
      </c>
    </row>
    <row r="557" spans="2:2" x14ac:dyDescent="0.25">
      <c r="B557" s="1">
        <v>41094</v>
      </c>
    </row>
    <row r="558" spans="2:2" x14ac:dyDescent="0.25">
      <c r="B558" s="1">
        <v>41155</v>
      </c>
    </row>
    <row r="559" spans="2:2" x14ac:dyDescent="0.25">
      <c r="B559" s="1">
        <v>41235</v>
      </c>
    </row>
    <row r="560" spans="2:2" x14ac:dyDescent="0.25">
      <c r="B560" s="1">
        <v>41275</v>
      </c>
    </row>
    <row r="561" spans="2:2" x14ac:dyDescent="0.25">
      <c r="B561" s="1">
        <v>41268</v>
      </c>
    </row>
    <row r="562" spans="2:2" x14ac:dyDescent="0.25">
      <c r="B562" s="1">
        <v>41295</v>
      </c>
    </row>
    <row r="563" spans="2:2" x14ac:dyDescent="0.25">
      <c r="B563" s="1">
        <v>41323</v>
      </c>
    </row>
    <row r="564" spans="2:2" x14ac:dyDescent="0.25">
      <c r="B564" s="1">
        <v>41362</v>
      </c>
    </row>
    <row r="565" spans="2:2" x14ac:dyDescent="0.25">
      <c r="B565" s="1">
        <v>41421</v>
      </c>
    </row>
    <row r="566" spans="2:2" x14ac:dyDescent="0.25">
      <c r="B566" s="1">
        <v>41459</v>
      </c>
    </row>
    <row r="567" spans="2:2" x14ac:dyDescent="0.25">
      <c r="B567" s="1">
        <v>41519</v>
      </c>
    </row>
    <row r="568" spans="2:2" x14ac:dyDescent="0.25">
      <c r="B568" s="1">
        <v>41606</v>
      </c>
    </row>
    <row r="569" spans="2:2" x14ac:dyDescent="0.25">
      <c r="B569" s="1">
        <v>41640</v>
      </c>
    </row>
    <row r="570" spans="2:2" x14ac:dyDescent="0.25">
      <c r="B570" s="1">
        <v>41633</v>
      </c>
    </row>
    <row r="571" spans="2:2" x14ac:dyDescent="0.25">
      <c r="B571" s="1">
        <v>41659</v>
      </c>
    </row>
    <row r="572" spans="2:2" x14ac:dyDescent="0.25">
      <c r="B572" s="1">
        <v>41687</v>
      </c>
    </row>
    <row r="573" spans="2:2" x14ac:dyDescent="0.25">
      <c r="B573" s="1">
        <v>41747</v>
      </c>
    </row>
    <row r="574" spans="2:2" x14ac:dyDescent="0.25">
      <c r="B574" s="1">
        <v>41785</v>
      </c>
    </row>
    <row r="575" spans="2:2" x14ac:dyDescent="0.25">
      <c r="B575" s="1">
        <v>41824</v>
      </c>
    </row>
    <row r="576" spans="2:2" x14ac:dyDescent="0.25">
      <c r="B576" s="1">
        <v>41883</v>
      </c>
    </row>
    <row r="577" spans="2:2" x14ac:dyDescent="0.25">
      <c r="B577" s="1">
        <v>41970</v>
      </c>
    </row>
    <row r="578" spans="2:2" x14ac:dyDescent="0.25">
      <c r="B578" s="1">
        <v>42005</v>
      </c>
    </row>
    <row r="579" spans="2:2" x14ac:dyDescent="0.25">
      <c r="B579" s="1">
        <v>41998</v>
      </c>
    </row>
    <row r="580" spans="2:2" x14ac:dyDescent="0.25">
      <c r="B580" s="1">
        <v>42023</v>
      </c>
    </row>
    <row r="581" spans="2:2" x14ac:dyDescent="0.25">
      <c r="B581" s="1">
        <v>42051</v>
      </c>
    </row>
    <row r="582" spans="2:2" x14ac:dyDescent="0.25">
      <c r="B582" s="1">
        <v>42097</v>
      </c>
    </row>
    <row r="583" spans="2:2" x14ac:dyDescent="0.25">
      <c r="B583" s="1">
        <v>42149</v>
      </c>
    </row>
    <row r="584" spans="2:2" x14ac:dyDescent="0.25">
      <c r="B584" s="1">
        <v>42188</v>
      </c>
    </row>
    <row r="585" spans="2:2" x14ac:dyDescent="0.25">
      <c r="B585" s="1">
        <v>42254</v>
      </c>
    </row>
    <row r="586" spans="2:2" x14ac:dyDescent="0.25">
      <c r="B586" s="1">
        <v>42334</v>
      </c>
    </row>
    <row r="587" spans="2:2" x14ac:dyDescent="0.25">
      <c r="B587" s="1">
        <v>42370</v>
      </c>
    </row>
    <row r="588" spans="2:2" x14ac:dyDescent="0.25">
      <c r="B588" s="1">
        <v>42363</v>
      </c>
    </row>
    <row r="589" spans="2:2" x14ac:dyDescent="0.25">
      <c r="B589" s="1">
        <v>42387</v>
      </c>
    </row>
    <row r="590" spans="2:2" x14ac:dyDescent="0.25">
      <c r="B590" s="1">
        <v>42415</v>
      </c>
    </row>
    <row r="591" spans="2:2" x14ac:dyDescent="0.25">
      <c r="B591" s="1">
        <v>42454</v>
      </c>
    </row>
    <row r="592" spans="2:2" x14ac:dyDescent="0.25">
      <c r="B592" s="1">
        <v>42520</v>
      </c>
    </row>
    <row r="593" spans="2:2" x14ac:dyDescent="0.25">
      <c r="B593" s="1">
        <v>42555</v>
      </c>
    </row>
    <row r="594" spans="2:2" x14ac:dyDescent="0.25">
      <c r="B594" s="1">
        <v>42618</v>
      </c>
    </row>
    <row r="595" spans="2:2" x14ac:dyDescent="0.25">
      <c r="B595" s="1">
        <v>42698</v>
      </c>
    </row>
    <row r="596" spans="2:2" x14ac:dyDescent="0.25">
      <c r="B596" s="1">
        <v>42737</v>
      </c>
    </row>
    <row r="597" spans="2:2" x14ac:dyDescent="0.25">
      <c r="B597" s="1">
        <v>42730</v>
      </c>
    </row>
    <row r="598" spans="2:2" x14ac:dyDescent="0.25">
      <c r="B598" s="1">
        <v>42751</v>
      </c>
    </row>
    <row r="599" spans="2:2" x14ac:dyDescent="0.25">
      <c r="B599" s="1">
        <v>42786</v>
      </c>
    </row>
    <row r="600" spans="2:2" x14ac:dyDescent="0.25">
      <c r="B600" s="1">
        <v>42839</v>
      </c>
    </row>
    <row r="601" spans="2:2" x14ac:dyDescent="0.25">
      <c r="B601" s="1">
        <v>42884</v>
      </c>
    </row>
    <row r="602" spans="2:2" x14ac:dyDescent="0.25">
      <c r="B602" s="1">
        <v>42920</v>
      </c>
    </row>
    <row r="603" spans="2:2" x14ac:dyDescent="0.25">
      <c r="B603" s="1">
        <v>42982</v>
      </c>
    </row>
    <row r="604" spans="2:2" x14ac:dyDescent="0.25">
      <c r="B604" s="1">
        <v>43062</v>
      </c>
    </row>
    <row r="605" spans="2:2" x14ac:dyDescent="0.25">
      <c r="B605" s="1">
        <v>43101</v>
      </c>
    </row>
    <row r="606" spans="2:2" x14ac:dyDescent="0.25">
      <c r="B606" s="1">
        <v>43094</v>
      </c>
    </row>
    <row r="607" spans="2:2" x14ac:dyDescent="0.25">
      <c r="B607" s="1">
        <v>43115</v>
      </c>
    </row>
    <row r="608" spans="2:2" x14ac:dyDescent="0.25">
      <c r="B608" s="1">
        <v>43150</v>
      </c>
    </row>
    <row r="609" spans="2:2" x14ac:dyDescent="0.25">
      <c r="B609" s="1">
        <v>43189</v>
      </c>
    </row>
    <row r="610" spans="2:2" x14ac:dyDescent="0.25">
      <c r="B610" s="1">
        <v>43248</v>
      </c>
    </row>
    <row r="611" spans="2:2" x14ac:dyDescent="0.25">
      <c r="B611" s="1">
        <v>43285</v>
      </c>
    </row>
    <row r="612" spans="2:2" x14ac:dyDescent="0.25">
      <c r="B612" s="1">
        <v>43346</v>
      </c>
    </row>
    <row r="613" spans="2:2" x14ac:dyDescent="0.25">
      <c r="B613" s="1">
        <v>43426</v>
      </c>
    </row>
    <row r="614" spans="2:2" x14ac:dyDescent="0.25">
      <c r="B614" s="1">
        <v>43466</v>
      </c>
    </row>
    <row r="615" spans="2:2" x14ac:dyDescent="0.25">
      <c r="B615" s="1">
        <v>43459</v>
      </c>
    </row>
    <row r="616" spans="2:2" x14ac:dyDescent="0.25">
      <c r="B616" s="1">
        <v>43486</v>
      </c>
    </row>
    <row r="617" spans="2:2" x14ac:dyDescent="0.25">
      <c r="B617" s="1">
        <v>43514</v>
      </c>
    </row>
    <row r="618" spans="2:2" x14ac:dyDescent="0.25">
      <c r="B618" s="1">
        <v>43574</v>
      </c>
    </row>
    <row r="619" spans="2:2" x14ac:dyDescent="0.25">
      <c r="B619" s="1">
        <v>43612</v>
      </c>
    </row>
    <row r="620" spans="2:2" x14ac:dyDescent="0.25">
      <c r="B620" s="1">
        <v>43650</v>
      </c>
    </row>
    <row r="621" spans="2:2" x14ac:dyDescent="0.25">
      <c r="B621" s="1">
        <v>43710</v>
      </c>
    </row>
    <row r="622" spans="2:2" x14ac:dyDescent="0.25">
      <c r="B622" s="1">
        <v>43797</v>
      </c>
    </row>
    <row r="623" spans="2:2" x14ac:dyDescent="0.25">
      <c r="B623" s="1">
        <v>43831</v>
      </c>
    </row>
    <row r="624" spans="2:2" x14ac:dyDescent="0.25">
      <c r="B624" s="1">
        <v>43824</v>
      </c>
    </row>
    <row r="625" spans="2:2" x14ac:dyDescent="0.25">
      <c r="B625" s="1">
        <v>43850</v>
      </c>
    </row>
    <row r="626" spans="2:2" x14ac:dyDescent="0.25">
      <c r="B626" s="1">
        <v>43878</v>
      </c>
    </row>
    <row r="627" spans="2:2" x14ac:dyDescent="0.25">
      <c r="B627" s="1">
        <v>43931</v>
      </c>
    </row>
    <row r="628" spans="2:2" x14ac:dyDescent="0.25">
      <c r="B628" s="1">
        <v>43976</v>
      </c>
    </row>
    <row r="629" spans="2:2" x14ac:dyDescent="0.25">
      <c r="B629" s="1">
        <v>44015</v>
      </c>
    </row>
    <row r="630" spans="2:2" x14ac:dyDescent="0.25">
      <c r="B630" s="1">
        <v>44081</v>
      </c>
    </row>
    <row r="631" spans="2:2" x14ac:dyDescent="0.25">
      <c r="B631" s="1">
        <v>44161</v>
      </c>
    </row>
    <row r="632" spans="2:2" x14ac:dyDescent="0.25">
      <c r="B632" s="1">
        <v>44197</v>
      </c>
    </row>
    <row r="633" spans="2:2" x14ac:dyDescent="0.25">
      <c r="B633" s="1">
        <v>44190</v>
      </c>
    </row>
    <row r="634" spans="2:2" x14ac:dyDescent="0.25">
      <c r="B634" s="1">
        <v>44214</v>
      </c>
    </row>
    <row r="635" spans="2:2" x14ac:dyDescent="0.25">
      <c r="B635" s="1">
        <v>44242</v>
      </c>
    </row>
    <row r="636" spans="2:2" x14ac:dyDescent="0.25">
      <c r="B636" s="1">
        <v>44288</v>
      </c>
    </row>
    <row r="637" spans="2:2" x14ac:dyDescent="0.25">
      <c r="B637" s="1">
        <v>44347</v>
      </c>
    </row>
    <row r="638" spans="2:2" x14ac:dyDescent="0.25">
      <c r="B638" s="1">
        <v>44382</v>
      </c>
    </row>
    <row r="639" spans="2:2" x14ac:dyDescent="0.25">
      <c r="B639" s="1">
        <v>44445</v>
      </c>
    </row>
    <row r="640" spans="2:2" x14ac:dyDescent="0.25">
      <c r="B640" s="1">
        <v>44525</v>
      </c>
    </row>
    <row r="641" spans="2:2" x14ac:dyDescent="0.25">
      <c r="B641" s="1">
        <v>44554</v>
      </c>
    </row>
    <row r="642" spans="2:2" x14ac:dyDescent="0.25">
      <c r="B642" s="1">
        <v>44578</v>
      </c>
    </row>
    <row r="643" spans="2:2" x14ac:dyDescent="0.25">
      <c r="B643" s="1">
        <v>44613</v>
      </c>
    </row>
    <row r="644" spans="2:2" x14ac:dyDescent="0.25">
      <c r="B644" s="1">
        <v>44666</v>
      </c>
    </row>
    <row r="645" spans="2:2" x14ac:dyDescent="0.25">
      <c r="B645" s="1">
        <v>44711</v>
      </c>
    </row>
    <row r="646" spans="2:2" x14ac:dyDescent="0.25">
      <c r="B646" s="1">
        <v>44746</v>
      </c>
    </row>
    <row r="647" spans="2:2" x14ac:dyDescent="0.25">
      <c r="B647" s="1">
        <v>44809</v>
      </c>
    </row>
    <row r="648" spans="2:2" x14ac:dyDescent="0.25">
      <c r="B648" s="1">
        <v>44889</v>
      </c>
    </row>
    <row r="649" spans="2:2" x14ac:dyDescent="0.25">
      <c r="B649" s="1">
        <v>44928</v>
      </c>
    </row>
    <row r="650" spans="2:2" x14ac:dyDescent="0.25">
      <c r="B650" s="1">
        <v>44921</v>
      </c>
    </row>
    <row r="651" spans="2:2" x14ac:dyDescent="0.25">
      <c r="B651" s="1">
        <v>44942</v>
      </c>
    </row>
    <row r="652" spans="2:2" x14ac:dyDescent="0.25">
      <c r="B652" s="1">
        <v>44977</v>
      </c>
    </row>
    <row r="653" spans="2:2" x14ac:dyDescent="0.25">
      <c r="B653" s="1">
        <v>45023</v>
      </c>
    </row>
    <row r="654" spans="2:2" x14ac:dyDescent="0.25">
      <c r="B654" s="1">
        <v>45075</v>
      </c>
    </row>
    <row r="655" spans="2:2" x14ac:dyDescent="0.25">
      <c r="B655" s="1">
        <v>45111</v>
      </c>
    </row>
    <row r="656" spans="2:2" x14ac:dyDescent="0.25">
      <c r="B656" s="1">
        <v>45173</v>
      </c>
    </row>
    <row r="657" spans="2:2" x14ac:dyDescent="0.25">
      <c r="B657" s="1">
        <v>45253</v>
      </c>
    </row>
    <row r="658" spans="2:2" x14ac:dyDescent="0.25">
      <c r="B658" s="1">
        <v>45292</v>
      </c>
    </row>
    <row r="659" spans="2:2" x14ac:dyDescent="0.25">
      <c r="B659" s="1">
        <v>45285</v>
      </c>
    </row>
    <row r="660" spans="2:2" x14ac:dyDescent="0.25">
      <c r="B660" s="1">
        <v>45306</v>
      </c>
    </row>
    <row r="661" spans="2:2" x14ac:dyDescent="0.25">
      <c r="B661" s="1">
        <v>45341</v>
      </c>
    </row>
    <row r="662" spans="2:2" x14ac:dyDescent="0.25">
      <c r="B662" s="1">
        <v>45380</v>
      </c>
    </row>
    <row r="663" spans="2:2" x14ac:dyDescent="0.25">
      <c r="B663" s="1">
        <v>45439</v>
      </c>
    </row>
    <row r="664" spans="2:2" x14ac:dyDescent="0.25">
      <c r="B664" s="1">
        <v>45477</v>
      </c>
    </row>
    <row r="665" spans="2:2" x14ac:dyDescent="0.25">
      <c r="B665" s="1">
        <v>45537</v>
      </c>
    </row>
    <row r="666" spans="2:2" x14ac:dyDescent="0.25">
      <c r="B666" s="1">
        <v>45624</v>
      </c>
    </row>
    <row r="667" spans="2:2" x14ac:dyDescent="0.25">
      <c r="B667" s="1">
        <v>45658</v>
      </c>
    </row>
    <row r="668" spans="2:2" x14ac:dyDescent="0.25">
      <c r="B668" s="1">
        <v>45651</v>
      </c>
    </row>
    <row r="669" spans="2:2" x14ac:dyDescent="0.25">
      <c r="B669" s="1">
        <v>45677</v>
      </c>
    </row>
    <row r="670" spans="2:2" x14ac:dyDescent="0.25">
      <c r="B670" s="1">
        <v>45705</v>
      </c>
    </row>
    <row r="671" spans="2:2" x14ac:dyDescent="0.25">
      <c r="B671" s="1">
        <v>45765</v>
      </c>
    </row>
    <row r="672" spans="2:2" x14ac:dyDescent="0.25">
      <c r="B672" s="1">
        <v>45803</v>
      </c>
    </row>
    <row r="673" spans="2:2" x14ac:dyDescent="0.25">
      <c r="B673" s="1">
        <v>45842</v>
      </c>
    </row>
    <row r="674" spans="2:2" x14ac:dyDescent="0.25">
      <c r="B674" s="1">
        <v>45901</v>
      </c>
    </row>
    <row r="675" spans="2:2" x14ac:dyDescent="0.25">
      <c r="B675" s="1">
        <v>45988</v>
      </c>
    </row>
    <row r="676" spans="2:2" x14ac:dyDescent="0.25">
      <c r="B676" s="1">
        <v>46023</v>
      </c>
    </row>
    <row r="677" spans="2:2" x14ac:dyDescent="0.25">
      <c r="B677" s="1">
        <v>46016</v>
      </c>
    </row>
    <row r="678" spans="2:2" x14ac:dyDescent="0.25">
      <c r="B678" s="1">
        <v>46041</v>
      </c>
    </row>
    <row r="679" spans="2:2" x14ac:dyDescent="0.25">
      <c r="B679" s="1">
        <v>46069</v>
      </c>
    </row>
    <row r="680" spans="2:2" x14ac:dyDescent="0.25">
      <c r="B680" s="1">
        <v>46115</v>
      </c>
    </row>
    <row r="681" spans="2:2" x14ac:dyDescent="0.25">
      <c r="B681" s="1">
        <v>46167</v>
      </c>
    </row>
    <row r="682" spans="2:2" x14ac:dyDescent="0.25">
      <c r="B682" s="1">
        <v>46206</v>
      </c>
    </row>
    <row r="683" spans="2:2" x14ac:dyDescent="0.25">
      <c r="B683" s="1">
        <v>46272</v>
      </c>
    </row>
    <row r="684" spans="2:2" x14ac:dyDescent="0.25">
      <c r="B684" s="1">
        <v>46352</v>
      </c>
    </row>
    <row r="685" spans="2:2" x14ac:dyDescent="0.25">
      <c r="B685" s="1">
        <v>46388</v>
      </c>
    </row>
    <row r="686" spans="2:2" x14ac:dyDescent="0.25">
      <c r="B686" s="1">
        <v>46381</v>
      </c>
    </row>
    <row r="687" spans="2:2" x14ac:dyDescent="0.25">
      <c r="B687" s="1">
        <v>46405</v>
      </c>
    </row>
    <row r="688" spans="2:2" x14ac:dyDescent="0.25">
      <c r="B688" s="1">
        <v>46433</v>
      </c>
    </row>
    <row r="689" spans="2:2" x14ac:dyDescent="0.25">
      <c r="B689" s="1">
        <v>46472</v>
      </c>
    </row>
    <row r="690" spans="2:2" x14ac:dyDescent="0.25">
      <c r="B690" s="1">
        <v>46538</v>
      </c>
    </row>
    <row r="691" spans="2:2" x14ac:dyDescent="0.25">
      <c r="B691" s="1">
        <v>46573</v>
      </c>
    </row>
    <row r="692" spans="2:2" x14ac:dyDescent="0.25">
      <c r="B692" s="1">
        <v>46636</v>
      </c>
    </row>
    <row r="693" spans="2:2" x14ac:dyDescent="0.25">
      <c r="B693" s="1">
        <v>46716</v>
      </c>
    </row>
    <row r="694" spans="2:2" x14ac:dyDescent="0.25">
      <c r="B694" s="1">
        <v>46745</v>
      </c>
    </row>
    <row r="695" spans="2:2" x14ac:dyDescent="0.25">
      <c r="B695" s="1">
        <v>46769</v>
      </c>
    </row>
    <row r="696" spans="2:2" x14ac:dyDescent="0.25">
      <c r="B696" s="1">
        <v>46804</v>
      </c>
    </row>
    <row r="697" spans="2:2" x14ac:dyDescent="0.25">
      <c r="B697" s="1">
        <v>46857</v>
      </c>
    </row>
    <row r="698" spans="2:2" x14ac:dyDescent="0.25">
      <c r="B698" s="1">
        <v>46902</v>
      </c>
    </row>
    <row r="699" spans="2:2" x14ac:dyDescent="0.25">
      <c r="B699" s="1">
        <v>46938</v>
      </c>
    </row>
    <row r="700" spans="2:2" x14ac:dyDescent="0.25">
      <c r="B700" s="1">
        <v>47000</v>
      </c>
    </row>
    <row r="701" spans="2:2" x14ac:dyDescent="0.25">
      <c r="B701" s="1">
        <v>47080</v>
      </c>
    </row>
    <row r="702" spans="2:2" x14ac:dyDescent="0.25">
      <c r="B702" s="1">
        <v>47119</v>
      </c>
    </row>
    <row r="703" spans="2:2" x14ac:dyDescent="0.25">
      <c r="B703" s="1">
        <v>47112</v>
      </c>
    </row>
    <row r="704" spans="2:2" x14ac:dyDescent="0.25">
      <c r="B704" s="1">
        <v>47133</v>
      </c>
    </row>
    <row r="705" spans="2:2" x14ac:dyDescent="0.25">
      <c r="B705" s="1">
        <v>47168</v>
      </c>
    </row>
    <row r="706" spans="2:2" x14ac:dyDescent="0.25">
      <c r="B706" s="1">
        <v>47207</v>
      </c>
    </row>
    <row r="707" spans="2:2" x14ac:dyDescent="0.25">
      <c r="B707" s="1">
        <v>47266</v>
      </c>
    </row>
    <row r="708" spans="2:2" x14ac:dyDescent="0.25">
      <c r="B708" s="1">
        <v>47303</v>
      </c>
    </row>
    <row r="709" spans="2:2" x14ac:dyDescent="0.25">
      <c r="B709" s="1">
        <v>47364</v>
      </c>
    </row>
    <row r="710" spans="2:2" x14ac:dyDescent="0.25">
      <c r="B710" s="1">
        <v>47444</v>
      </c>
    </row>
    <row r="711" spans="2:2" x14ac:dyDescent="0.25">
      <c r="B711" s="1">
        <v>47484</v>
      </c>
    </row>
    <row r="712" spans="2:2" x14ac:dyDescent="0.25">
      <c r="B712" s="1">
        <v>47477</v>
      </c>
    </row>
    <row r="713" spans="2:2" x14ac:dyDescent="0.25">
      <c r="B713" s="1">
        <v>47504</v>
      </c>
    </row>
    <row r="714" spans="2:2" x14ac:dyDescent="0.25">
      <c r="B714" s="1">
        <v>47532</v>
      </c>
    </row>
    <row r="715" spans="2:2" x14ac:dyDescent="0.25">
      <c r="B715" s="1">
        <v>47592</v>
      </c>
    </row>
    <row r="716" spans="2:2" x14ac:dyDescent="0.25">
      <c r="B716" s="1">
        <v>47630</v>
      </c>
    </row>
    <row r="717" spans="2:2" x14ac:dyDescent="0.25">
      <c r="B717" s="1">
        <v>47668</v>
      </c>
    </row>
    <row r="718" spans="2:2" x14ac:dyDescent="0.25">
      <c r="B718" s="1">
        <v>47728</v>
      </c>
    </row>
    <row r="719" spans="2:2" x14ac:dyDescent="0.25">
      <c r="B719" s="1">
        <v>47815</v>
      </c>
    </row>
    <row r="720" spans="2:2" x14ac:dyDescent="0.25">
      <c r="B720" s="1">
        <v>47842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D16"/>
  <sheetViews>
    <sheetView tabSelected="1" workbookViewId="0">
      <selection activeCell="D17" sqref="D17"/>
    </sheetView>
  </sheetViews>
  <sheetFormatPr defaultRowHeight="15" x14ac:dyDescent="0.25"/>
  <sheetData>
    <row r="4" spans="2:4" x14ac:dyDescent="0.25">
      <c r="B4">
        <v>0</v>
      </c>
      <c r="C4" s="36">
        <v>0.02</v>
      </c>
      <c r="D4" s="36">
        <v>0.4</v>
      </c>
    </row>
    <row r="5" spans="2:4" x14ac:dyDescent="0.25">
      <c r="B5">
        <v>0.25</v>
      </c>
      <c r="C5" s="36">
        <f>$C$4*EXP(0.1*B5)</f>
        <v>2.0506302410488578E-2</v>
      </c>
      <c r="D5" s="36">
        <f t="shared" ref="D5:D15" si="0">$D$4*EXP(-0.1*B5)</f>
        <v>0.39012396481133305</v>
      </c>
    </row>
    <row r="6" spans="2:4" x14ac:dyDescent="0.25">
      <c r="B6">
        <v>0.5</v>
      </c>
      <c r="C6" s="36">
        <f t="shared" ref="C6:C15" si="1">$C$4*EXP(0.1*B6)</f>
        <v>2.1025421927520483E-2</v>
      </c>
      <c r="D6" s="36">
        <f t="shared" si="0"/>
        <v>0.38049176980028565</v>
      </c>
    </row>
    <row r="7" spans="2:4" x14ac:dyDescent="0.25">
      <c r="B7">
        <v>0.75</v>
      </c>
      <c r="C7" s="36">
        <f t="shared" si="1"/>
        <v>2.155768301769263E-2</v>
      </c>
      <c r="D7" s="36">
        <f t="shared" si="0"/>
        <v>0.37109739453142115</v>
      </c>
    </row>
    <row r="8" spans="2:4" x14ac:dyDescent="0.25">
      <c r="B8">
        <v>1</v>
      </c>
      <c r="C8" s="36">
        <f t="shared" si="1"/>
        <v>2.2103418361512955E-2</v>
      </c>
      <c r="D8" s="36">
        <f t="shared" si="0"/>
        <v>0.36193496721438384</v>
      </c>
    </row>
    <row r="9" spans="2:4" x14ac:dyDescent="0.25">
      <c r="B9">
        <v>1.25</v>
      </c>
      <c r="C9" s="36">
        <f t="shared" si="1"/>
        <v>2.2662969061336528E-2</v>
      </c>
      <c r="D9" s="36">
        <f t="shared" si="0"/>
        <v>0.3529987610338382</v>
      </c>
    </row>
    <row r="10" spans="2:4" x14ac:dyDescent="0.25">
      <c r="B10">
        <v>1.5</v>
      </c>
      <c r="C10" s="36">
        <f t="shared" si="1"/>
        <v>2.3236684854565662E-2</v>
      </c>
      <c r="D10" s="36">
        <f t="shared" si="0"/>
        <v>0.34428319057002316</v>
      </c>
    </row>
    <row r="11" spans="2:4" x14ac:dyDescent="0.25">
      <c r="B11">
        <v>1.75</v>
      </c>
      <c r="C11" s="36">
        <f t="shared" si="1"/>
        <v>2.3824924332247161E-2</v>
      </c>
      <c r="D11" s="36">
        <f t="shared" si="0"/>
        <v>0.33578280830768298</v>
      </c>
    </row>
    <row r="12" spans="2:4" x14ac:dyDescent="0.25">
      <c r="B12">
        <v>2</v>
      </c>
      <c r="C12" s="36">
        <f t="shared" si="1"/>
        <v>2.4428055163203399E-2</v>
      </c>
      <c r="D12" s="36">
        <f t="shared" si="0"/>
        <v>0.32749230123119277</v>
      </c>
    </row>
    <row r="13" spans="2:4" x14ac:dyDescent="0.25">
      <c r="B13">
        <v>2.25</v>
      </c>
      <c r="C13" s="36">
        <f t="shared" si="1"/>
        <v>2.504645432383729E-2</v>
      </c>
      <c r="D13" s="36">
        <f t="shared" si="0"/>
        <v>0.31940648750375084</v>
      </c>
    </row>
    <row r="14" spans="2:4" x14ac:dyDescent="0.25">
      <c r="B14">
        <v>2.5</v>
      </c>
      <c r="C14" s="36">
        <f t="shared" si="1"/>
        <v>2.5680508333754827E-2</v>
      </c>
      <c r="D14" s="36">
        <f t="shared" si="0"/>
        <v>0.311520313228562</v>
      </c>
    </row>
    <row r="15" spans="2:4" x14ac:dyDescent="0.25">
      <c r="B15">
        <v>2.75</v>
      </c>
      <c r="C15" s="36">
        <f t="shared" si="1"/>
        <v>2.6330613497352433E-2</v>
      </c>
      <c r="D15" s="36">
        <f t="shared" si="0"/>
        <v>0.30382884928998743</v>
      </c>
    </row>
    <row r="16" spans="2:4" x14ac:dyDescent="0.25">
      <c r="D16" s="36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LMM </vt:lpstr>
      <vt:lpstr>Caplet-Calibration</vt:lpstr>
      <vt:lpstr>MCTrial</vt:lpstr>
      <vt:lpstr>Holiday Schedule</vt:lpstr>
      <vt:lpstr>Data</vt:lpstr>
      <vt:lpstr>AccFreq</vt:lpstr>
      <vt:lpstr>DC_Year</vt:lpstr>
      <vt:lpstr>LIBOR_Accruals</vt:lpstr>
      <vt:lpstr>LIBOR_ForwardRates</vt:lpstr>
      <vt:lpstr>LIBOR_Volatilities</vt:lpstr>
      <vt:lpstr>MC_Caplet</vt:lpstr>
      <vt:lpstr>MC_Trial_Number</vt:lpstr>
      <vt:lpstr>NormalVariate1</vt:lpstr>
      <vt:lpstr>NormalVariate10</vt:lpstr>
      <vt:lpstr>NormalVariate11</vt:lpstr>
      <vt:lpstr>NormalVariate2</vt:lpstr>
      <vt:lpstr>NormalVariate3</vt:lpstr>
      <vt:lpstr>NormalVariate4</vt:lpstr>
      <vt:lpstr>NormalVariate5</vt:lpstr>
      <vt:lpstr>NormalVariate6</vt:lpstr>
      <vt:lpstr>NormalVariate7</vt:lpstr>
      <vt:lpstr>NormalVariate8</vt:lpstr>
      <vt:lpstr>NormalVariate9</vt:lpstr>
      <vt:lpstr>Notional</vt:lpstr>
      <vt:lpstr>Reset_Number</vt:lpstr>
      <vt:lpstr>startDate</vt:lpstr>
      <vt:lpstr>Strike</vt:lpstr>
      <vt:lpstr>TestMode?</vt:lpstr>
      <vt:lpstr>TimeTaken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ania</dc:creator>
  <cp:lastModifiedBy>ania</cp:lastModifiedBy>
  <dcterms:created xsi:type="dcterms:W3CDTF">2014-08-22T09:47:45Z</dcterms:created>
  <dcterms:modified xsi:type="dcterms:W3CDTF">2015-04-27T11:47:54Z</dcterms:modified>
</cp:coreProperties>
</file>