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filterPrivacy="1" codeName="ThisWorkbook"/>
  <xr:revisionPtr revIDLastSave="0" documentId="8_{A8D9E037-7327-42B6-A8F0-CEE025537DAF}" xr6:coauthVersionLast="47" xr6:coauthVersionMax="47" xr10:uidLastSave="{00000000-0000-0000-0000-000000000000}"/>
  <bookViews>
    <workbookView xWindow="-108" yWindow="-108" windowWidth="22080" windowHeight="13176" firstSheet="3" activeTab="3" xr2:uid="{00000000-000D-0000-FFFF-FFFF00000000}"/>
  </bookViews>
  <sheets>
    <sheet name="コピーライト・免責事項" sheetId="1" r:id="rId1"/>
    <sheet name="【演習1-1】 プットオプション価格" sheetId="6" r:id="rId2"/>
    <sheet name="【演習1-2】 プットオプション価格" sheetId="18" r:id="rId3"/>
    <sheet name="【演習2-1】 最低保証にかかる費用算出" sheetId="19" r:id="rId4"/>
    <sheet name="【演習2-2】 最低保証にかかる費用算出" sheetId="20" r:id="rId5"/>
    <sheet name="【演習2+α】 最低保証の内容" sheetId="21" r:id="rId6"/>
    <sheet name="死亡率（標準生命表）" sheetId="2" r:id="rId7"/>
  </sheets>
  <functionGroups builtInGroupCount="19"/>
  <definedNames>
    <definedName name="_xlnm._FilterDatabase" localSheetId="2" hidden="1">'【演習1-2】 プットオプション価格'!$R$1:$R$159</definedName>
    <definedName name="Age" localSheetId="5">OFFSET('【演習2+α】 最低保証の内容'!$C$23,0,0,'【演習2+α】 最低保証の内容'!$N$12+2,1)</definedName>
    <definedName name="Age" localSheetId="3">OFFSET('【演習2-1】 最低保証にかかる費用算出'!$C$24,0,0,'【演習2-1】 最低保証にかかる費用算出'!$N$12+2,1)</definedName>
    <definedName name="Contract_PeriodList">'【演習2-2】 最低保証にかかる費用算出'!$U$17:$Y$17</definedName>
    <definedName name="guarantee_2" localSheetId="5">OFFSET('【演習2+α】 最低保証の内容'!$AM$23,0,0,'【演習2+α】 最低保証の内容'!$N$12+2,1)</definedName>
    <definedName name="guarantee_2">OFFSET('【演習2-1】 最低保証にかかる費用算出'!$AM$24,0,0,'【演習2-1】 最低保証にかかる費用算出'!$N$12+2,1)</definedName>
    <definedName name="guarantee1">OFFSET('【演習2-1】 最低保証にかかる費用算出'!$O$24,0,0,'【演習2-1】 最低保証にかかる費用算出'!$N$12+1,1)</definedName>
    <definedName name="guarantee1alpha">OFFSET('【演習2+α】 最低保証の内容'!$O$23,0,0,'【演習2+α】 最低保証の内容'!$N$12+1,1)</definedName>
    <definedName name="InputContractPeriod" localSheetId="5">'【演習2+α】 最低保証の内容'!$M$12</definedName>
    <definedName name="InputContractPeriod">'【演習2-1】 最低保証にかかる費用算出'!$M$12</definedName>
    <definedName name="InputIR" localSheetId="5">'【演習2+α】 最低保証の内容'!$G$11</definedName>
    <definedName name="InputIR">'【演習2-1】 最低保証にかかる費用算出'!$G$12</definedName>
    <definedName name="InputOld" localSheetId="5">'【演習2+α】 最低保証の内容'!$M$11</definedName>
    <definedName name="InputOld">'【演習2-1】 最低保証にかかる費用算出'!$M$11</definedName>
    <definedName name="InputStrike">'【演習2-1】 最低保証にかかる費用算出'!$G$15</definedName>
    <definedName name="InputVol" localSheetId="5">'【演習2+α】 最低保証の内容'!$G$12</definedName>
    <definedName name="InputVol">'【演習2-1】 最低保証にかかる費用算出'!$G$13</definedName>
    <definedName name="Objective" localSheetId="5">'【演習2+α】 最低保証の内容'!$AG$22</definedName>
    <definedName name="Objective">'【演習2-1】 最低保証にかかる費用算出'!$AG$23</definedName>
    <definedName name="OldList" localSheetId="4">'【演習2-2】 最低保証にかかる費用算出'!$M$17:$Q$17</definedName>
    <definedName name="OutContractPeriod">'【演習2-2】 最低保証にかかる費用算出'!$U$18</definedName>
    <definedName name="OutIR" localSheetId="4">'【演習2-2】 最低保証にかかる費用算出'!$AC$18</definedName>
    <definedName name="OutOld" localSheetId="4">'【演習2-2】 最低保証にかかる費用算出'!$M$18</definedName>
    <definedName name="OutVol" localSheetId="4">'【演習2-2】 最低保証にかかる費用算出'!$E$18</definedName>
    <definedName name="PutOption" localSheetId="5">OFFSET('【演習2+α】 最低保証の内容'!$J$23,0,0,'【演習2+α】 最低保証の内容'!$N$12+2,1)</definedName>
    <definedName name="PutOption">OFFSET('【演習2-1】 最低保証にかかる費用算出'!$J$24,0,0,'【演習2-1】 最低保証にかかる費用算出'!$N$12+2,1)</definedName>
    <definedName name="solver_adj" localSheetId="5" hidden="1">'【演習2+α】 最低保証の内容'!$M$14</definedName>
    <definedName name="solver_adj" localSheetId="3" hidden="1">'【演習2-1】 最低保証にかかる費用算出'!$M$14</definedName>
    <definedName name="solver_adj" localSheetId="4" hidden="1">'【演習2-2】 最低保証にかかる費用算出'!$N$31</definedName>
    <definedName name="solver_cvg" localSheetId="5" hidden="1">0.0001</definedName>
    <definedName name="solver_cvg" localSheetId="3" hidden="1">0.0001</definedName>
    <definedName name="solver_drv" localSheetId="5" hidden="1">1</definedName>
    <definedName name="solver_drv" localSheetId="3" hidden="1">1</definedName>
    <definedName name="solver_eng" localSheetId="5" hidden="1">1</definedName>
    <definedName name="solver_eng" localSheetId="3" hidden="1">1</definedName>
    <definedName name="solver_eng" localSheetId="4" hidden="1">1</definedName>
    <definedName name="solver_est" localSheetId="5" hidden="1">1</definedName>
    <definedName name="solver_est" localSheetId="3" hidden="1">1</definedName>
    <definedName name="solver_itr" localSheetId="5" hidden="1">2147483647</definedName>
    <definedName name="solver_itr" localSheetId="3" hidden="1">2147483647</definedName>
    <definedName name="solver_mip" localSheetId="5" hidden="1">2147483647</definedName>
    <definedName name="solver_mip" localSheetId="3" hidden="1">2147483647</definedName>
    <definedName name="solver_mni" localSheetId="5" hidden="1">30</definedName>
    <definedName name="solver_mni" localSheetId="3" hidden="1">30</definedName>
    <definedName name="solver_mrt" localSheetId="5" hidden="1">0.075</definedName>
    <definedName name="solver_mrt" localSheetId="3" hidden="1">0.075</definedName>
    <definedName name="solver_msl" localSheetId="5" hidden="1">2</definedName>
    <definedName name="solver_msl" localSheetId="3" hidden="1">2</definedName>
    <definedName name="solver_neg" localSheetId="5" hidden="1">1</definedName>
    <definedName name="solver_neg" localSheetId="3" hidden="1">1</definedName>
    <definedName name="solver_neg" localSheetId="4" hidden="1">1</definedName>
    <definedName name="solver_nod" localSheetId="5" hidden="1">2147483647</definedName>
    <definedName name="solver_nod" localSheetId="3" hidden="1">2147483647</definedName>
    <definedName name="solver_num" localSheetId="5" hidden="1">0</definedName>
    <definedName name="solver_num" localSheetId="3" hidden="1">0</definedName>
    <definedName name="solver_num" localSheetId="4" hidden="1">0</definedName>
    <definedName name="solver_nwt" localSheetId="5" hidden="1">1</definedName>
    <definedName name="solver_nwt" localSheetId="3" hidden="1">1</definedName>
    <definedName name="solver_opt" localSheetId="5" hidden="1">'【演習2+α】 最低保証の内容'!$AG$22</definedName>
    <definedName name="solver_opt" localSheetId="3" hidden="1">'【演習2-1】 最低保証にかかる費用算出'!$AG$23</definedName>
    <definedName name="solver_opt" localSheetId="4" hidden="1">'【演習2-2】 最低保証にかかる費用算出'!$Q$29</definedName>
    <definedName name="solver_pre" localSheetId="5" hidden="1">0.000001</definedName>
    <definedName name="solver_pre" localSheetId="3" hidden="1">0.000001</definedName>
    <definedName name="solver_rbv" localSheetId="5" hidden="1">1</definedName>
    <definedName name="solver_rbv" localSheetId="3" hidden="1">1</definedName>
    <definedName name="solver_rlx" localSheetId="5" hidden="1">2</definedName>
    <definedName name="solver_rlx" localSheetId="3" hidden="1">2</definedName>
    <definedName name="solver_rsd" localSheetId="5" hidden="1">0</definedName>
    <definedName name="solver_rsd" localSheetId="3" hidden="1">0</definedName>
    <definedName name="solver_scl" localSheetId="5" hidden="1">1</definedName>
    <definedName name="solver_scl" localSheetId="3" hidden="1">1</definedName>
    <definedName name="solver_sho" localSheetId="5" hidden="1">2</definedName>
    <definedName name="solver_sho" localSheetId="3" hidden="1">2</definedName>
    <definedName name="solver_ssz" localSheetId="5" hidden="1">100</definedName>
    <definedName name="solver_ssz" localSheetId="3" hidden="1">100</definedName>
    <definedName name="solver_tim" localSheetId="5" hidden="1">2147483647</definedName>
    <definedName name="solver_tim" localSheetId="3" hidden="1">2147483647</definedName>
    <definedName name="solver_tol" localSheetId="5" hidden="1">0.01</definedName>
    <definedName name="solver_tol" localSheetId="3" hidden="1">0.01</definedName>
    <definedName name="solver_typ" localSheetId="5" hidden="1">2</definedName>
    <definedName name="solver_typ" localSheetId="3" hidden="1">2</definedName>
    <definedName name="solver_typ" localSheetId="4" hidden="1">2</definedName>
    <definedName name="solver_val" localSheetId="5" hidden="1">0</definedName>
    <definedName name="solver_val" localSheetId="3" hidden="1">0</definedName>
    <definedName name="solver_val" localSheetId="4" hidden="1">0</definedName>
    <definedName name="solver_ver" localSheetId="5" hidden="1">3</definedName>
    <definedName name="solver_ver" localSheetId="3" hidden="1">3</definedName>
    <definedName name="solver_ver" localSheetId="4" hidden="1">3</definedName>
    <definedName name="StrikeList" localSheetId="4">'【演習2-2】 最低保証にかかる費用算出'!$AC$17:$AG$17</definedName>
    <definedName name="Variable" localSheetId="5">'【演習2+α】 最低保証の内容'!$M$14</definedName>
    <definedName name="Variable">'【演習2-1】 最低保証にかかる費用算出'!$M$14</definedName>
    <definedName name="VolList" localSheetId="4">'【演習2-2】 最低保証にかかる費用算出'!$E$17:$I$17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44" i="19" l="1"/>
  <c r="N143" i="19"/>
  <c r="N142" i="19"/>
  <c r="N141" i="19"/>
  <c r="N140" i="19"/>
  <c r="N139" i="19"/>
  <c r="N138" i="19"/>
  <c r="N137" i="19"/>
  <c r="N136" i="19"/>
  <c r="N135" i="19"/>
  <c r="N134" i="19"/>
  <c r="N133" i="19"/>
  <c r="N132" i="19"/>
  <c r="N131" i="19"/>
  <c r="N130" i="19"/>
  <c r="N129" i="19"/>
  <c r="N128" i="19"/>
  <c r="N127" i="19"/>
  <c r="N126" i="19"/>
  <c r="N125" i="19"/>
  <c r="N124" i="19"/>
  <c r="N123" i="19"/>
  <c r="N122" i="19"/>
  <c r="N121" i="19"/>
  <c r="N120" i="19"/>
  <c r="N119" i="19"/>
  <c r="N118" i="19"/>
  <c r="N117" i="19"/>
  <c r="N116" i="19"/>
  <c r="N115" i="19"/>
  <c r="N114" i="19"/>
  <c r="N113" i="19"/>
  <c r="N112" i="19"/>
  <c r="N111" i="19"/>
  <c r="N110" i="19"/>
  <c r="N109" i="19"/>
  <c r="N108" i="19"/>
  <c r="N107" i="19"/>
  <c r="N106" i="19"/>
  <c r="N105" i="19"/>
  <c r="N104" i="19"/>
  <c r="N103" i="19"/>
  <c r="N102" i="19"/>
  <c r="N101" i="19"/>
  <c r="N100" i="19"/>
  <c r="N99" i="19"/>
  <c r="N98" i="19"/>
  <c r="N97" i="19"/>
  <c r="N96" i="19"/>
  <c r="N95" i="19"/>
  <c r="N94" i="19"/>
  <c r="N93" i="19"/>
  <c r="N92" i="19"/>
  <c r="N91" i="19"/>
  <c r="N90" i="19"/>
  <c r="N89" i="19"/>
  <c r="N88" i="19"/>
  <c r="N87" i="19"/>
  <c r="N86" i="19"/>
  <c r="N85" i="19"/>
  <c r="N84" i="19"/>
  <c r="N83" i="19"/>
  <c r="N82" i="19"/>
  <c r="N81" i="19"/>
  <c r="N80" i="19"/>
  <c r="N79" i="19"/>
  <c r="N78" i="19"/>
  <c r="N77" i="19"/>
  <c r="N76" i="19"/>
  <c r="N75" i="19"/>
  <c r="N74" i="19"/>
  <c r="N73" i="19"/>
  <c r="N72" i="19"/>
  <c r="N71" i="19"/>
  <c r="N70" i="19"/>
  <c r="N69" i="19"/>
  <c r="N68" i="19"/>
  <c r="N67" i="19"/>
  <c r="N66" i="19"/>
  <c r="N65" i="19"/>
  <c r="N64" i="19"/>
  <c r="N63" i="19"/>
  <c r="N62" i="19"/>
  <c r="N61" i="19"/>
  <c r="N60" i="19"/>
  <c r="N59" i="19"/>
  <c r="N58" i="19"/>
  <c r="N57" i="19"/>
  <c r="N56" i="19"/>
  <c r="N55" i="19"/>
  <c r="N54" i="19"/>
  <c r="N53" i="19"/>
  <c r="N52" i="19"/>
  <c r="N51" i="19"/>
  <c r="N50" i="19"/>
  <c r="N49" i="19"/>
  <c r="N48" i="19"/>
  <c r="N47" i="19"/>
  <c r="N46" i="19"/>
  <c r="N45" i="19"/>
  <c r="N44" i="19"/>
  <c r="N43" i="19"/>
  <c r="N42" i="19"/>
  <c r="N41" i="19"/>
  <c r="N40" i="19"/>
  <c r="N39" i="19"/>
  <c r="N38" i="19"/>
  <c r="N37" i="19"/>
  <c r="N36" i="19"/>
  <c r="N35" i="19"/>
  <c r="N34" i="19"/>
  <c r="N33" i="19"/>
  <c r="N32" i="19"/>
  <c r="N31" i="19"/>
  <c r="N30" i="19"/>
  <c r="N29" i="19"/>
  <c r="N28" i="19"/>
  <c r="N27" i="19"/>
  <c r="N26" i="19"/>
  <c r="N25" i="19"/>
  <c r="P24" i="19" a="1"/>
  <c r="N10" i="21"/>
  <c r="O11" i="21" s="1"/>
  <c r="O10" i="21" l="1"/>
  <c r="E23" i="21" l="1"/>
  <c r="C23" i="21" s="1"/>
  <c r="M17" i="21"/>
  <c r="M16" i="21"/>
  <c r="N16" i="21" s="1"/>
  <c r="N12" i="21"/>
  <c r="AA143" i="21" l="1"/>
  <c r="AA142" i="21"/>
  <c r="AA141" i="21"/>
  <c r="AA140" i="21"/>
  <c r="AA139" i="21"/>
  <c r="AA138" i="21"/>
  <c r="AA137" i="21"/>
  <c r="AA136" i="21"/>
  <c r="AA135" i="21"/>
  <c r="AA134" i="21"/>
  <c r="AA133" i="21"/>
  <c r="AA132" i="21"/>
  <c r="AA131" i="21"/>
  <c r="AA130" i="21"/>
  <c r="AA129" i="21"/>
  <c r="AA128" i="21"/>
  <c r="AA127" i="21"/>
  <c r="AA126" i="21"/>
  <c r="AA125" i="21"/>
  <c r="AA124" i="21"/>
  <c r="AA123" i="21"/>
  <c r="AA122" i="21"/>
  <c r="AA121" i="21"/>
  <c r="AA120" i="21"/>
  <c r="AA119" i="21"/>
  <c r="AA118" i="21"/>
  <c r="AA117" i="21"/>
  <c r="AA116" i="21"/>
  <c r="AA115" i="21"/>
  <c r="AA114" i="21"/>
  <c r="AA113" i="21"/>
  <c r="AA112" i="21"/>
  <c r="AA111" i="21"/>
  <c r="AA110" i="21"/>
  <c r="AA109" i="21"/>
  <c r="AA108" i="21"/>
  <c r="AA107" i="21"/>
  <c r="AA106" i="21"/>
  <c r="AA105" i="21"/>
  <c r="AA104" i="21"/>
  <c r="AA103" i="21"/>
  <c r="AA102" i="21"/>
  <c r="AA101" i="21"/>
  <c r="AA100" i="21"/>
  <c r="AA99" i="21"/>
  <c r="AA98" i="21"/>
  <c r="AA97" i="21"/>
  <c r="AA96" i="21"/>
  <c r="AA95" i="21"/>
  <c r="AA94" i="21"/>
  <c r="AA93" i="21"/>
  <c r="AA92" i="21"/>
  <c r="AA91" i="21"/>
  <c r="AA90" i="21"/>
  <c r="AA89" i="21"/>
  <c r="AA88" i="21"/>
  <c r="AA87" i="21"/>
  <c r="AA86" i="21"/>
  <c r="AA85" i="21"/>
  <c r="AA84" i="21"/>
  <c r="AA83" i="21"/>
  <c r="AA82" i="21"/>
  <c r="AA81" i="21"/>
  <c r="AA80" i="21"/>
  <c r="AA79" i="21"/>
  <c r="AA78" i="21"/>
  <c r="AA77" i="21"/>
  <c r="AA76" i="21"/>
  <c r="AA75" i="21"/>
  <c r="AA74" i="21"/>
  <c r="AA73" i="21"/>
  <c r="AA72" i="21"/>
  <c r="AA71" i="21"/>
  <c r="AA70" i="21"/>
  <c r="AA69" i="21"/>
  <c r="AA68" i="21"/>
  <c r="AA67" i="21"/>
  <c r="AA66" i="21"/>
  <c r="AA65" i="21"/>
  <c r="AA64" i="21"/>
  <c r="AA63" i="21"/>
  <c r="AA62" i="21"/>
  <c r="AA61" i="21"/>
  <c r="AA60" i="21"/>
  <c r="AA59" i="21"/>
  <c r="AA58" i="21"/>
  <c r="AA57" i="21"/>
  <c r="AA56" i="21"/>
  <c r="AA55" i="21"/>
  <c r="AA54" i="21"/>
  <c r="AA53" i="21"/>
  <c r="AA52" i="21"/>
  <c r="AA51" i="21"/>
  <c r="AA50" i="21"/>
  <c r="AA49" i="21"/>
  <c r="AA48" i="21"/>
  <c r="AA47" i="21"/>
  <c r="AA46" i="21"/>
  <c r="AA45" i="21"/>
  <c r="AA44" i="21"/>
  <c r="AA43" i="21"/>
  <c r="AA42" i="21"/>
  <c r="AA41" i="21"/>
  <c r="AA40" i="21"/>
  <c r="AA39" i="21"/>
  <c r="AA38" i="21"/>
  <c r="AA37" i="21"/>
  <c r="AA36" i="21"/>
  <c r="AA35" i="21"/>
  <c r="AA34" i="21"/>
  <c r="AA33" i="21"/>
  <c r="AA32" i="21"/>
  <c r="AA31" i="21"/>
  <c r="AA30" i="21"/>
  <c r="AA29" i="21"/>
  <c r="AA28" i="21"/>
  <c r="AA27" i="21"/>
  <c r="AA26" i="21"/>
  <c r="AA25" i="21"/>
  <c r="AA24" i="21"/>
  <c r="Z144" i="21"/>
  <c r="O144" i="21"/>
  <c r="AL116" i="21"/>
  <c r="AK72" i="21"/>
  <c r="E24" i="21"/>
  <c r="G24" i="21" s="1"/>
  <c r="Y24" i="21" s="1"/>
  <c r="AK85" i="21"/>
  <c r="AL110" i="21"/>
  <c r="AM37" i="21"/>
  <c r="AL39" i="21"/>
  <c r="AM42" i="21"/>
  <c r="AK26" i="21"/>
  <c r="G13" i="21"/>
  <c r="AL50" i="21"/>
  <c r="AL30" i="21"/>
  <c r="AM30" i="21"/>
  <c r="AL57" i="21"/>
  <c r="AL59" i="21"/>
  <c r="AL33" i="21"/>
  <c r="AL26" i="21"/>
  <c r="C24" i="21"/>
  <c r="AM33" i="21"/>
  <c r="AM68" i="21"/>
  <c r="AK44" i="21"/>
  <c r="AM46" i="21"/>
  <c r="AL63" i="21"/>
  <c r="AM26" i="21"/>
  <c r="AK55" i="21"/>
  <c r="AM57" i="21"/>
  <c r="AM74" i="21"/>
  <c r="AL141" i="21"/>
  <c r="AM136" i="21"/>
  <c r="AK134" i="21"/>
  <c r="AL129" i="21"/>
  <c r="AM124" i="21"/>
  <c r="AK122" i="21"/>
  <c r="AL117" i="21"/>
  <c r="AM112" i="21"/>
  <c r="AK110" i="21"/>
  <c r="AL105" i="21"/>
  <c r="AM100" i="21"/>
  <c r="AK98" i="21"/>
  <c r="AL93" i="21"/>
  <c r="AM88" i="21"/>
  <c r="AK86" i="21"/>
  <c r="AL143" i="21"/>
  <c r="AM138" i="21"/>
  <c r="AK136" i="21"/>
  <c r="AL131" i="21"/>
  <c r="AM126" i="21"/>
  <c r="AK124" i="21"/>
  <c r="AL119" i="21"/>
  <c r="AM114" i="21"/>
  <c r="AK112" i="21"/>
  <c r="AL107" i="21"/>
  <c r="AM102" i="21"/>
  <c r="AK100" i="21"/>
  <c r="AL95" i="21"/>
  <c r="AM90" i="21"/>
  <c r="AK88" i="21"/>
  <c r="H144" i="21"/>
  <c r="AK142" i="21"/>
  <c r="AL137" i="21"/>
  <c r="AM132" i="21"/>
  <c r="AK130" i="21"/>
  <c r="AL125" i="21"/>
  <c r="AM120" i="21"/>
  <c r="AK118" i="21"/>
  <c r="AL113" i="21"/>
  <c r="AM108" i="21"/>
  <c r="AK106" i="21"/>
  <c r="AL101" i="21"/>
  <c r="AM96" i="21"/>
  <c r="AK94" i="21"/>
  <c r="AL89" i="21"/>
  <c r="AM84" i="21"/>
  <c r="AM139" i="21"/>
  <c r="AK137" i="21"/>
  <c r="AL132" i="21"/>
  <c r="AM127" i="21"/>
  <c r="AK125" i="21"/>
  <c r="AL120" i="21"/>
  <c r="AM115" i="21"/>
  <c r="AK113" i="21"/>
  <c r="AL108" i="21"/>
  <c r="AM103" i="21"/>
  <c r="AK101" i="21"/>
  <c r="AL96" i="21"/>
  <c r="AM91" i="21"/>
  <c r="AK89" i="21"/>
  <c r="F144" i="21"/>
  <c r="AM141" i="21"/>
  <c r="AL140" i="21"/>
  <c r="AK139" i="21"/>
  <c r="AM123" i="21"/>
  <c r="AL122" i="21"/>
  <c r="AK121" i="21"/>
  <c r="AM143" i="21"/>
  <c r="AM142" i="21"/>
  <c r="AK141" i="21"/>
  <c r="AK140" i="21"/>
  <c r="AL124" i="21"/>
  <c r="AL123" i="21"/>
  <c r="AM107" i="21"/>
  <c r="AM106" i="21"/>
  <c r="AK105" i="21"/>
  <c r="AK104" i="21"/>
  <c r="AL88" i="21"/>
  <c r="AL87" i="21"/>
  <c r="AM81" i="21"/>
  <c r="AK79" i="21"/>
  <c r="AL74" i="21"/>
  <c r="AM69" i="21"/>
  <c r="AK67" i="21"/>
  <c r="AK143" i="21"/>
  <c r="AL142" i="21"/>
  <c r="AL126" i="21"/>
  <c r="AM125" i="21"/>
  <c r="AK123" i="21"/>
  <c r="AM109" i="21"/>
  <c r="AK107" i="21"/>
  <c r="AL106" i="21"/>
  <c r="AL90" i="21"/>
  <c r="AM89" i="21"/>
  <c r="AK87" i="21"/>
  <c r="AL81" i="21"/>
  <c r="AM76" i="21"/>
  <c r="AK74" i="21"/>
  <c r="AL69" i="21"/>
  <c r="AM64" i="21"/>
  <c r="AM128" i="21"/>
  <c r="AL127" i="21"/>
  <c r="AK126" i="21"/>
  <c r="AM110" i="21"/>
  <c r="AL109" i="21"/>
  <c r="AK108" i="21"/>
  <c r="AM92" i="21"/>
  <c r="AL91" i="21"/>
  <c r="AK90" i="21"/>
  <c r="AM83" i="21"/>
  <c r="AK81" i="21"/>
  <c r="AL76" i="21"/>
  <c r="AM71" i="21"/>
  <c r="AK69" i="21"/>
  <c r="AL64" i="21"/>
  <c r="AM129" i="21"/>
  <c r="AL128" i="21"/>
  <c r="AK127" i="21"/>
  <c r="AM131" i="21"/>
  <c r="AM130" i="21"/>
  <c r="AK129" i="21"/>
  <c r="AK128" i="21"/>
  <c r="AL112" i="21"/>
  <c r="AL111" i="21"/>
  <c r="AM95" i="21"/>
  <c r="AM94" i="21"/>
  <c r="AK93" i="21"/>
  <c r="AK92" i="21"/>
  <c r="AK83" i="21"/>
  <c r="AL78" i="21"/>
  <c r="AM73" i="21"/>
  <c r="AK71" i="21"/>
  <c r="AL66" i="21"/>
  <c r="AM133" i="21"/>
  <c r="AK131" i="21"/>
  <c r="AL130" i="21"/>
  <c r="AL114" i="21"/>
  <c r="AM113" i="21"/>
  <c r="AK111" i="21"/>
  <c r="AM97" i="21"/>
  <c r="AK95" i="21"/>
  <c r="AL94" i="21"/>
  <c r="AM80" i="21"/>
  <c r="AK78" i="21"/>
  <c r="AL73" i="21"/>
  <c r="AM134" i="21"/>
  <c r="AL133" i="21"/>
  <c r="AK132" i="21"/>
  <c r="AM116" i="21"/>
  <c r="AL115" i="21"/>
  <c r="AK114" i="21"/>
  <c r="AM98" i="21"/>
  <c r="AL97" i="21"/>
  <c r="AK96" i="21"/>
  <c r="AL80" i="21"/>
  <c r="AM75" i="21"/>
  <c r="AK73" i="21"/>
  <c r="AL68" i="21"/>
  <c r="AL136" i="21"/>
  <c r="AL135" i="21"/>
  <c r="AM119" i="21"/>
  <c r="AM118" i="21"/>
  <c r="AK117" i="21"/>
  <c r="AK116" i="21"/>
  <c r="AL100" i="21"/>
  <c r="AL99" i="21"/>
  <c r="AL82" i="21"/>
  <c r="AM77" i="21"/>
  <c r="AK75" i="21"/>
  <c r="AL70" i="21"/>
  <c r="AM65" i="21"/>
  <c r="AM140" i="21"/>
  <c r="AL139" i="21"/>
  <c r="AK138" i="21"/>
  <c r="AM122" i="21"/>
  <c r="AL121" i="21"/>
  <c r="AK120" i="21"/>
  <c r="AM104" i="21"/>
  <c r="AL103" i="21"/>
  <c r="AK102" i="21"/>
  <c r="AM86" i="21"/>
  <c r="AL85" i="21"/>
  <c r="AL84" i="21"/>
  <c r="AM79" i="21"/>
  <c r="AK77" i="21"/>
  <c r="AL72" i="21"/>
  <c r="AM67" i="21"/>
  <c r="AK65" i="21"/>
  <c r="AM117" i="21"/>
  <c r="AK109" i="21"/>
  <c r="AM93" i="21"/>
  <c r="AL71" i="21"/>
  <c r="AL61" i="21"/>
  <c r="AM56" i="21"/>
  <c r="AK54" i="21"/>
  <c r="AL49" i="21"/>
  <c r="AM44" i="21"/>
  <c r="AK42" i="21"/>
  <c r="AL37" i="21"/>
  <c r="AM32" i="21"/>
  <c r="AK30" i="21"/>
  <c r="AL25" i="21"/>
  <c r="AM99" i="21"/>
  <c r="AL75" i="21"/>
  <c r="AK64" i="21"/>
  <c r="AM63" i="21"/>
  <c r="AK61" i="21"/>
  <c r="AL56" i="21"/>
  <c r="AM51" i="21"/>
  <c r="AK49" i="21"/>
  <c r="AL44" i="21"/>
  <c r="AM39" i="21"/>
  <c r="AK37" i="21"/>
  <c r="AL32" i="21"/>
  <c r="AM27" i="21"/>
  <c r="AK25" i="21"/>
  <c r="F25" i="21"/>
  <c r="E25" i="21" s="1"/>
  <c r="AM135" i="21"/>
  <c r="AL102" i="21"/>
  <c r="AK99" i="21"/>
  <c r="AK135" i="21"/>
  <c r="AM105" i="21"/>
  <c r="AL86" i="21"/>
  <c r="AL79" i="21"/>
  <c r="AK63" i="21"/>
  <c r="AL58" i="21"/>
  <c r="AM53" i="21"/>
  <c r="AK51" i="21"/>
  <c r="AL46" i="21"/>
  <c r="AM41" i="21"/>
  <c r="AK39" i="21"/>
  <c r="AL34" i="21"/>
  <c r="AM29" i="21"/>
  <c r="AK27" i="21"/>
  <c r="I23" i="21"/>
  <c r="AL134" i="21"/>
  <c r="AK115" i="21"/>
  <c r="AM111" i="21"/>
  <c r="AL92" i="21"/>
  <c r="AL83" i="21"/>
  <c r="AL67" i="21"/>
  <c r="AM60" i="21"/>
  <c r="AK58" i="21"/>
  <c r="AL53" i="21"/>
  <c r="AM48" i="21"/>
  <c r="AK46" i="21"/>
  <c r="AL41" i="21"/>
  <c r="AM36" i="21"/>
  <c r="AK34" i="21"/>
  <c r="AL29" i="21"/>
  <c r="AM24" i="21"/>
  <c r="AM121" i="21"/>
  <c r="AL98" i="21"/>
  <c r="AL60" i="21"/>
  <c r="AM55" i="21"/>
  <c r="AK53" i="21"/>
  <c r="AL48" i="21"/>
  <c r="AM43" i="21"/>
  <c r="AK41" i="21"/>
  <c r="AL36" i="21"/>
  <c r="AM31" i="21"/>
  <c r="AK29" i="21"/>
  <c r="AL24" i="21"/>
  <c r="AK48" i="21"/>
  <c r="AK133" i="21"/>
  <c r="AM101" i="21"/>
  <c r="AM85" i="21"/>
  <c r="AM72" i="21"/>
  <c r="AM70" i="21"/>
  <c r="AL65" i="21"/>
  <c r="AM62" i="21"/>
  <c r="AK60" i="21"/>
  <c r="AL55" i="21"/>
  <c r="AM50" i="21"/>
  <c r="AL104" i="21"/>
  <c r="AL138" i="21"/>
  <c r="AK119" i="21"/>
  <c r="AK97" i="21"/>
  <c r="AM82" i="21"/>
  <c r="AK80" i="21"/>
  <c r="AK68" i="21"/>
  <c r="AM59" i="21"/>
  <c r="AK57" i="21"/>
  <c r="AL52" i="21"/>
  <c r="AM47" i="21"/>
  <c r="AK45" i="21"/>
  <c r="AL40" i="21"/>
  <c r="AM35" i="21"/>
  <c r="AK33" i="21"/>
  <c r="AL28" i="21"/>
  <c r="AM137" i="21"/>
  <c r="AL118" i="21"/>
  <c r="AK103" i="21"/>
  <c r="AM87" i="21"/>
  <c r="AK84" i="21"/>
  <c r="AK66" i="21"/>
  <c r="AM61" i="21"/>
  <c r="AK59" i="21"/>
  <c r="AL54" i="21"/>
  <c r="AM49" i="21"/>
  <c r="AK47" i="21"/>
  <c r="AL42" i="21"/>
  <c r="AK36" i="21"/>
  <c r="AK32" i="21"/>
  <c r="AL51" i="21"/>
  <c r="AK35" i="21"/>
  <c r="AK43" i="21"/>
  <c r="AL47" i="21"/>
  <c r="AK82" i="21"/>
  <c r="AK28" i="21"/>
  <c r="AL35" i="21"/>
  <c r="AK38" i="21"/>
  <c r="AL43" i="21"/>
  <c r="AL45" i="21"/>
  <c r="AK62" i="21"/>
  <c r="AK76" i="21"/>
  <c r="AK91" i="21"/>
  <c r="AM28" i="21"/>
  <c r="AL38" i="21"/>
  <c r="AM45" i="21"/>
  <c r="AL62" i="21"/>
  <c r="AK70" i="21"/>
  <c r="AM25" i="21"/>
  <c r="AK40" i="21"/>
  <c r="AK56" i="21"/>
  <c r="AM58" i="21"/>
  <c r="AL77" i="21"/>
  <c r="AK24" i="21"/>
  <c r="AL31" i="21"/>
  <c r="AM40" i="21"/>
  <c r="AK52" i="21"/>
  <c r="AM54" i="21"/>
  <c r="AM66" i="21"/>
  <c r="AK31" i="21"/>
  <c r="AM38" i="21"/>
  <c r="AL27" i="21"/>
  <c r="AM34" i="21"/>
  <c r="AK50" i="21"/>
  <c r="AM52" i="21"/>
  <c r="AM78" i="21"/>
  <c r="G9" i="20"/>
  <c r="M16" i="19"/>
  <c r="G14" i="19" s="1"/>
  <c r="J24" i="21"/>
  <c r="M24" i="21" l="1"/>
  <c r="F26" i="21"/>
  <c r="F27" i="21" s="1"/>
  <c r="F28" i="21" s="1"/>
  <c r="G25" i="21"/>
  <c r="Y25" i="21" s="1"/>
  <c r="C25" i="21"/>
  <c r="E26" i="21"/>
  <c r="M12" i="20"/>
  <c r="M11" i="20"/>
  <c r="M10" i="20"/>
  <c r="M9" i="20"/>
  <c r="M8" i="20"/>
  <c r="G12" i="20"/>
  <c r="G10" i="20"/>
  <c r="G8" i="20"/>
  <c r="J25" i="21"/>
  <c r="M25" i="21" l="1"/>
  <c r="G26" i="21"/>
  <c r="Y26" i="21" s="1"/>
  <c r="C26" i="21"/>
  <c r="E27" i="21"/>
  <c r="F29" i="21"/>
  <c r="E22" i="18"/>
  <c r="E23" i="18" s="1"/>
  <c r="H23" i="18" s="1"/>
  <c r="I23" i="18" s="1"/>
  <c r="AB18" i="6"/>
  <c r="E20" i="6"/>
  <c r="E21" i="6" s="1"/>
  <c r="E22" i="6" s="1"/>
  <c r="E23" i="6" s="1"/>
  <c r="E24" i="6" s="1"/>
  <c r="E25" i="6" s="1"/>
  <c r="E26" i="6" s="1"/>
  <c r="E27" i="6" s="1"/>
  <c r="E28" i="6" s="1"/>
  <c r="E29" i="6" s="1"/>
  <c r="E30" i="6" s="1"/>
  <c r="E31" i="6" s="1"/>
  <c r="E32" i="6" s="1"/>
  <c r="E33" i="6" s="1"/>
  <c r="E34" i="6" s="1"/>
  <c r="E35" i="6" s="1"/>
  <c r="E36" i="6" s="1"/>
  <c r="E37" i="6" s="1"/>
  <c r="E38" i="6" s="1"/>
  <c r="E39" i="6" s="1"/>
  <c r="E40" i="6" s="1"/>
  <c r="E41" i="6" s="1"/>
  <c r="E42" i="6" s="1"/>
  <c r="E43" i="6" s="1"/>
  <c r="E44" i="6" s="1"/>
  <c r="E45" i="6" s="1"/>
  <c r="E46" i="6" s="1"/>
  <c r="E47" i="6" s="1"/>
  <c r="E48" i="6" s="1"/>
  <c r="E49" i="6" s="1"/>
  <c r="E50" i="6" s="1"/>
  <c r="E51" i="6" s="1"/>
  <c r="E52" i="6" s="1"/>
  <c r="E53" i="6" s="1"/>
  <c r="E54" i="6" s="1"/>
  <c r="E55" i="6" s="1"/>
  <c r="E56" i="6" s="1"/>
  <c r="E57" i="6" s="1"/>
  <c r="E58" i="6" s="1"/>
  <c r="E59" i="6" s="1"/>
  <c r="E60" i="6" s="1"/>
  <c r="E61" i="6" s="1"/>
  <c r="E62" i="6" s="1"/>
  <c r="E63" i="6" s="1"/>
  <c r="E64" i="6" s="1"/>
  <c r="E65" i="6" s="1"/>
  <c r="E66" i="6" s="1"/>
  <c r="E67" i="6" s="1"/>
  <c r="E68" i="6" s="1"/>
  <c r="E69" i="6" s="1"/>
  <c r="E70" i="6" s="1"/>
  <c r="E71" i="6" s="1"/>
  <c r="E72" i="6" s="1"/>
  <c r="E73" i="6" s="1"/>
  <c r="E74" i="6" s="1"/>
  <c r="E75" i="6" s="1"/>
  <c r="E76" i="6" s="1"/>
  <c r="E77" i="6" s="1"/>
  <c r="E78" i="6" s="1"/>
  <c r="E79" i="6" s="1"/>
  <c r="E80" i="6" s="1"/>
  <c r="E81" i="6" s="1"/>
  <c r="E82" i="6" s="1"/>
  <c r="E83" i="6" s="1"/>
  <c r="E84" i="6" s="1"/>
  <c r="E85" i="6" s="1"/>
  <c r="E86" i="6" s="1"/>
  <c r="E87" i="6" s="1"/>
  <c r="E88" i="6" s="1"/>
  <c r="E89" i="6" s="1"/>
  <c r="E90" i="6" s="1"/>
  <c r="E91" i="6" s="1"/>
  <c r="E92" i="6" s="1"/>
  <c r="E93" i="6" s="1"/>
  <c r="E94" i="6" s="1"/>
  <c r="E95" i="6" s="1"/>
  <c r="E96" i="6" s="1"/>
  <c r="E97" i="6" s="1"/>
  <c r="E98" i="6" s="1"/>
  <c r="E99" i="6" s="1"/>
  <c r="E100" i="6" s="1"/>
  <c r="E101" i="6" s="1"/>
  <c r="E102" i="6" s="1"/>
  <c r="E103" i="6" s="1"/>
  <c r="E104" i="6" s="1"/>
  <c r="E105" i="6" s="1"/>
  <c r="E106" i="6" s="1"/>
  <c r="E107" i="6" s="1"/>
  <c r="E108" i="6" s="1"/>
  <c r="E109" i="6" s="1"/>
  <c r="E110" i="6" s="1"/>
  <c r="E111" i="6" s="1"/>
  <c r="E112" i="6" s="1"/>
  <c r="E113" i="6" s="1"/>
  <c r="E114" i="6" s="1"/>
  <c r="E115" i="6" s="1"/>
  <c r="E116" i="6" s="1"/>
  <c r="E117" i="6" s="1"/>
  <c r="E118" i="6" s="1"/>
  <c r="E119" i="6" s="1"/>
  <c r="E120" i="6" s="1"/>
  <c r="E121" i="6" s="1"/>
  <c r="E122" i="6" s="1"/>
  <c r="E123" i="6" s="1"/>
  <c r="E124" i="6" s="1"/>
  <c r="E125" i="6" s="1"/>
  <c r="E126" i="6" s="1"/>
  <c r="E127" i="6" s="1"/>
  <c r="E128" i="6" s="1"/>
  <c r="E129" i="6" s="1"/>
  <c r="E130" i="6" s="1"/>
  <c r="E131" i="6" s="1"/>
  <c r="E132" i="6" s="1"/>
  <c r="E133" i="6" s="1"/>
  <c r="E134" i="6" s="1"/>
  <c r="E135" i="6" s="1"/>
  <c r="E136" i="6" s="1"/>
  <c r="E137" i="6" s="1"/>
  <c r="E138" i="6" s="1"/>
  <c r="E139" i="6" s="1"/>
  <c r="AB138" i="6" s="1"/>
  <c r="AD138" i="6" s="1"/>
  <c r="G19" i="6"/>
  <c r="H19" i="6" s="1"/>
  <c r="J26" i="21"/>
  <c r="M26" i="21" l="1"/>
  <c r="F30" i="21"/>
  <c r="C27" i="21"/>
  <c r="G27" i="21"/>
  <c r="Y27" i="21" s="1"/>
  <c r="E28" i="21"/>
  <c r="AB20" i="6"/>
  <c r="AD20" i="6" s="1"/>
  <c r="AB21" i="6"/>
  <c r="AD21" i="6" s="1"/>
  <c r="AB22" i="6"/>
  <c r="AD22" i="6" s="1"/>
  <c r="AB26" i="6"/>
  <c r="AD26" i="6" s="1"/>
  <c r="AB33" i="6"/>
  <c r="AD33" i="6" s="1"/>
  <c r="AB34" i="6"/>
  <c r="AD34" i="6" s="1"/>
  <c r="AB23" i="6"/>
  <c r="AD23" i="6" s="1"/>
  <c r="AB32" i="6"/>
  <c r="AD32" i="6" s="1"/>
  <c r="AF32" i="6" s="1"/>
  <c r="AB45" i="6"/>
  <c r="AD45" i="6" s="1"/>
  <c r="AF45" i="6" s="1"/>
  <c r="AB57" i="6"/>
  <c r="AD57" i="6" s="1"/>
  <c r="AE57" i="6" s="1"/>
  <c r="AG57" i="6" s="1"/>
  <c r="AF138" i="6"/>
  <c r="AE138" i="6"/>
  <c r="AG138" i="6" s="1"/>
  <c r="AF20" i="6"/>
  <c r="AE20" i="6"/>
  <c r="AG20" i="6" s="1"/>
  <c r="AB44" i="6"/>
  <c r="AD44" i="6" s="1"/>
  <c r="AB56" i="6"/>
  <c r="AD56" i="6" s="1"/>
  <c r="AB68" i="6"/>
  <c r="AD68" i="6" s="1"/>
  <c r="AB80" i="6"/>
  <c r="AD80" i="6" s="1"/>
  <c r="AB92" i="6"/>
  <c r="AD92" i="6" s="1"/>
  <c r="AB104" i="6"/>
  <c r="AD104" i="6" s="1"/>
  <c r="AB116" i="6"/>
  <c r="AD116" i="6" s="1"/>
  <c r="AB128" i="6"/>
  <c r="AD128" i="6" s="1"/>
  <c r="AE34" i="6"/>
  <c r="AG34" i="6" s="1"/>
  <c r="AF34" i="6"/>
  <c r="AB82" i="6"/>
  <c r="AD82" i="6" s="1"/>
  <c r="AB130" i="6"/>
  <c r="AD130" i="6" s="1"/>
  <c r="AB93" i="6"/>
  <c r="AD93" i="6" s="1"/>
  <c r="AB129" i="6"/>
  <c r="AD129" i="6" s="1"/>
  <c r="AE22" i="6"/>
  <c r="AG22" i="6" s="1"/>
  <c r="AF22" i="6"/>
  <c r="AB46" i="6"/>
  <c r="AD46" i="6" s="1"/>
  <c r="AB58" i="6"/>
  <c r="AD58" i="6" s="1"/>
  <c r="AB70" i="6"/>
  <c r="AD70" i="6" s="1"/>
  <c r="AB94" i="6"/>
  <c r="AD94" i="6" s="1"/>
  <c r="AB106" i="6"/>
  <c r="AD106" i="6" s="1"/>
  <c r="AB118" i="6"/>
  <c r="AD118" i="6" s="1"/>
  <c r="AB35" i="6"/>
  <c r="AD35" i="6" s="1"/>
  <c r="AB59" i="6"/>
  <c r="AD59" i="6" s="1"/>
  <c r="AB71" i="6"/>
  <c r="AD71" i="6" s="1"/>
  <c r="AB95" i="6"/>
  <c r="AD95" i="6" s="1"/>
  <c r="AB107" i="6"/>
  <c r="AD107" i="6" s="1"/>
  <c r="AB131" i="6"/>
  <c r="AD131" i="6" s="1"/>
  <c r="AB24" i="6"/>
  <c r="AD24" i="6" s="1"/>
  <c r="AB36" i="6"/>
  <c r="AD36" i="6" s="1"/>
  <c r="AB48" i="6"/>
  <c r="AD48" i="6" s="1"/>
  <c r="AB60" i="6"/>
  <c r="AD60" i="6" s="1"/>
  <c r="AB72" i="6"/>
  <c r="AD72" i="6" s="1"/>
  <c r="AB84" i="6"/>
  <c r="AD84" i="6" s="1"/>
  <c r="AB96" i="6"/>
  <c r="AD96" i="6" s="1"/>
  <c r="AB108" i="6"/>
  <c r="AD108" i="6" s="1"/>
  <c r="AB120" i="6"/>
  <c r="AD120" i="6" s="1"/>
  <c r="AB132" i="6"/>
  <c r="AD132" i="6" s="1"/>
  <c r="AF21" i="6"/>
  <c r="AE21" i="6"/>
  <c r="AG21" i="6" s="1"/>
  <c r="AB69" i="6"/>
  <c r="AD69" i="6" s="1"/>
  <c r="AB117" i="6"/>
  <c r="AD117" i="6" s="1"/>
  <c r="AF23" i="6"/>
  <c r="AE23" i="6"/>
  <c r="AG23" i="6" s="1"/>
  <c r="AB47" i="6"/>
  <c r="AD47" i="6" s="1"/>
  <c r="AB83" i="6"/>
  <c r="AD83" i="6" s="1"/>
  <c r="AB119" i="6"/>
  <c r="AD119" i="6" s="1"/>
  <c r="AB25" i="6"/>
  <c r="AD25" i="6" s="1"/>
  <c r="AB37" i="6"/>
  <c r="AD37" i="6" s="1"/>
  <c r="AB49" i="6"/>
  <c r="AD49" i="6" s="1"/>
  <c r="AB61" i="6"/>
  <c r="AD61" i="6" s="1"/>
  <c r="AB73" i="6"/>
  <c r="AD73" i="6" s="1"/>
  <c r="AB85" i="6"/>
  <c r="AD85" i="6" s="1"/>
  <c r="AB97" i="6"/>
  <c r="AD97" i="6" s="1"/>
  <c r="AB109" i="6"/>
  <c r="AD109" i="6" s="1"/>
  <c r="AB121" i="6"/>
  <c r="AD121" i="6" s="1"/>
  <c r="AB133" i="6"/>
  <c r="AD133" i="6" s="1"/>
  <c r="AF33" i="6"/>
  <c r="AE33" i="6"/>
  <c r="AG33" i="6" s="1"/>
  <c r="AB81" i="6"/>
  <c r="AD81" i="6" s="1"/>
  <c r="AB105" i="6"/>
  <c r="AD105" i="6" s="1"/>
  <c r="AF26" i="6"/>
  <c r="AE26" i="6"/>
  <c r="AG26" i="6" s="1"/>
  <c r="AB38" i="6"/>
  <c r="AD38" i="6" s="1"/>
  <c r="AB50" i="6"/>
  <c r="AD50" i="6" s="1"/>
  <c r="AB62" i="6"/>
  <c r="AD62" i="6" s="1"/>
  <c r="AB74" i="6"/>
  <c r="AD74" i="6" s="1"/>
  <c r="AB86" i="6"/>
  <c r="AD86" i="6" s="1"/>
  <c r="AB98" i="6"/>
  <c r="AD98" i="6" s="1"/>
  <c r="AB110" i="6"/>
  <c r="AD110" i="6" s="1"/>
  <c r="AB122" i="6"/>
  <c r="AD122" i="6" s="1"/>
  <c r="AB134" i="6"/>
  <c r="AD134" i="6" s="1"/>
  <c r="AB27" i="6"/>
  <c r="AD27" i="6" s="1"/>
  <c r="AB39" i="6"/>
  <c r="AD39" i="6" s="1"/>
  <c r="AB51" i="6"/>
  <c r="AD51" i="6" s="1"/>
  <c r="AB63" i="6"/>
  <c r="AD63" i="6" s="1"/>
  <c r="AB75" i="6"/>
  <c r="AD75" i="6" s="1"/>
  <c r="AB87" i="6"/>
  <c r="AD87" i="6" s="1"/>
  <c r="AB99" i="6"/>
  <c r="AD99" i="6" s="1"/>
  <c r="AB111" i="6"/>
  <c r="AD111" i="6" s="1"/>
  <c r="AB123" i="6"/>
  <c r="AD123" i="6" s="1"/>
  <c r="AB135" i="6"/>
  <c r="AD135" i="6" s="1"/>
  <c r="AF57" i="6"/>
  <c r="AB28" i="6"/>
  <c r="AD28" i="6" s="1"/>
  <c r="AB40" i="6"/>
  <c r="AD40" i="6" s="1"/>
  <c r="AB52" i="6"/>
  <c r="AD52" i="6" s="1"/>
  <c r="AB64" i="6"/>
  <c r="AD64" i="6" s="1"/>
  <c r="AB76" i="6"/>
  <c r="AD76" i="6" s="1"/>
  <c r="AB88" i="6"/>
  <c r="AD88" i="6" s="1"/>
  <c r="AB100" i="6"/>
  <c r="AD100" i="6" s="1"/>
  <c r="AB112" i="6"/>
  <c r="AD112" i="6" s="1"/>
  <c r="AB124" i="6"/>
  <c r="AD124" i="6" s="1"/>
  <c r="AB136" i="6"/>
  <c r="AD136" i="6" s="1"/>
  <c r="AB29" i="6"/>
  <c r="AD29" i="6" s="1"/>
  <c r="AB41" i="6"/>
  <c r="AD41" i="6" s="1"/>
  <c r="AB53" i="6"/>
  <c r="AD53" i="6" s="1"/>
  <c r="AB65" i="6"/>
  <c r="AD65" i="6" s="1"/>
  <c r="AB77" i="6"/>
  <c r="AD77" i="6" s="1"/>
  <c r="AB89" i="6"/>
  <c r="AD89" i="6" s="1"/>
  <c r="AB101" i="6"/>
  <c r="AD101" i="6" s="1"/>
  <c r="AB113" i="6"/>
  <c r="AD113" i="6" s="1"/>
  <c r="AB125" i="6"/>
  <c r="AD125" i="6" s="1"/>
  <c r="AB137" i="6"/>
  <c r="AD137" i="6" s="1"/>
  <c r="AB30" i="6"/>
  <c r="AD30" i="6" s="1"/>
  <c r="AB42" i="6"/>
  <c r="AD42" i="6" s="1"/>
  <c r="AB54" i="6"/>
  <c r="AD54" i="6" s="1"/>
  <c r="AB66" i="6"/>
  <c r="AD66" i="6" s="1"/>
  <c r="AB78" i="6"/>
  <c r="AD78" i="6" s="1"/>
  <c r="AB90" i="6"/>
  <c r="AD90" i="6" s="1"/>
  <c r="AB102" i="6"/>
  <c r="AD102" i="6" s="1"/>
  <c r="AB114" i="6"/>
  <c r="AD114" i="6" s="1"/>
  <c r="AB126" i="6"/>
  <c r="AD126" i="6" s="1"/>
  <c r="AB19" i="6"/>
  <c r="AD19" i="6" s="1"/>
  <c r="AB31" i="6"/>
  <c r="AD31" i="6" s="1"/>
  <c r="AB43" i="6"/>
  <c r="AD43" i="6" s="1"/>
  <c r="AB55" i="6"/>
  <c r="AD55" i="6" s="1"/>
  <c r="AB67" i="6"/>
  <c r="AD67" i="6" s="1"/>
  <c r="AB79" i="6"/>
  <c r="AD79" i="6" s="1"/>
  <c r="AB91" i="6"/>
  <c r="AD91" i="6" s="1"/>
  <c r="AB103" i="6"/>
  <c r="AD103" i="6" s="1"/>
  <c r="AB115" i="6"/>
  <c r="AD115" i="6" s="1"/>
  <c r="AB127" i="6"/>
  <c r="AD127" i="6" s="1"/>
  <c r="H22" i="18"/>
  <c r="I22" i="18" s="1"/>
  <c r="G20" i="6"/>
  <c r="H20" i="6" s="1"/>
  <c r="AD18" i="6"/>
  <c r="AE18" i="6" s="1"/>
  <c r="G21" i="6"/>
  <c r="H21" i="6" s="1"/>
  <c r="E24" i="18"/>
  <c r="E142" i="18"/>
  <c r="H142" i="18" s="1"/>
  <c r="I142" i="18" s="1"/>
  <c r="O142" i="18"/>
  <c r="Y142" i="18"/>
  <c r="AB142" i="18" s="1"/>
  <c r="Y22" i="18"/>
  <c r="AB22" i="18" s="1"/>
  <c r="O22" i="18"/>
  <c r="O23" i="18" s="1"/>
  <c r="O24" i="18" s="1"/>
  <c r="O25" i="18" s="1"/>
  <c r="O26" i="18" s="1"/>
  <c r="O27" i="18" s="1"/>
  <c r="O28" i="18" s="1"/>
  <c r="O29" i="18" s="1"/>
  <c r="O30" i="18" s="1"/>
  <c r="O31" i="18" s="1"/>
  <c r="O32" i="18" s="1"/>
  <c r="O33" i="18" s="1"/>
  <c r="O34" i="18" s="1"/>
  <c r="O35" i="18" s="1"/>
  <c r="O36" i="18" s="1"/>
  <c r="O37" i="18" s="1"/>
  <c r="O38" i="18" s="1"/>
  <c r="O39" i="18" s="1"/>
  <c r="O40" i="18" s="1"/>
  <c r="O41" i="18" s="1"/>
  <c r="O42" i="18" s="1"/>
  <c r="O43" i="18" s="1"/>
  <c r="O44" i="18" s="1"/>
  <c r="O45" i="18" s="1"/>
  <c r="O46" i="18" s="1"/>
  <c r="O47" i="18" s="1"/>
  <c r="O48" i="18" s="1"/>
  <c r="O49" i="18" s="1"/>
  <c r="O50" i="18" s="1"/>
  <c r="O51" i="18" s="1"/>
  <c r="O52" i="18" s="1"/>
  <c r="O53" i="18" s="1"/>
  <c r="O54" i="18" s="1"/>
  <c r="O55" i="18" s="1"/>
  <c r="O56" i="18" s="1"/>
  <c r="O57" i="18" s="1"/>
  <c r="O58" i="18" s="1"/>
  <c r="O59" i="18" s="1"/>
  <c r="O60" i="18" s="1"/>
  <c r="O61" i="18" s="1"/>
  <c r="O62" i="18" s="1"/>
  <c r="O63" i="18" s="1"/>
  <c r="O64" i="18" s="1"/>
  <c r="O65" i="18" s="1"/>
  <c r="O66" i="18" s="1"/>
  <c r="O67" i="18" s="1"/>
  <c r="O68" i="18" s="1"/>
  <c r="O69" i="18" s="1"/>
  <c r="O70" i="18" s="1"/>
  <c r="O71" i="18" s="1"/>
  <c r="O72" i="18" s="1"/>
  <c r="O73" i="18" s="1"/>
  <c r="O74" i="18" s="1"/>
  <c r="O75" i="18" s="1"/>
  <c r="O76" i="18" s="1"/>
  <c r="O77" i="18" s="1"/>
  <c r="O78" i="18" s="1"/>
  <c r="O79" i="18" s="1"/>
  <c r="O80" i="18" s="1"/>
  <c r="O81" i="18" s="1"/>
  <c r="O82" i="18" s="1"/>
  <c r="O83" i="18" s="1"/>
  <c r="O84" i="18" s="1"/>
  <c r="O85" i="18" s="1"/>
  <c r="O86" i="18" s="1"/>
  <c r="O87" i="18" s="1"/>
  <c r="O88" i="18" s="1"/>
  <c r="O89" i="18" s="1"/>
  <c r="O90" i="18" s="1"/>
  <c r="O91" i="18" s="1"/>
  <c r="O92" i="18" s="1"/>
  <c r="O93" i="18" s="1"/>
  <c r="O94" i="18" s="1"/>
  <c r="O95" i="18" s="1"/>
  <c r="O96" i="18" s="1"/>
  <c r="O97" i="18" s="1"/>
  <c r="O98" i="18" s="1"/>
  <c r="O99" i="18" s="1"/>
  <c r="O100" i="18" s="1"/>
  <c r="O101" i="18" s="1"/>
  <c r="O102" i="18" s="1"/>
  <c r="O103" i="18" s="1"/>
  <c r="O104" i="18" s="1"/>
  <c r="O105" i="18" s="1"/>
  <c r="O106" i="18" s="1"/>
  <c r="O107" i="18" s="1"/>
  <c r="O108" i="18" s="1"/>
  <c r="O109" i="18" s="1"/>
  <c r="O110" i="18" s="1"/>
  <c r="O111" i="18" s="1"/>
  <c r="O112" i="18" s="1"/>
  <c r="O113" i="18" s="1"/>
  <c r="O114" i="18" s="1"/>
  <c r="O115" i="18" s="1"/>
  <c r="O116" i="18" s="1"/>
  <c r="O117" i="18" s="1"/>
  <c r="O118" i="18" s="1"/>
  <c r="O119" i="18" s="1"/>
  <c r="O120" i="18" s="1"/>
  <c r="O121" i="18" s="1"/>
  <c r="O122" i="18" s="1"/>
  <c r="O123" i="18" s="1"/>
  <c r="O124" i="18" s="1"/>
  <c r="O125" i="18" s="1"/>
  <c r="O126" i="18" s="1"/>
  <c r="O127" i="18" s="1"/>
  <c r="O128" i="18" s="1"/>
  <c r="O129" i="18" s="1"/>
  <c r="O130" i="18" s="1"/>
  <c r="O131" i="18" s="1"/>
  <c r="O132" i="18" s="1"/>
  <c r="O133" i="18" s="1"/>
  <c r="O134" i="18" s="1"/>
  <c r="O135" i="18" s="1"/>
  <c r="O136" i="18" s="1"/>
  <c r="O137" i="18" s="1"/>
  <c r="O138" i="18" s="1"/>
  <c r="O139" i="18" s="1"/>
  <c r="O140" i="18" s="1"/>
  <c r="O141" i="18" s="1"/>
  <c r="J27" i="21"/>
  <c r="Y23" i="18" l="1"/>
  <c r="M27" i="21"/>
  <c r="C28" i="21"/>
  <c r="G28" i="21"/>
  <c r="Y28" i="21" s="1"/>
  <c r="F31" i="21"/>
  <c r="E29" i="21"/>
  <c r="AE45" i="6"/>
  <c r="AG45" i="6" s="1"/>
  <c r="AE32" i="6"/>
  <c r="AG32" i="6" s="1"/>
  <c r="AF125" i="6"/>
  <c r="AE125" i="6"/>
  <c r="AG125" i="6" s="1"/>
  <c r="AF99" i="6"/>
  <c r="AE99" i="6"/>
  <c r="AG99" i="6" s="1"/>
  <c r="AF109" i="6"/>
  <c r="AE109" i="6"/>
  <c r="AG109" i="6" s="1"/>
  <c r="AF48" i="6"/>
  <c r="AE48" i="6"/>
  <c r="AG48" i="6" s="1"/>
  <c r="AE70" i="6"/>
  <c r="AG70" i="6" s="1"/>
  <c r="AF70" i="6"/>
  <c r="AE19" i="6"/>
  <c r="AG19" i="6" s="1"/>
  <c r="AF19" i="6"/>
  <c r="AE88" i="6"/>
  <c r="AG88" i="6" s="1"/>
  <c r="AF88" i="6"/>
  <c r="AF62" i="6"/>
  <c r="AE62" i="6"/>
  <c r="AG62" i="6" s="1"/>
  <c r="AF117" i="6"/>
  <c r="AE117" i="6"/>
  <c r="AG117" i="6" s="1"/>
  <c r="AF114" i="6"/>
  <c r="AE114" i="6"/>
  <c r="AG114" i="6" s="1"/>
  <c r="AF89" i="6"/>
  <c r="AE89" i="6"/>
  <c r="AG89" i="6" s="1"/>
  <c r="AE64" i="6"/>
  <c r="AG64" i="6" s="1"/>
  <c r="AF64" i="6"/>
  <c r="AF63" i="6"/>
  <c r="AE63" i="6"/>
  <c r="AG63" i="6" s="1"/>
  <c r="AF38" i="6"/>
  <c r="AE38" i="6"/>
  <c r="AG38" i="6" s="1"/>
  <c r="AE73" i="6"/>
  <c r="AG73" i="6" s="1"/>
  <c r="AF73" i="6"/>
  <c r="AF131" i="6"/>
  <c r="AE131" i="6"/>
  <c r="AG131" i="6" s="1"/>
  <c r="AF104" i="6"/>
  <c r="AE104" i="6"/>
  <c r="AG104" i="6" s="1"/>
  <c r="AF77" i="6"/>
  <c r="AE77" i="6"/>
  <c r="AG77" i="6" s="1"/>
  <c r="AF107" i="6"/>
  <c r="AE107" i="6"/>
  <c r="AG107" i="6" s="1"/>
  <c r="AE40" i="6"/>
  <c r="AG40" i="6" s="1"/>
  <c r="AF40" i="6"/>
  <c r="AF95" i="6"/>
  <c r="AE95" i="6"/>
  <c r="AG95" i="6" s="1"/>
  <c r="AF103" i="6"/>
  <c r="AE103" i="6"/>
  <c r="AG103" i="6" s="1"/>
  <c r="AF78" i="6"/>
  <c r="AE78" i="6"/>
  <c r="AG78" i="6" s="1"/>
  <c r="AF53" i="6"/>
  <c r="AE53" i="6"/>
  <c r="AG53" i="6" s="1"/>
  <c r="AE28" i="6"/>
  <c r="AG28" i="6" s="1"/>
  <c r="AF28" i="6"/>
  <c r="AF27" i="6"/>
  <c r="AE27" i="6"/>
  <c r="AG27" i="6" s="1"/>
  <c r="AF105" i="6"/>
  <c r="AE105" i="6"/>
  <c r="AG105" i="6" s="1"/>
  <c r="AE37" i="6"/>
  <c r="AG37" i="6" s="1"/>
  <c r="AF37" i="6"/>
  <c r="AF120" i="6"/>
  <c r="AE120" i="6"/>
  <c r="AG120" i="6" s="1"/>
  <c r="AF71" i="6"/>
  <c r="AE71" i="6"/>
  <c r="AG71" i="6" s="1"/>
  <c r="AF93" i="6"/>
  <c r="AE93" i="6"/>
  <c r="AG93" i="6" s="1"/>
  <c r="AF68" i="6"/>
  <c r="AE68" i="6"/>
  <c r="AG68" i="6" s="1"/>
  <c r="AE52" i="6"/>
  <c r="AG52" i="6" s="1"/>
  <c r="AF52" i="6"/>
  <c r="AF65" i="6"/>
  <c r="AE65" i="6"/>
  <c r="AG65" i="6" s="1"/>
  <c r="AF132" i="6"/>
  <c r="AE132" i="6"/>
  <c r="AG132" i="6" s="1"/>
  <c r="AF80" i="6"/>
  <c r="AE80" i="6"/>
  <c r="AG80" i="6" s="1"/>
  <c r="AF66" i="6"/>
  <c r="AE66" i="6"/>
  <c r="AG66" i="6" s="1"/>
  <c r="AF81" i="6"/>
  <c r="AE81" i="6"/>
  <c r="AG81" i="6" s="1"/>
  <c r="AF59" i="6"/>
  <c r="AE59" i="6"/>
  <c r="AG59" i="6" s="1"/>
  <c r="AF56" i="6"/>
  <c r="AE56" i="6"/>
  <c r="AG56" i="6" s="1"/>
  <c r="AE79" i="6"/>
  <c r="AG79" i="6" s="1"/>
  <c r="AF79" i="6"/>
  <c r="AF54" i="6"/>
  <c r="AE54" i="6"/>
  <c r="AG54" i="6" s="1"/>
  <c r="AF29" i="6"/>
  <c r="AE29" i="6"/>
  <c r="AG29" i="6" s="1"/>
  <c r="AF122" i="6"/>
  <c r="AE122" i="6"/>
  <c r="AG122" i="6" s="1"/>
  <c r="AF119" i="6"/>
  <c r="AE119" i="6"/>
  <c r="AG119" i="6" s="1"/>
  <c r="AF96" i="6"/>
  <c r="AE96" i="6"/>
  <c r="AG96" i="6" s="1"/>
  <c r="AF35" i="6"/>
  <c r="AE35" i="6"/>
  <c r="AG35" i="6" s="1"/>
  <c r="AF44" i="6"/>
  <c r="AE44" i="6"/>
  <c r="AG44" i="6" s="1"/>
  <c r="AF102" i="6"/>
  <c r="AE102" i="6"/>
  <c r="AG102" i="6" s="1"/>
  <c r="AE61" i="6"/>
  <c r="AG61" i="6" s="1"/>
  <c r="AF61" i="6"/>
  <c r="AF115" i="6"/>
  <c r="AE115" i="6"/>
  <c r="AG115" i="6" s="1"/>
  <c r="AF39" i="6"/>
  <c r="AE39" i="6"/>
  <c r="AG39" i="6" s="1"/>
  <c r="AE49" i="6"/>
  <c r="AG49" i="6" s="1"/>
  <c r="AF49" i="6"/>
  <c r="AF129" i="6"/>
  <c r="AE129" i="6"/>
  <c r="AG129" i="6" s="1"/>
  <c r="AE91" i="6"/>
  <c r="AG91" i="6" s="1"/>
  <c r="AF91" i="6"/>
  <c r="AF41" i="6"/>
  <c r="AE41" i="6"/>
  <c r="AG41" i="6" s="1"/>
  <c r="AF134" i="6"/>
  <c r="AE134" i="6"/>
  <c r="AG134" i="6" s="1"/>
  <c r="AE25" i="6"/>
  <c r="AG25" i="6" s="1"/>
  <c r="AF25" i="6"/>
  <c r="AF108" i="6"/>
  <c r="AE108" i="6"/>
  <c r="AG108" i="6" s="1"/>
  <c r="AE67" i="6"/>
  <c r="AG67" i="6" s="1"/>
  <c r="AF67" i="6"/>
  <c r="AF42" i="6"/>
  <c r="AE42" i="6"/>
  <c r="AG42" i="6" s="1"/>
  <c r="AF136" i="6"/>
  <c r="AE136" i="6"/>
  <c r="AG136" i="6" s="1"/>
  <c r="AF135" i="6"/>
  <c r="AE135" i="6"/>
  <c r="AG135" i="6" s="1"/>
  <c r="AF110" i="6"/>
  <c r="AE110" i="6"/>
  <c r="AG110" i="6" s="1"/>
  <c r="AF83" i="6"/>
  <c r="AE83" i="6"/>
  <c r="AG83" i="6" s="1"/>
  <c r="AF84" i="6"/>
  <c r="AE84" i="6"/>
  <c r="AG84" i="6" s="1"/>
  <c r="AF118" i="6"/>
  <c r="AE118" i="6"/>
  <c r="AG118" i="6" s="1"/>
  <c r="AF130" i="6"/>
  <c r="AE130" i="6"/>
  <c r="AG130" i="6" s="1"/>
  <c r="AE31" i="6"/>
  <c r="AG31" i="6" s="1"/>
  <c r="AF31" i="6"/>
  <c r="AF51" i="6"/>
  <c r="AE51" i="6"/>
  <c r="AG51" i="6" s="1"/>
  <c r="AF92" i="6"/>
  <c r="AE92" i="6"/>
  <c r="AG92" i="6" s="1"/>
  <c r="AE55" i="6"/>
  <c r="AG55" i="6" s="1"/>
  <c r="AF55" i="6"/>
  <c r="AF30" i="6"/>
  <c r="AE30" i="6"/>
  <c r="AG30" i="6" s="1"/>
  <c r="AF124" i="6"/>
  <c r="AE124" i="6"/>
  <c r="AG124" i="6" s="1"/>
  <c r="AF123" i="6"/>
  <c r="AE123" i="6"/>
  <c r="AG123" i="6" s="1"/>
  <c r="AF98" i="6"/>
  <c r="AE98" i="6"/>
  <c r="AG98" i="6" s="1"/>
  <c r="AF133" i="6"/>
  <c r="AE133" i="6"/>
  <c r="AG133" i="6" s="1"/>
  <c r="AF47" i="6"/>
  <c r="AE47" i="6"/>
  <c r="AG47" i="6" s="1"/>
  <c r="AF72" i="6"/>
  <c r="AE72" i="6"/>
  <c r="AG72" i="6" s="1"/>
  <c r="AF106" i="6"/>
  <c r="AE106" i="6"/>
  <c r="AG106" i="6" s="1"/>
  <c r="AE82" i="6"/>
  <c r="AG82" i="6" s="1"/>
  <c r="AF82" i="6"/>
  <c r="AF127" i="6"/>
  <c r="AE127" i="6"/>
  <c r="AG127" i="6" s="1"/>
  <c r="AF90" i="6"/>
  <c r="AE90" i="6"/>
  <c r="AG90" i="6" s="1"/>
  <c r="AE43" i="6"/>
  <c r="AG43" i="6" s="1"/>
  <c r="AF43" i="6"/>
  <c r="AF137" i="6"/>
  <c r="AE137" i="6"/>
  <c r="AG137" i="6" s="1"/>
  <c r="AF112" i="6"/>
  <c r="AE112" i="6"/>
  <c r="AG112" i="6" s="1"/>
  <c r="AF111" i="6"/>
  <c r="AE111" i="6"/>
  <c r="AG111" i="6" s="1"/>
  <c r="AF86" i="6"/>
  <c r="AE86" i="6"/>
  <c r="AG86" i="6" s="1"/>
  <c r="AF121" i="6"/>
  <c r="AE121" i="6"/>
  <c r="AG121" i="6" s="1"/>
  <c r="AF60" i="6"/>
  <c r="AE60" i="6"/>
  <c r="AG60" i="6" s="1"/>
  <c r="AE94" i="6"/>
  <c r="AG94" i="6" s="1"/>
  <c r="AF94" i="6"/>
  <c r="AF100" i="6"/>
  <c r="AE100" i="6"/>
  <c r="AG100" i="6" s="1"/>
  <c r="AF74" i="6"/>
  <c r="AE74" i="6"/>
  <c r="AG74" i="6" s="1"/>
  <c r="AF113" i="6"/>
  <c r="AE113" i="6"/>
  <c r="AG113" i="6" s="1"/>
  <c r="AF87" i="6"/>
  <c r="AE87" i="6"/>
  <c r="AG87" i="6" s="1"/>
  <c r="AF97" i="6"/>
  <c r="AE97" i="6"/>
  <c r="AG97" i="6" s="1"/>
  <c r="AF36" i="6"/>
  <c r="AE36" i="6"/>
  <c r="AG36" i="6" s="1"/>
  <c r="AE58" i="6"/>
  <c r="AG58" i="6" s="1"/>
  <c r="AF58" i="6"/>
  <c r="AF128" i="6"/>
  <c r="AE128" i="6"/>
  <c r="AG128" i="6" s="1"/>
  <c r="AF126" i="6"/>
  <c r="AE126" i="6"/>
  <c r="AG126" i="6" s="1"/>
  <c r="AF101" i="6"/>
  <c r="AE101" i="6"/>
  <c r="AG101" i="6" s="1"/>
  <c r="AE76" i="6"/>
  <c r="AG76" i="6" s="1"/>
  <c r="AF76" i="6"/>
  <c r="AF75" i="6"/>
  <c r="AE75" i="6"/>
  <c r="AG75" i="6" s="1"/>
  <c r="AF50" i="6"/>
  <c r="AE50" i="6"/>
  <c r="AG50" i="6" s="1"/>
  <c r="AE85" i="6"/>
  <c r="AG85" i="6" s="1"/>
  <c r="AF85" i="6"/>
  <c r="AF69" i="6"/>
  <c r="AE69" i="6"/>
  <c r="AG69" i="6" s="1"/>
  <c r="AF24" i="6"/>
  <c r="AE24" i="6"/>
  <c r="AG24" i="6" s="1"/>
  <c r="AE46" i="6"/>
  <c r="AG46" i="6" s="1"/>
  <c r="AF46" i="6"/>
  <c r="AF116" i="6"/>
  <c r="AE116" i="6"/>
  <c r="AG116" i="6" s="1"/>
  <c r="E25" i="18"/>
  <c r="H24" i="18"/>
  <c r="I24" i="18" s="1"/>
  <c r="G22" i="6"/>
  <c r="H22" i="6" s="1"/>
  <c r="J28" i="21"/>
  <c r="Y24" i="18" l="1"/>
  <c r="AB23" i="18"/>
  <c r="M28" i="21"/>
  <c r="G29" i="21"/>
  <c r="Y29" i="21" s="1"/>
  <c r="C29" i="21"/>
  <c r="E30" i="21"/>
  <c r="E31" i="21" s="1"/>
  <c r="F32" i="21"/>
  <c r="E26" i="18"/>
  <c r="H25" i="18"/>
  <c r="I25" i="18" s="1"/>
  <c r="G23" i="6"/>
  <c r="H23" i="6" s="1"/>
  <c r="O123" i="2"/>
  <c r="O122" i="2"/>
  <c r="O121" i="2"/>
  <c r="O120" i="2"/>
  <c r="O119" i="2"/>
  <c r="O118" i="2"/>
  <c r="O117" i="2"/>
  <c r="O116" i="2"/>
  <c r="O115" i="2"/>
  <c r="O114" i="2"/>
  <c r="O113" i="2"/>
  <c r="O111" i="2"/>
  <c r="O110" i="2"/>
  <c r="O109" i="2"/>
  <c r="O108" i="2"/>
  <c r="O107" i="2"/>
  <c r="O106" i="2"/>
  <c r="O105" i="2"/>
  <c r="O104" i="2"/>
  <c r="O103" i="2"/>
  <c r="O102" i="2"/>
  <c r="O101" i="2"/>
  <c r="O99" i="2"/>
  <c r="O98" i="2"/>
  <c r="O97" i="2"/>
  <c r="O96" i="2"/>
  <c r="O95" i="2"/>
  <c r="O94" i="2"/>
  <c r="O93" i="2"/>
  <c r="O92" i="2"/>
  <c r="O91" i="2"/>
  <c r="O90" i="2"/>
  <c r="O89" i="2"/>
  <c r="O87" i="2"/>
  <c r="O86" i="2"/>
  <c r="O85" i="2"/>
  <c r="O84" i="2"/>
  <c r="O83" i="2"/>
  <c r="O82" i="2"/>
  <c r="O81" i="2"/>
  <c r="O80" i="2"/>
  <c r="O79" i="2"/>
  <c r="O78" i="2"/>
  <c r="O77" i="2"/>
  <c r="O75" i="2"/>
  <c r="O74" i="2"/>
  <c r="O73" i="2"/>
  <c r="O72" i="2"/>
  <c r="O71" i="2"/>
  <c r="O70" i="2"/>
  <c r="O69" i="2"/>
  <c r="O68" i="2"/>
  <c r="O67" i="2"/>
  <c r="O66" i="2"/>
  <c r="O65" i="2"/>
  <c r="O63" i="2"/>
  <c r="O62" i="2"/>
  <c r="O61" i="2"/>
  <c r="O60" i="2"/>
  <c r="O59" i="2"/>
  <c r="O58" i="2"/>
  <c r="O57" i="2"/>
  <c r="O56" i="2"/>
  <c r="O55" i="2"/>
  <c r="O54" i="2"/>
  <c r="O53" i="2"/>
  <c r="O51" i="2"/>
  <c r="O50" i="2"/>
  <c r="O49" i="2"/>
  <c r="O48" i="2"/>
  <c r="O47" i="2"/>
  <c r="O46" i="2"/>
  <c r="O45" i="2"/>
  <c r="O44" i="2"/>
  <c r="O43" i="2"/>
  <c r="O42" i="2"/>
  <c r="O41" i="2"/>
  <c r="O39" i="2"/>
  <c r="O38" i="2"/>
  <c r="O37" i="2"/>
  <c r="O36" i="2"/>
  <c r="O35" i="2"/>
  <c r="O34" i="2"/>
  <c r="O33" i="2"/>
  <c r="O32" i="2"/>
  <c r="O31" i="2"/>
  <c r="O30" i="2"/>
  <c r="O29" i="2"/>
  <c r="O27" i="2"/>
  <c r="O26" i="2"/>
  <c r="O25" i="2"/>
  <c r="O24" i="2"/>
  <c r="O23" i="2"/>
  <c r="O22" i="2"/>
  <c r="O21" i="2"/>
  <c r="O20" i="2"/>
  <c r="O19" i="2"/>
  <c r="O18" i="2"/>
  <c r="O17" i="2"/>
  <c r="O15" i="2"/>
  <c r="O14" i="2"/>
  <c r="O13" i="2"/>
  <c r="O12" i="2"/>
  <c r="O11" i="2"/>
  <c r="O10" i="2"/>
  <c r="O9" i="2"/>
  <c r="O8" i="2"/>
  <c r="O7" i="2"/>
  <c r="O6" i="2"/>
  <c r="O5" i="2"/>
  <c r="J29" i="21"/>
  <c r="Y25" i="18" l="1"/>
  <c r="AB24" i="18"/>
  <c r="M29" i="21"/>
  <c r="E32" i="21"/>
  <c r="F33" i="21"/>
  <c r="C31" i="21"/>
  <c r="G31" i="21"/>
  <c r="Y31" i="21" s="1"/>
  <c r="G30" i="21"/>
  <c r="Y30" i="21" s="1"/>
  <c r="C30" i="21"/>
  <c r="E27" i="18"/>
  <c r="H26" i="18"/>
  <c r="I26" i="18" s="1"/>
  <c r="G24" i="6"/>
  <c r="H24" i="6" s="1"/>
  <c r="H3" i="2"/>
  <c r="J31" i="21"/>
  <c r="J30" i="21"/>
  <c r="Y26" i="18" l="1"/>
  <c r="AB25" i="18"/>
  <c r="M30" i="21"/>
  <c r="M31" i="21"/>
  <c r="E33" i="21"/>
  <c r="F34" i="21"/>
  <c r="G32" i="21"/>
  <c r="Y32" i="21" s="1"/>
  <c r="C32" i="21"/>
  <c r="E28" i="18"/>
  <c r="H27" i="18"/>
  <c r="I27" i="18" s="1"/>
  <c r="G25" i="6"/>
  <c r="H25" i="6" s="1"/>
  <c r="J4" i="2"/>
  <c r="O4" i="2" s="1"/>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E24" i="19"/>
  <c r="C24" i="19" s="1"/>
  <c r="J32" i="21"/>
  <c r="Y27" i="18" l="1"/>
  <c r="AB26" i="18"/>
  <c r="M32" i="21"/>
  <c r="G33" i="21"/>
  <c r="Y33" i="21" s="1"/>
  <c r="C33" i="21"/>
  <c r="F35" i="21"/>
  <c r="E34" i="21"/>
  <c r="E25" i="19"/>
  <c r="E29" i="18"/>
  <c r="H28" i="18"/>
  <c r="I28" i="18" s="1"/>
  <c r="G26" i="6"/>
  <c r="H26" i="6" s="1"/>
  <c r="J16" i="2"/>
  <c r="O16" i="2" s="1"/>
  <c r="M17" i="19"/>
  <c r="M13" i="20"/>
  <c r="N12" i="19"/>
  <c r="AC22" i="18"/>
  <c r="J22" i="18"/>
  <c r="R22" i="18"/>
  <c r="S22" i="18" s="1"/>
  <c r="J33" i="21"/>
  <c r="Y28" i="18" l="1"/>
  <c r="AB27" i="18"/>
  <c r="M33" i="21"/>
  <c r="G34" i="21"/>
  <c r="Y34" i="21" s="1"/>
  <c r="C34" i="21"/>
  <c r="E35" i="21"/>
  <c r="F36" i="21"/>
  <c r="M14" i="20"/>
  <c r="AM141" i="19"/>
  <c r="AM137" i="19"/>
  <c r="AM129" i="19"/>
  <c r="AM125" i="19"/>
  <c r="AM117" i="19"/>
  <c r="AM113" i="19"/>
  <c r="AM105" i="19"/>
  <c r="AM101" i="19"/>
  <c r="AM93" i="19"/>
  <c r="AM89" i="19"/>
  <c r="AM81" i="19"/>
  <c r="AM77" i="19"/>
  <c r="AM73" i="19"/>
  <c r="AM69" i="19"/>
  <c r="AM65" i="19"/>
  <c r="AM57" i="19"/>
  <c r="AM53" i="19"/>
  <c r="AM49" i="19"/>
  <c r="AM45" i="19"/>
  <c r="AM41" i="19"/>
  <c r="AM33" i="19"/>
  <c r="AM29" i="19"/>
  <c r="AM25" i="19"/>
  <c r="AM118" i="19"/>
  <c r="AM102" i="19"/>
  <c r="AM82" i="19"/>
  <c r="AM54" i="19"/>
  <c r="AM30" i="19"/>
  <c r="AL134" i="19"/>
  <c r="AL110" i="19"/>
  <c r="AL78" i="19"/>
  <c r="AL42" i="19"/>
  <c r="AK130" i="19"/>
  <c r="AK110" i="19"/>
  <c r="AK78" i="19"/>
  <c r="AK42" i="19"/>
  <c r="AL141" i="19"/>
  <c r="AL137" i="19"/>
  <c r="AL129" i="19"/>
  <c r="AL125" i="19"/>
  <c r="AL117" i="19"/>
  <c r="AL113" i="19"/>
  <c r="AL105" i="19"/>
  <c r="AL101" i="19"/>
  <c r="AL93" i="19"/>
  <c r="AL89" i="19"/>
  <c r="AL81" i="19"/>
  <c r="AL77" i="19"/>
  <c r="AL73" i="19"/>
  <c r="AL69" i="19"/>
  <c r="AL65" i="19"/>
  <c r="AL57" i="19"/>
  <c r="AL53" i="19"/>
  <c r="AL49" i="19"/>
  <c r="AL45" i="19"/>
  <c r="AL41" i="19"/>
  <c r="AL33" i="19"/>
  <c r="AL29" i="19"/>
  <c r="AL25" i="19"/>
  <c r="AM114" i="19"/>
  <c r="AM86" i="19"/>
  <c r="AM58" i="19"/>
  <c r="AM34" i="19"/>
  <c r="AL142" i="19"/>
  <c r="AL102" i="19"/>
  <c r="AL74" i="19"/>
  <c r="AL50" i="19"/>
  <c r="AK142" i="19"/>
  <c r="AK106" i="19"/>
  <c r="AK74" i="19"/>
  <c r="AK46" i="19"/>
  <c r="AK141" i="19"/>
  <c r="AK137" i="19"/>
  <c r="AK129" i="19"/>
  <c r="AK125" i="19"/>
  <c r="AK117" i="19"/>
  <c r="AK113" i="19"/>
  <c r="AK105" i="19"/>
  <c r="AK101" i="19"/>
  <c r="AK93" i="19"/>
  <c r="AK89" i="19"/>
  <c r="AK81" i="19"/>
  <c r="AK77" i="19"/>
  <c r="AK73" i="19"/>
  <c r="AK69" i="19"/>
  <c r="AK65" i="19"/>
  <c r="AK57" i="19"/>
  <c r="AK53" i="19"/>
  <c r="AK49" i="19"/>
  <c r="AK45" i="19"/>
  <c r="AK41" i="19"/>
  <c r="AK33" i="19"/>
  <c r="AK29" i="19"/>
  <c r="AK25" i="19"/>
  <c r="AM48" i="19"/>
  <c r="AM40" i="19"/>
  <c r="AM32" i="19"/>
  <c r="AK103" i="19"/>
  <c r="AK71" i="19"/>
  <c r="AK47" i="19"/>
  <c r="AM138" i="19"/>
  <c r="AM110" i="19"/>
  <c r="AM70" i="19"/>
  <c r="AM42" i="19"/>
  <c r="AL138" i="19"/>
  <c r="AL114" i="19"/>
  <c r="AL86" i="19"/>
  <c r="AL54" i="19"/>
  <c r="AK122" i="19"/>
  <c r="AK90" i="19"/>
  <c r="AK58" i="19"/>
  <c r="AK26" i="19"/>
  <c r="AM144" i="19"/>
  <c r="AM140" i="19"/>
  <c r="AM136" i="19"/>
  <c r="AM132" i="19"/>
  <c r="AM128" i="19"/>
  <c r="AM124" i="19"/>
  <c r="AM120" i="19"/>
  <c r="AM116" i="19"/>
  <c r="AM112" i="19"/>
  <c r="AM108" i="19"/>
  <c r="AM104" i="19"/>
  <c r="AM100" i="19"/>
  <c r="AM96" i="19"/>
  <c r="AM92" i="19"/>
  <c r="AM88" i="19"/>
  <c r="AM84" i="19"/>
  <c r="AM80" i="19"/>
  <c r="AM76" i="19"/>
  <c r="AM72" i="19"/>
  <c r="AM68" i="19"/>
  <c r="AM64" i="19"/>
  <c r="AM60" i="19"/>
  <c r="AM56" i="19"/>
  <c r="AM52" i="19"/>
  <c r="AM44" i="19"/>
  <c r="AM36" i="19"/>
  <c r="AM28" i="19"/>
  <c r="AK87" i="19"/>
  <c r="AK51" i="19"/>
  <c r="AM130" i="19"/>
  <c r="AL82" i="19"/>
  <c r="AL46" i="19"/>
  <c r="AK138" i="19"/>
  <c r="AK98" i="19"/>
  <c r="AK50" i="19"/>
  <c r="AL144" i="19"/>
  <c r="AL140" i="19"/>
  <c r="AL136" i="19"/>
  <c r="AL132" i="19"/>
  <c r="AL128" i="19"/>
  <c r="AL124" i="19"/>
  <c r="AL120" i="19"/>
  <c r="AL116" i="19"/>
  <c r="AL112" i="19"/>
  <c r="AL108" i="19"/>
  <c r="AL104" i="19"/>
  <c r="AL100" i="19"/>
  <c r="AL96" i="19"/>
  <c r="AL92" i="19"/>
  <c r="AL88" i="19"/>
  <c r="AL84" i="19"/>
  <c r="AL80" i="19"/>
  <c r="AL76" i="19"/>
  <c r="AL72" i="19"/>
  <c r="AL68" i="19"/>
  <c r="AL64" i="19"/>
  <c r="AL60" i="19"/>
  <c r="AL56" i="19"/>
  <c r="AL52" i="19"/>
  <c r="AL48" i="19"/>
  <c r="AL44" i="19"/>
  <c r="AL40" i="19"/>
  <c r="AL36" i="19"/>
  <c r="AL32" i="19"/>
  <c r="AL28" i="19"/>
  <c r="AK135" i="19"/>
  <c r="AK111" i="19"/>
  <c r="AK95" i="19"/>
  <c r="AK79" i="19"/>
  <c r="AK59" i="19"/>
  <c r="AK39" i="19"/>
  <c r="AM134" i="19"/>
  <c r="AM66" i="19"/>
  <c r="AL122" i="19"/>
  <c r="AL94" i="19"/>
  <c r="AL70" i="19"/>
  <c r="AL38" i="19"/>
  <c r="AK134" i="19"/>
  <c r="AK102" i="19"/>
  <c r="AK70" i="19"/>
  <c r="AK38" i="19"/>
  <c r="AK144" i="19"/>
  <c r="AK140" i="19"/>
  <c r="AK136" i="19"/>
  <c r="AK132" i="19"/>
  <c r="AK128" i="19"/>
  <c r="AK124" i="19"/>
  <c r="AK120" i="19"/>
  <c r="AK116" i="19"/>
  <c r="AK112" i="19"/>
  <c r="AK108" i="19"/>
  <c r="AK104" i="19"/>
  <c r="AK100" i="19"/>
  <c r="AK96" i="19"/>
  <c r="AK92" i="19"/>
  <c r="AK88" i="19"/>
  <c r="AK84" i="19"/>
  <c r="AK80" i="19"/>
  <c r="AK76" i="19"/>
  <c r="AK72" i="19"/>
  <c r="AK68" i="19"/>
  <c r="AK64" i="19"/>
  <c r="AK60" i="19"/>
  <c r="AK56" i="19"/>
  <c r="AK52" i="19"/>
  <c r="AK48" i="19"/>
  <c r="AK44" i="19"/>
  <c r="AK40" i="19"/>
  <c r="AK36" i="19"/>
  <c r="AK32" i="19"/>
  <c r="AK28" i="19"/>
  <c r="AK139" i="19"/>
  <c r="AK127" i="19"/>
  <c r="AK115" i="19"/>
  <c r="AK99" i="19"/>
  <c r="AK83" i="19"/>
  <c r="AK63" i="19"/>
  <c r="AK43" i="19"/>
  <c r="AK27" i="19"/>
  <c r="AM122" i="19"/>
  <c r="AM94" i="19"/>
  <c r="AM90" i="19"/>
  <c r="AM62" i="19"/>
  <c r="AM38" i="19"/>
  <c r="AL130" i="19"/>
  <c r="AL106" i="19"/>
  <c r="AL58" i="19"/>
  <c r="AL26" i="19"/>
  <c r="AK114" i="19"/>
  <c r="AK86" i="19"/>
  <c r="AK62" i="19"/>
  <c r="AM143" i="19"/>
  <c r="AM139" i="19"/>
  <c r="AM135" i="19"/>
  <c r="AM131" i="19"/>
  <c r="AM127" i="19"/>
  <c r="AM123" i="19"/>
  <c r="AM119" i="19"/>
  <c r="AM115" i="19"/>
  <c r="AM111" i="19"/>
  <c r="AM107" i="19"/>
  <c r="AM103" i="19"/>
  <c r="AM99" i="19"/>
  <c r="AM95" i="19"/>
  <c r="AM91" i="19"/>
  <c r="AM87" i="19"/>
  <c r="AM83" i="19"/>
  <c r="AM79" i="19"/>
  <c r="AM75" i="19"/>
  <c r="AM71" i="19"/>
  <c r="AM67" i="19"/>
  <c r="AM63" i="19"/>
  <c r="AM59" i="19"/>
  <c r="AM55" i="19"/>
  <c r="AM51" i="19"/>
  <c r="AM47" i="19"/>
  <c r="AM43" i="19"/>
  <c r="AM39" i="19"/>
  <c r="AM35" i="19"/>
  <c r="AM31" i="19"/>
  <c r="AM27" i="19"/>
  <c r="AK67" i="19"/>
  <c r="AK35" i="19"/>
  <c r="AM126" i="19"/>
  <c r="AM98" i="19"/>
  <c r="AM78" i="19"/>
  <c r="AM50" i="19"/>
  <c r="AM26" i="19"/>
  <c r="AL118" i="19"/>
  <c r="AL90" i="19"/>
  <c r="AL62" i="19"/>
  <c r="AL34" i="19"/>
  <c r="AK126" i="19"/>
  <c r="AK82" i="19"/>
  <c r="AK54" i="19"/>
  <c r="AL143" i="19"/>
  <c r="AL139" i="19"/>
  <c r="AL135" i="19"/>
  <c r="AL131" i="19"/>
  <c r="AL127" i="19"/>
  <c r="AL123" i="19"/>
  <c r="AL119" i="19"/>
  <c r="AL115" i="19"/>
  <c r="AL111" i="19"/>
  <c r="AL107" i="19"/>
  <c r="AL103" i="19"/>
  <c r="AL99" i="19"/>
  <c r="AL95" i="19"/>
  <c r="AL91" i="19"/>
  <c r="AL87" i="19"/>
  <c r="AL83" i="19"/>
  <c r="AL79" i="19"/>
  <c r="AL75" i="19"/>
  <c r="AL71" i="19"/>
  <c r="AL67" i="19"/>
  <c r="AL63" i="19"/>
  <c r="AL59" i="19"/>
  <c r="AL55" i="19"/>
  <c r="AL51" i="19"/>
  <c r="AL47" i="19"/>
  <c r="AL43" i="19"/>
  <c r="AL39" i="19"/>
  <c r="AL35" i="19"/>
  <c r="AL31" i="19"/>
  <c r="AL27" i="19"/>
  <c r="AK143" i="19"/>
  <c r="AK131" i="19"/>
  <c r="AK123" i="19"/>
  <c r="AK119" i="19"/>
  <c r="AK107" i="19"/>
  <c r="AK91" i="19"/>
  <c r="AK75" i="19"/>
  <c r="AK55" i="19"/>
  <c r="AK31" i="19"/>
  <c r="AM142" i="19"/>
  <c r="AM106" i="19"/>
  <c r="AM74" i="19"/>
  <c r="AM46" i="19"/>
  <c r="AL126" i="19"/>
  <c r="AL98" i="19"/>
  <c r="AL66" i="19"/>
  <c r="AL30" i="19"/>
  <c r="AK118" i="19"/>
  <c r="AK94" i="19"/>
  <c r="AK66" i="19"/>
  <c r="AK30" i="19"/>
  <c r="AK34" i="19"/>
  <c r="I24" i="19"/>
  <c r="H145" i="19"/>
  <c r="C25" i="19"/>
  <c r="G25" i="19"/>
  <c r="E30" i="18"/>
  <c r="H29" i="18"/>
  <c r="I29" i="18" s="1"/>
  <c r="G27" i="6"/>
  <c r="H27" i="6" s="1"/>
  <c r="J28" i="2"/>
  <c r="O28" i="2" s="1"/>
  <c r="N16" i="19"/>
  <c r="G11" i="20"/>
  <c r="K22" i="18"/>
  <c r="L22" i="18" s="1"/>
  <c r="AD23" i="18"/>
  <c r="R23" i="18"/>
  <c r="S23" i="18" s="1"/>
  <c r="U23" i="18" s="1"/>
  <c r="R24" i="18"/>
  <c r="F26" i="19"/>
  <c r="F27" i="19" s="1"/>
  <c r="AD22" i="18"/>
  <c r="AE22" i="18"/>
  <c r="U22" i="18"/>
  <c r="T22" i="18"/>
  <c r="J34" i="21"/>
  <c r="J25" i="19"/>
  <c r="M25" i="19" l="1"/>
  <c r="O25" i="19" s="1"/>
  <c r="Y29" i="18"/>
  <c r="AB28" i="18"/>
  <c r="AF22" i="18"/>
  <c r="Y25" i="19"/>
  <c r="M34" i="21"/>
  <c r="E36" i="21"/>
  <c r="F37" i="21"/>
  <c r="C35" i="21"/>
  <c r="G35" i="21"/>
  <c r="Y35" i="21" s="1"/>
  <c r="E31" i="18"/>
  <c r="H30" i="18"/>
  <c r="I30" i="18" s="1"/>
  <c r="G28" i="6"/>
  <c r="H28" i="6" s="1"/>
  <c r="J40" i="2"/>
  <c r="O40" i="2" s="1"/>
  <c r="T23" i="18"/>
  <c r="V23" i="18" s="1"/>
  <c r="AC23" i="18"/>
  <c r="AE23" i="18" s="1"/>
  <c r="AF23" i="18" s="1"/>
  <c r="F28" i="19"/>
  <c r="E26" i="19"/>
  <c r="S24" i="18"/>
  <c r="U24" i="18" s="1"/>
  <c r="T24" i="18"/>
  <c r="R25" i="18"/>
  <c r="AD24" i="18"/>
  <c r="AC24" i="18"/>
  <c r="AE24" i="18" s="1"/>
  <c r="V22" i="18"/>
  <c r="J35" i="21"/>
  <c r="AF24" i="18" l="1"/>
  <c r="Y30" i="18"/>
  <c r="AB29" i="18"/>
  <c r="M35" i="21"/>
  <c r="G36" i="21"/>
  <c r="Y36" i="21" s="1"/>
  <c r="C36" i="21"/>
  <c r="F38" i="21"/>
  <c r="E37" i="21"/>
  <c r="C26" i="19"/>
  <c r="G26" i="19"/>
  <c r="Y26" i="19" s="1"/>
  <c r="E32" i="18"/>
  <c r="H31" i="18"/>
  <c r="I31" i="18" s="1"/>
  <c r="G29" i="6"/>
  <c r="H29" i="6" s="1"/>
  <c r="J52" i="2"/>
  <c r="O52" i="2" s="1"/>
  <c r="V24" i="18"/>
  <c r="AC25" i="18"/>
  <c r="AE25" i="18" s="1"/>
  <c r="AD25" i="18"/>
  <c r="T25" i="18"/>
  <c r="S25" i="18"/>
  <c r="U25" i="18" s="1"/>
  <c r="R26" i="18"/>
  <c r="F29" i="19"/>
  <c r="E27" i="19"/>
  <c r="J36" i="21"/>
  <c r="J26" i="19"/>
  <c r="M26" i="19" l="1"/>
  <c r="O26" i="19" s="1"/>
  <c r="Y31" i="18"/>
  <c r="AB30" i="18"/>
  <c r="AF25" i="18"/>
  <c r="M36" i="21"/>
  <c r="F39" i="21"/>
  <c r="E38" i="21"/>
  <c r="G37" i="21"/>
  <c r="Y37" i="21" s="1"/>
  <c r="C37" i="21"/>
  <c r="C27" i="19"/>
  <c r="G27" i="19"/>
  <c r="Y27" i="19" s="1"/>
  <c r="E33" i="18"/>
  <c r="H32" i="18"/>
  <c r="I32" i="18" s="1"/>
  <c r="G30" i="6"/>
  <c r="H30" i="6" s="1"/>
  <c r="J64" i="2"/>
  <c r="O64" i="2" s="1"/>
  <c r="E28" i="19"/>
  <c r="R27" i="18"/>
  <c r="V25" i="18"/>
  <c r="T26" i="18"/>
  <c r="S26" i="18"/>
  <c r="U26" i="18" s="1"/>
  <c r="AD26" i="18"/>
  <c r="AC26" i="18"/>
  <c r="AE26" i="18" s="1"/>
  <c r="F30" i="19"/>
  <c r="J37" i="21"/>
  <c r="J27" i="19"/>
  <c r="M27" i="19" l="1"/>
  <c r="O27" i="19" s="1"/>
  <c r="AF26" i="18"/>
  <c r="Y32" i="18"/>
  <c r="AB31" i="18"/>
  <c r="M37" i="21"/>
  <c r="G38" i="21"/>
  <c r="Y38" i="21" s="1"/>
  <c r="C38" i="21"/>
  <c r="E39" i="21"/>
  <c r="F40" i="21"/>
  <c r="C28" i="19"/>
  <c r="G28" i="19"/>
  <c r="Y28" i="19" s="1"/>
  <c r="E34" i="18"/>
  <c r="H33" i="18"/>
  <c r="I33" i="18" s="1"/>
  <c r="G31" i="6"/>
  <c r="H31" i="6" s="1"/>
  <c r="J76" i="2"/>
  <c r="O76" i="2" s="1"/>
  <c r="E29" i="19"/>
  <c r="V26" i="18"/>
  <c r="S27" i="18"/>
  <c r="U27" i="18" s="1"/>
  <c r="T27" i="18"/>
  <c r="R28" i="18"/>
  <c r="AD27" i="18"/>
  <c r="AC27" i="18"/>
  <c r="AE27" i="18" s="1"/>
  <c r="F31" i="19"/>
  <c r="J38" i="21"/>
  <c r="J28" i="19"/>
  <c r="M28" i="19" l="1"/>
  <c r="O28" i="19" s="1"/>
  <c r="AF27" i="18"/>
  <c r="Y33" i="18"/>
  <c r="AB32" i="18"/>
  <c r="M38" i="21"/>
  <c r="F41" i="21"/>
  <c r="E40" i="21"/>
  <c r="C39" i="21"/>
  <c r="G39" i="21"/>
  <c r="Y39" i="21" s="1"/>
  <c r="C29" i="19"/>
  <c r="G29" i="19"/>
  <c r="Y29" i="19" s="1"/>
  <c r="E35" i="18"/>
  <c r="H34" i="18"/>
  <c r="I34" i="18" s="1"/>
  <c r="G32" i="6"/>
  <c r="H32" i="6" s="1"/>
  <c r="J88" i="2"/>
  <c r="O88" i="2" s="1"/>
  <c r="E30" i="19"/>
  <c r="AD28" i="18"/>
  <c r="AC28" i="18"/>
  <c r="AE28" i="18" s="1"/>
  <c r="F32" i="19"/>
  <c r="R29" i="18"/>
  <c r="T28" i="18"/>
  <c r="S28" i="18"/>
  <c r="U28" i="18" s="1"/>
  <c r="V27" i="18"/>
  <c r="J39" i="21"/>
  <c r="J29" i="19"/>
  <c r="M29" i="19" l="1"/>
  <c r="O29" i="19" s="1"/>
  <c r="Y34" i="18"/>
  <c r="AB33" i="18"/>
  <c r="AF28" i="18"/>
  <c r="M39" i="21"/>
  <c r="E41" i="21"/>
  <c r="F42" i="21"/>
  <c r="C40" i="21"/>
  <c r="G40" i="21"/>
  <c r="Y40" i="21" s="1"/>
  <c r="C30" i="19"/>
  <c r="G30" i="19"/>
  <c r="Y30" i="19" s="1"/>
  <c r="E36" i="18"/>
  <c r="H35" i="18"/>
  <c r="I35" i="18" s="1"/>
  <c r="G33" i="6"/>
  <c r="H33" i="6" s="1"/>
  <c r="J100" i="2"/>
  <c r="O100" i="2" s="1"/>
  <c r="E31" i="19"/>
  <c r="T29" i="18"/>
  <c r="S29" i="18"/>
  <c r="U29" i="18" s="1"/>
  <c r="F33" i="19"/>
  <c r="AD29" i="18"/>
  <c r="AC29" i="18"/>
  <c r="AE29" i="18" s="1"/>
  <c r="R30" i="18"/>
  <c r="V28" i="18"/>
  <c r="J40" i="21"/>
  <c r="J30" i="19"/>
  <c r="M30" i="19" l="1"/>
  <c r="O30" i="19" s="1"/>
  <c r="AF29" i="18"/>
  <c r="Y35" i="18"/>
  <c r="AB34" i="18"/>
  <c r="M40" i="21"/>
  <c r="G41" i="21"/>
  <c r="Y41" i="21" s="1"/>
  <c r="C41" i="21"/>
  <c r="F43" i="21"/>
  <c r="E42" i="21"/>
  <c r="C31" i="19"/>
  <c r="G31" i="19"/>
  <c r="Y31" i="19" s="1"/>
  <c r="E37" i="18"/>
  <c r="H36" i="18"/>
  <c r="I36" i="18" s="1"/>
  <c r="G34" i="6"/>
  <c r="H34" i="6" s="1"/>
  <c r="J112" i="2"/>
  <c r="O112" i="2" s="1"/>
  <c r="E32" i="19"/>
  <c r="AD30" i="18"/>
  <c r="AC30" i="18"/>
  <c r="AE30" i="18" s="1"/>
  <c r="R31" i="18"/>
  <c r="F34" i="19"/>
  <c r="T30" i="18"/>
  <c r="S30" i="18"/>
  <c r="U30" i="18" s="1"/>
  <c r="V29" i="18"/>
  <c r="J41" i="21"/>
  <c r="J31" i="19"/>
  <c r="M31" i="19" l="1"/>
  <c r="O31" i="19" s="1"/>
  <c r="AF30" i="18"/>
  <c r="Y36" i="18"/>
  <c r="AB35" i="18"/>
  <c r="M41" i="21"/>
  <c r="G42" i="21"/>
  <c r="Y42" i="21" s="1"/>
  <c r="C42" i="21"/>
  <c r="F44" i="21"/>
  <c r="E43" i="21"/>
  <c r="C32" i="19"/>
  <c r="G32" i="19"/>
  <c r="Y32" i="19" s="1"/>
  <c r="E38" i="18"/>
  <c r="H37" i="18"/>
  <c r="I37" i="18" s="1"/>
  <c r="G35" i="6"/>
  <c r="H35" i="6" s="1"/>
  <c r="J124" i="2"/>
  <c r="O124" i="2" s="1"/>
  <c r="V30" i="18"/>
  <c r="E33" i="19"/>
  <c r="T31" i="18"/>
  <c r="S31" i="18"/>
  <c r="U31" i="18" s="1"/>
  <c r="R32" i="18"/>
  <c r="AD31" i="18"/>
  <c r="AC31" i="18"/>
  <c r="AE31" i="18" s="1"/>
  <c r="F35" i="19"/>
  <c r="J42" i="21"/>
  <c r="J32" i="19"/>
  <c r="M32" i="19" l="1"/>
  <c r="O32" i="19" s="1"/>
  <c r="Y37" i="18"/>
  <c r="AB36" i="18"/>
  <c r="AF31" i="18"/>
  <c r="M42" i="21"/>
  <c r="G43" i="21"/>
  <c r="Y43" i="21" s="1"/>
  <c r="C43" i="21"/>
  <c r="E44" i="21"/>
  <c r="F45" i="21"/>
  <c r="C33" i="19"/>
  <c r="G33" i="19"/>
  <c r="Y33" i="19" s="1"/>
  <c r="E39" i="18"/>
  <c r="H38" i="18"/>
  <c r="I38" i="18" s="1"/>
  <c r="G36" i="6"/>
  <c r="H36" i="6" s="1"/>
  <c r="E34" i="19"/>
  <c r="F36" i="19"/>
  <c r="T32" i="18"/>
  <c r="S32" i="18"/>
  <c r="U32" i="18" s="1"/>
  <c r="R33" i="18"/>
  <c r="AD32" i="18"/>
  <c r="AC32" i="18"/>
  <c r="AE32" i="18" s="1"/>
  <c r="V31" i="18"/>
  <c r="J43" i="21"/>
  <c r="J33" i="19"/>
  <c r="M33" i="19" l="1"/>
  <c r="O33" i="19" s="1"/>
  <c r="Y38" i="18"/>
  <c r="AB37" i="18"/>
  <c r="AF32" i="18"/>
  <c r="M43" i="21"/>
  <c r="E45" i="21"/>
  <c r="F46" i="21"/>
  <c r="G44" i="21"/>
  <c r="Y44" i="21" s="1"/>
  <c r="C44" i="21"/>
  <c r="C34" i="19"/>
  <c r="G34" i="19"/>
  <c r="Y34" i="19" s="1"/>
  <c r="E40" i="18"/>
  <c r="H39" i="18"/>
  <c r="I39" i="18" s="1"/>
  <c r="G37" i="6"/>
  <c r="H37" i="6" s="1"/>
  <c r="E35" i="19"/>
  <c r="V32" i="18"/>
  <c r="R34" i="18"/>
  <c r="T33" i="18"/>
  <c r="S33" i="18"/>
  <c r="U33" i="18" s="1"/>
  <c r="AD33" i="18"/>
  <c r="AC33" i="18"/>
  <c r="AE33" i="18" s="1"/>
  <c r="F37" i="19"/>
  <c r="J44" i="21"/>
  <c r="J34" i="19"/>
  <c r="M34" i="19" l="1"/>
  <c r="O34" i="19" s="1"/>
  <c r="Y39" i="18"/>
  <c r="AB38" i="18"/>
  <c r="AF33" i="18"/>
  <c r="M44" i="21"/>
  <c r="F47" i="21"/>
  <c r="E46" i="21"/>
  <c r="C45" i="21"/>
  <c r="G45" i="21"/>
  <c r="Y45" i="21" s="1"/>
  <c r="C35" i="19"/>
  <c r="G35" i="19"/>
  <c r="Y35" i="19" s="1"/>
  <c r="E41" i="18"/>
  <c r="H40" i="18"/>
  <c r="I40" i="18" s="1"/>
  <c r="G38" i="6"/>
  <c r="H38" i="6" s="1"/>
  <c r="E36" i="19"/>
  <c r="AD34" i="18"/>
  <c r="AC34" i="18"/>
  <c r="AE34" i="18" s="1"/>
  <c r="V33" i="18"/>
  <c r="T34" i="18"/>
  <c r="S34" i="18"/>
  <c r="U34" i="18" s="1"/>
  <c r="R35" i="18"/>
  <c r="F38" i="19"/>
  <c r="J45" i="21"/>
  <c r="J35" i="19"/>
  <c r="M35" i="19" l="1"/>
  <c r="O35" i="19" s="1"/>
  <c r="Y40" i="18"/>
  <c r="AB39" i="18"/>
  <c r="AF34" i="18"/>
  <c r="M45" i="21"/>
  <c r="E47" i="21"/>
  <c r="F48" i="21"/>
  <c r="G46" i="21"/>
  <c r="Y46" i="21" s="1"/>
  <c r="C46" i="21"/>
  <c r="C36" i="19"/>
  <c r="G36" i="19"/>
  <c r="Y36" i="19" s="1"/>
  <c r="E42" i="18"/>
  <c r="H41" i="18"/>
  <c r="I41" i="18" s="1"/>
  <c r="G39" i="6"/>
  <c r="H39" i="6" s="1"/>
  <c r="V34" i="18"/>
  <c r="E37" i="19"/>
  <c r="R36" i="18"/>
  <c r="S35" i="18"/>
  <c r="U35" i="18" s="1"/>
  <c r="T35" i="18"/>
  <c r="AD35" i="18"/>
  <c r="AC35" i="18"/>
  <c r="AE35" i="18" s="1"/>
  <c r="F39" i="19"/>
  <c r="J36" i="19"/>
  <c r="J46" i="21"/>
  <c r="M36" i="19" l="1"/>
  <c r="O36" i="19" s="1"/>
  <c r="Y41" i="18"/>
  <c r="AB40" i="18"/>
  <c r="AF35" i="18"/>
  <c r="M46" i="21"/>
  <c r="F49" i="21"/>
  <c r="E48" i="21"/>
  <c r="C47" i="21"/>
  <c r="G47" i="21"/>
  <c r="Y47" i="21" s="1"/>
  <c r="C37" i="19"/>
  <c r="G37" i="19"/>
  <c r="Y37" i="19" s="1"/>
  <c r="E43" i="18"/>
  <c r="H42" i="18"/>
  <c r="I42" i="18" s="1"/>
  <c r="G40" i="6"/>
  <c r="H40" i="6" s="1"/>
  <c r="E38" i="19"/>
  <c r="V35" i="18"/>
  <c r="AC36" i="18"/>
  <c r="AE36" i="18" s="1"/>
  <c r="AD36" i="18"/>
  <c r="AF36" i="18" s="1"/>
  <c r="F40" i="19"/>
  <c r="S36" i="18"/>
  <c r="U36" i="18" s="1"/>
  <c r="T36" i="18"/>
  <c r="R37" i="18"/>
  <c r="J37" i="19"/>
  <c r="J47" i="21"/>
  <c r="M37" i="19" l="1"/>
  <c r="O37" i="19" s="1"/>
  <c r="Y42" i="18"/>
  <c r="AB41" i="18"/>
  <c r="M47" i="21"/>
  <c r="F50" i="21"/>
  <c r="E49" i="21"/>
  <c r="G48" i="21"/>
  <c r="Y48" i="21" s="1"/>
  <c r="C48" i="21"/>
  <c r="C38" i="19"/>
  <c r="G38" i="19"/>
  <c r="Y38" i="19" s="1"/>
  <c r="E44" i="18"/>
  <c r="H43" i="18"/>
  <c r="I43" i="18" s="1"/>
  <c r="G41" i="6"/>
  <c r="H41" i="6" s="1"/>
  <c r="E39" i="19"/>
  <c r="V36" i="18"/>
  <c r="F41" i="19"/>
  <c r="AC37" i="18"/>
  <c r="AE37" i="18" s="1"/>
  <c r="AD37" i="18"/>
  <c r="R38" i="18"/>
  <c r="T37" i="18"/>
  <c r="S37" i="18"/>
  <c r="U37" i="18" s="1"/>
  <c r="J38" i="19"/>
  <c r="J48" i="21"/>
  <c r="M38" i="19" l="1"/>
  <c r="O38" i="19" s="1"/>
  <c r="AF37" i="18"/>
  <c r="Y43" i="18"/>
  <c r="AB42" i="18"/>
  <c r="M48" i="21"/>
  <c r="G49" i="21"/>
  <c r="Y49" i="21" s="1"/>
  <c r="C49" i="21"/>
  <c r="F51" i="21"/>
  <c r="E50" i="21"/>
  <c r="C39" i="19"/>
  <c r="G39" i="19"/>
  <c r="Y39" i="19" s="1"/>
  <c r="E45" i="18"/>
  <c r="H44" i="18"/>
  <c r="I44" i="18" s="1"/>
  <c r="G42" i="6"/>
  <c r="H42" i="6" s="1"/>
  <c r="E40" i="19"/>
  <c r="V37" i="18"/>
  <c r="T38" i="18"/>
  <c r="S38" i="18"/>
  <c r="U38" i="18" s="1"/>
  <c r="AC38" i="18"/>
  <c r="AE38" i="18" s="1"/>
  <c r="AD38" i="18"/>
  <c r="AF38" i="18" s="1"/>
  <c r="R39" i="18"/>
  <c r="F42" i="19"/>
  <c r="J39" i="19"/>
  <c r="J49" i="21"/>
  <c r="M39" i="19" l="1"/>
  <c r="O39" i="19" s="1"/>
  <c r="Y44" i="18"/>
  <c r="AB43" i="18"/>
  <c r="M49" i="21"/>
  <c r="E51" i="21"/>
  <c r="F52" i="21"/>
  <c r="G50" i="21"/>
  <c r="Y50" i="21" s="1"/>
  <c r="C50" i="21"/>
  <c r="C40" i="19"/>
  <c r="G40" i="19"/>
  <c r="Y40" i="19" s="1"/>
  <c r="E46" i="18"/>
  <c r="H45" i="18"/>
  <c r="I45" i="18" s="1"/>
  <c r="G43" i="6"/>
  <c r="H43" i="6" s="1"/>
  <c r="V38" i="18"/>
  <c r="E41" i="19"/>
  <c r="F43" i="19"/>
  <c r="R40" i="18"/>
  <c r="AD39" i="18"/>
  <c r="AC39" i="18"/>
  <c r="AE39" i="18" s="1"/>
  <c r="S39" i="18"/>
  <c r="U39" i="18" s="1"/>
  <c r="T39" i="18"/>
  <c r="J40" i="19"/>
  <c r="J50" i="21"/>
  <c r="M40" i="19" l="1"/>
  <c r="O40" i="19" s="1"/>
  <c r="Y45" i="18"/>
  <c r="AB44" i="18"/>
  <c r="AF39" i="18"/>
  <c r="M50" i="21"/>
  <c r="C51" i="21"/>
  <c r="G51" i="21"/>
  <c r="Y51" i="21" s="1"/>
  <c r="E52" i="21"/>
  <c r="F53" i="21"/>
  <c r="C41" i="19"/>
  <c r="G41" i="19"/>
  <c r="Y41" i="19" s="1"/>
  <c r="E47" i="18"/>
  <c r="H46" i="18"/>
  <c r="I46" i="18" s="1"/>
  <c r="G44" i="6"/>
  <c r="H44" i="6" s="1"/>
  <c r="E42" i="19"/>
  <c r="V39" i="18"/>
  <c r="T40" i="18"/>
  <c r="S40" i="18"/>
  <c r="U40" i="18" s="1"/>
  <c r="AD40" i="18"/>
  <c r="AC40" i="18"/>
  <c r="AE40" i="18" s="1"/>
  <c r="R41" i="18"/>
  <c r="F44" i="19"/>
  <c r="J51" i="21"/>
  <c r="J41" i="19"/>
  <c r="M41" i="19" l="1"/>
  <c r="O41" i="19" s="1"/>
  <c r="Y46" i="18"/>
  <c r="AB45" i="18"/>
  <c r="AF40" i="18"/>
  <c r="M51" i="21"/>
  <c r="E53" i="21"/>
  <c r="F54" i="21"/>
  <c r="C52" i="21"/>
  <c r="G52" i="21"/>
  <c r="Y52" i="21" s="1"/>
  <c r="C42" i="19"/>
  <c r="G42" i="19"/>
  <c r="Y42" i="19" s="1"/>
  <c r="E48" i="18"/>
  <c r="H47" i="18"/>
  <c r="I47" i="18" s="1"/>
  <c r="G45" i="6"/>
  <c r="H45" i="6" s="1"/>
  <c r="V40" i="18"/>
  <c r="E43" i="19"/>
  <c r="T41" i="18"/>
  <c r="S41" i="18"/>
  <c r="U41" i="18" s="1"/>
  <c r="R42" i="18"/>
  <c r="AC41" i="18"/>
  <c r="AE41" i="18" s="1"/>
  <c r="AD41" i="18"/>
  <c r="F45" i="19"/>
  <c r="J42" i="19"/>
  <c r="J52" i="21"/>
  <c r="M42" i="19" l="1"/>
  <c r="O42" i="19" s="1"/>
  <c r="Y47" i="18"/>
  <c r="AB46" i="18"/>
  <c r="AF41" i="18"/>
  <c r="M52" i="21"/>
  <c r="F55" i="21"/>
  <c r="E54" i="21"/>
  <c r="G53" i="21"/>
  <c r="Y53" i="21" s="1"/>
  <c r="C53" i="21"/>
  <c r="C43" i="19"/>
  <c r="G43" i="19"/>
  <c r="Y43" i="19" s="1"/>
  <c r="E49" i="18"/>
  <c r="H48" i="18"/>
  <c r="I48" i="18" s="1"/>
  <c r="G46" i="6"/>
  <c r="H46" i="6" s="1"/>
  <c r="E44" i="19"/>
  <c r="T42" i="18"/>
  <c r="S42" i="18"/>
  <c r="U42" i="18" s="1"/>
  <c r="R43" i="18"/>
  <c r="AD42" i="18"/>
  <c r="AC42" i="18"/>
  <c r="AE42" i="18" s="1"/>
  <c r="F46" i="19"/>
  <c r="V41" i="18"/>
  <c r="J53" i="21"/>
  <c r="J43" i="19"/>
  <c r="M43" i="19" l="1"/>
  <c r="O43" i="19" s="1"/>
  <c r="Y48" i="18"/>
  <c r="AB47" i="18"/>
  <c r="AF42" i="18"/>
  <c r="M53" i="21"/>
  <c r="E55" i="21"/>
  <c r="F56" i="21"/>
  <c r="G54" i="21"/>
  <c r="Y54" i="21" s="1"/>
  <c r="C54" i="21"/>
  <c r="C44" i="19"/>
  <c r="G44" i="19"/>
  <c r="Y44" i="19" s="1"/>
  <c r="E50" i="18"/>
  <c r="H49" i="18"/>
  <c r="I49" i="18" s="1"/>
  <c r="G47" i="6"/>
  <c r="H47" i="6" s="1"/>
  <c r="E45" i="19"/>
  <c r="F47" i="19"/>
  <c r="T43" i="18"/>
  <c r="S43" i="18"/>
  <c r="U43" i="18" s="1"/>
  <c r="R44" i="18"/>
  <c r="AD43" i="18"/>
  <c r="AC43" i="18"/>
  <c r="AE43" i="18" s="1"/>
  <c r="V42" i="18"/>
  <c r="J44" i="19"/>
  <c r="J54" i="21"/>
  <c r="M44" i="19" l="1"/>
  <c r="O44" i="19" s="1"/>
  <c r="AF43" i="18"/>
  <c r="Y49" i="18"/>
  <c r="AB48" i="18"/>
  <c r="M54" i="21"/>
  <c r="G55" i="21"/>
  <c r="Y55" i="21" s="1"/>
  <c r="C55" i="21"/>
  <c r="E56" i="21"/>
  <c r="F57" i="21"/>
  <c r="C45" i="19"/>
  <c r="G45" i="19"/>
  <c r="Y45" i="19" s="1"/>
  <c r="E51" i="18"/>
  <c r="H50" i="18"/>
  <c r="I50" i="18" s="1"/>
  <c r="G48" i="6"/>
  <c r="H48" i="6" s="1"/>
  <c r="E46" i="19"/>
  <c r="V43" i="18"/>
  <c r="T44" i="18"/>
  <c r="S44" i="18"/>
  <c r="U44" i="18" s="1"/>
  <c r="F48" i="19"/>
  <c r="R45" i="18"/>
  <c r="AD44" i="18"/>
  <c r="AC44" i="18"/>
  <c r="AE44" i="18" s="1"/>
  <c r="J45" i="19"/>
  <c r="J55" i="21"/>
  <c r="M45" i="19" l="1"/>
  <c r="O45" i="19" s="1"/>
  <c r="Y50" i="18"/>
  <c r="AB49" i="18"/>
  <c r="AF44" i="18"/>
  <c r="M55" i="21"/>
  <c r="F58" i="21"/>
  <c r="E57" i="21"/>
  <c r="G56" i="21"/>
  <c r="Y56" i="21" s="1"/>
  <c r="C56" i="21"/>
  <c r="C46" i="19"/>
  <c r="G46" i="19"/>
  <c r="Y46" i="19" s="1"/>
  <c r="E52" i="18"/>
  <c r="H51" i="18"/>
  <c r="I51" i="18" s="1"/>
  <c r="G49" i="6"/>
  <c r="H49" i="6" s="1"/>
  <c r="E47" i="19"/>
  <c r="T45" i="18"/>
  <c r="S45" i="18"/>
  <c r="U45" i="18" s="1"/>
  <c r="F49" i="19"/>
  <c r="AD45" i="18"/>
  <c r="AC45" i="18"/>
  <c r="AE45" i="18" s="1"/>
  <c r="V44" i="18"/>
  <c r="R46" i="18"/>
  <c r="J46" i="19"/>
  <c r="J56" i="21"/>
  <c r="M46" i="19" l="1"/>
  <c r="O46" i="19" s="1"/>
  <c r="Y51" i="18"/>
  <c r="AB50" i="18"/>
  <c r="AF45" i="18"/>
  <c r="M56" i="21"/>
  <c r="C57" i="21"/>
  <c r="G57" i="21"/>
  <c r="Y57" i="21" s="1"/>
  <c r="F59" i="21"/>
  <c r="E58" i="21"/>
  <c r="C47" i="19"/>
  <c r="G47" i="19"/>
  <c r="Y47" i="19" s="1"/>
  <c r="E53" i="18"/>
  <c r="H52" i="18"/>
  <c r="I52" i="18" s="1"/>
  <c r="G50" i="6"/>
  <c r="H50" i="6" s="1"/>
  <c r="E48" i="19"/>
  <c r="AC46" i="18"/>
  <c r="AE46" i="18" s="1"/>
  <c r="AD46" i="18"/>
  <c r="R47" i="18"/>
  <c r="F50" i="19"/>
  <c r="T46" i="18"/>
  <c r="S46" i="18"/>
  <c r="U46" i="18" s="1"/>
  <c r="V45" i="18"/>
  <c r="J47" i="19"/>
  <c r="J57" i="21"/>
  <c r="M47" i="19" l="1"/>
  <c r="O47" i="19" s="1"/>
  <c r="AF46" i="18"/>
  <c r="Y52" i="18"/>
  <c r="AB51" i="18"/>
  <c r="M57" i="21"/>
  <c r="G58" i="21"/>
  <c r="Y58" i="21" s="1"/>
  <c r="C58" i="21"/>
  <c r="F60" i="21"/>
  <c r="E59" i="21"/>
  <c r="C48" i="19"/>
  <c r="G48" i="19"/>
  <c r="Y48" i="19" s="1"/>
  <c r="E54" i="18"/>
  <c r="H53" i="18"/>
  <c r="I53" i="18" s="1"/>
  <c r="G51" i="6"/>
  <c r="H51" i="6" s="1"/>
  <c r="E49" i="19"/>
  <c r="V46" i="18"/>
  <c r="S47" i="18"/>
  <c r="U47" i="18" s="1"/>
  <c r="T47" i="18"/>
  <c r="F51" i="19"/>
  <c r="AD47" i="18"/>
  <c r="AC47" i="18"/>
  <c r="AE47" i="18" s="1"/>
  <c r="R48" i="18"/>
  <c r="J48" i="19"/>
  <c r="J58" i="21"/>
  <c r="M48" i="19" l="1"/>
  <c r="O48" i="19" s="1"/>
  <c r="AF47" i="18"/>
  <c r="Y53" i="18"/>
  <c r="AB52" i="18"/>
  <c r="M58" i="21"/>
  <c r="C59" i="21"/>
  <c r="G59" i="21"/>
  <c r="Y59" i="21" s="1"/>
  <c r="F61" i="21"/>
  <c r="E60" i="21"/>
  <c r="C49" i="19"/>
  <c r="G49" i="19"/>
  <c r="Y49" i="19" s="1"/>
  <c r="E55" i="18"/>
  <c r="H54" i="18"/>
  <c r="I54" i="18" s="1"/>
  <c r="G52" i="6"/>
  <c r="H52" i="6" s="1"/>
  <c r="E50" i="19"/>
  <c r="V47" i="18"/>
  <c r="F52" i="19"/>
  <c r="R49" i="18"/>
  <c r="AD48" i="18"/>
  <c r="AC48" i="18"/>
  <c r="AE48" i="18" s="1"/>
  <c r="S48" i="18"/>
  <c r="U48" i="18" s="1"/>
  <c r="T48" i="18"/>
  <c r="J49" i="19"/>
  <c r="J59" i="21"/>
  <c r="M49" i="19" l="1"/>
  <c r="O49" i="19" s="1"/>
  <c r="Y54" i="18"/>
  <c r="AB53" i="18"/>
  <c r="AF48" i="18"/>
  <c r="M59" i="21"/>
  <c r="F62" i="21"/>
  <c r="E61" i="21"/>
  <c r="G60" i="21"/>
  <c r="Y60" i="21" s="1"/>
  <c r="C60" i="21"/>
  <c r="C50" i="19"/>
  <c r="G50" i="19"/>
  <c r="Y50" i="19" s="1"/>
  <c r="E56" i="18"/>
  <c r="H55" i="18"/>
  <c r="I55" i="18" s="1"/>
  <c r="G53" i="6"/>
  <c r="H53" i="6" s="1"/>
  <c r="E51" i="19"/>
  <c r="AC49" i="18"/>
  <c r="AE49" i="18" s="1"/>
  <c r="AD49" i="18"/>
  <c r="T49" i="18"/>
  <c r="S49" i="18"/>
  <c r="U49" i="18" s="1"/>
  <c r="R50" i="18"/>
  <c r="V48" i="18"/>
  <c r="F53" i="19"/>
  <c r="J50" i="19"/>
  <c r="J60" i="21"/>
  <c r="M50" i="19" l="1"/>
  <c r="O50" i="19" s="1"/>
  <c r="Y55" i="18"/>
  <c r="AB54" i="18"/>
  <c r="AF49" i="18"/>
  <c r="M60" i="21"/>
  <c r="G61" i="21"/>
  <c r="Y61" i="21" s="1"/>
  <c r="C61" i="21"/>
  <c r="F63" i="21"/>
  <c r="E62" i="21"/>
  <c r="C51" i="19"/>
  <c r="G51" i="19"/>
  <c r="Y51" i="19" s="1"/>
  <c r="E57" i="18"/>
  <c r="H56" i="18"/>
  <c r="I56" i="18" s="1"/>
  <c r="G54" i="6"/>
  <c r="H54" i="6" s="1"/>
  <c r="E52" i="19"/>
  <c r="V49" i="18"/>
  <c r="T50" i="18"/>
  <c r="S50" i="18"/>
  <c r="U50" i="18" s="1"/>
  <c r="R51" i="18"/>
  <c r="AD50" i="18"/>
  <c r="AC50" i="18"/>
  <c r="AE50" i="18" s="1"/>
  <c r="F54" i="19"/>
  <c r="J51" i="19"/>
  <c r="J61" i="21"/>
  <c r="M51" i="19" l="1"/>
  <c r="O51" i="19" s="1"/>
  <c r="Y56" i="18"/>
  <c r="AB55" i="18"/>
  <c r="AF50" i="18"/>
  <c r="M61" i="21"/>
  <c r="G62" i="21"/>
  <c r="Y62" i="21" s="1"/>
  <c r="C62" i="21"/>
  <c r="F64" i="21"/>
  <c r="E63" i="21"/>
  <c r="C52" i="19"/>
  <c r="G52" i="19"/>
  <c r="Y52" i="19" s="1"/>
  <c r="E58" i="18"/>
  <c r="H57" i="18"/>
  <c r="I57" i="18" s="1"/>
  <c r="G55" i="6"/>
  <c r="H55" i="6" s="1"/>
  <c r="E53" i="19"/>
  <c r="V50" i="18"/>
  <c r="F55" i="19"/>
  <c r="T51" i="18"/>
  <c r="S51" i="18"/>
  <c r="U51" i="18" s="1"/>
  <c r="R52" i="18"/>
  <c r="AD51" i="18"/>
  <c r="AC51" i="18"/>
  <c r="AE51" i="18" s="1"/>
  <c r="J52" i="19"/>
  <c r="J62" i="21"/>
  <c r="M52" i="19" l="1"/>
  <c r="O52" i="19" s="1"/>
  <c r="Y57" i="18"/>
  <c r="AB56" i="18"/>
  <c r="AF51" i="18"/>
  <c r="M62" i="21"/>
  <c r="E64" i="21"/>
  <c r="F65" i="21"/>
  <c r="C63" i="21"/>
  <c r="G63" i="21"/>
  <c r="Y63" i="21" s="1"/>
  <c r="C53" i="19"/>
  <c r="G53" i="19"/>
  <c r="Y53" i="19" s="1"/>
  <c r="E54" i="19"/>
  <c r="E59" i="18"/>
  <c r="H58" i="18"/>
  <c r="I58" i="18" s="1"/>
  <c r="G56" i="6"/>
  <c r="H56" i="6" s="1"/>
  <c r="V51" i="18"/>
  <c r="T52" i="18"/>
  <c r="S52" i="18"/>
  <c r="U52" i="18" s="1"/>
  <c r="AD52" i="18"/>
  <c r="AC52" i="18"/>
  <c r="AE52" i="18" s="1"/>
  <c r="F56" i="19"/>
  <c r="R53" i="18"/>
  <c r="J63" i="21"/>
  <c r="J53" i="19"/>
  <c r="M53" i="19" l="1"/>
  <c r="O53" i="19" s="1"/>
  <c r="Y58" i="18"/>
  <c r="AB57" i="18"/>
  <c r="AF52" i="18"/>
  <c r="M63" i="21"/>
  <c r="F66" i="21"/>
  <c r="E65" i="21"/>
  <c r="C64" i="21"/>
  <c r="G64" i="21"/>
  <c r="Y64" i="21" s="1"/>
  <c r="E55" i="19"/>
  <c r="C54" i="19"/>
  <c r="G54" i="19"/>
  <c r="Y54" i="19" s="1"/>
  <c r="E60" i="18"/>
  <c r="H59" i="18"/>
  <c r="I59" i="18" s="1"/>
  <c r="G57" i="6"/>
  <c r="H57" i="6" s="1"/>
  <c r="AD53" i="18"/>
  <c r="AC53" i="18"/>
  <c r="AE53" i="18" s="1"/>
  <c r="T53" i="18"/>
  <c r="S53" i="18"/>
  <c r="U53" i="18" s="1"/>
  <c r="R54" i="18"/>
  <c r="F57" i="19"/>
  <c r="V52" i="18"/>
  <c r="J64" i="21"/>
  <c r="J54" i="19"/>
  <c r="M54" i="19" l="1"/>
  <c r="O54" i="19" s="1"/>
  <c r="Y59" i="18"/>
  <c r="AB58" i="18"/>
  <c r="AF53" i="18"/>
  <c r="M64" i="21"/>
  <c r="C65" i="21"/>
  <c r="G65" i="21"/>
  <c r="Y65" i="21" s="1"/>
  <c r="F67" i="21"/>
  <c r="E66" i="21"/>
  <c r="C55" i="19"/>
  <c r="E56" i="19"/>
  <c r="G55" i="19"/>
  <c r="Y55" i="19" s="1"/>
  <c r="E61" i="18"/>
  <c r="H60" i="18"/>
  <c r="I60" i="18" s="1"/>
  <c r="G58" i="6"/>
  <c r="H58" i="6" s="1"/>
  <c r="V53" i="18"/>
  <c r="AD54" i="18"/>
  <c r="AC54" i="18"/>
  <c r="AE54" i="18" s="1"/>
  <c r="T54" i="18"/>
  <c r="S54" i="18"/>
  <c r="U54" i="18" s="1"/>
  <c r="F58" i="19"/>
  <c r="R55" i="18"/>
  <c r="J55" i="19"/>
  <c r="J65" i="21"/>
  <c r="M55" i="19" l="1"/>
  <c r="O55" i="19" s="1"/>
  <c r="Y60" i="18"/>
  <c r="AB59" i="18"/>
  <c r="AF54" i="18"/>
  <c r="M65" i="21"/>
  <c r="G66" i="21"/>
  <c r="Y66" i="21" s="1"/>
  <c r="C66" i="21"/>
  <c r="E67" i="21"/>
  <c r="F68" i="21"/>
  <c r="C56" i="19"/>
  <c r="E57" i="19"/>
  <c r="G56" i="19"/>
  <c r="Y56" i="19" s="1"/>
  <c r="E62" i="18"/>
  <c r="H61" i="18"/>
  <c r="I61" i="18" s="1"/>
  <c r="G59" i="6"/>
  <c r="H59" i="6" s="1"/>
  <c r="V54" i="18"/>
  <c r="T55" i="18"/>
  <c r="S55" i="18"/>
  <c r="U55" i="18" s="1"/>
  <c r="R56" i="18"/>
  <c r="F59" i="19"/>
  <c r="AD55" i="18"/>
  <c r="AC55" i="18"/>
  <c r="AE55" i="18" s="1"/>
  <c r="J56" i="19"/>
  <c r="J66" i="21"/>
  <c r="M56" i="19" l="1"/>
  <c r="O56" i="19" s="1"/>
  <c r="Y61" i="18"/>
  <c r="AB60" i="18"/>
  <c r="AF55" i="18"/>
  <c r="M66" i="21"/>
  <c r="F69" i="21"/>
  <c r="E68" i="21"/>
  <c r="C67" i="21"/>
  <c r="G67" i="21"/>
  <c r="Y67" i="21" s="1"/>
  <c r="E58" i="19"/>
  <c r="C57" i="19"/>
  <c r="G57" i="19"/>
  <c r="Y57" i="19" s="1"/>
  <c r="E63" i="18"/>
  <c r="H62" i="18"/>
  <c r="I62" i="18" s="1"/>
  <c r="G60" i="6"/>
  <c r="H60" i="6" s="1"/>
  <c r="S56" i="18"/>
  <c r="U56" i="18" s="1"/>
  <c r="T56" i="18"/>
  <c r="R57" i="18"/>
  <c r="AD56" i="18"/>
  <c r="AC56" i="18"/>
  <c r="AE56" i="18" s="1"/>
  <c r="F60" i="19"/>
  <c r="V55" i="18"/>
  <c r="J57" i="19"/>
  <c r="J67" i="21"/>
  <c r="M57" i="19" l="1"/>
  <c r="O57" i="19" s="1"/>
  <c r="Y62" i="18"/>
  <c r="AB61" i="18"/>
  <c r="AF56" i="18"/>
  <c r="M67" i="21"/>
  <c r="G68" i="21"/>
  <c r="Y68" i="21" s="1"/>
  <c r="C68" i="21"/>
  <c r="F70" i="21"/>
  <c r="E69" i="21"/>
  <c r="G58" i="19"/>
  <c r="Y58" i="19" s="1"/>
  <c r="E59" i="19"/>
  <c r="C59" i="19" s="1"/>
  <c r="C58" i="19"/>
  <c r="E64" i="18"/>
  <c r="H63" i="18"/>
  <c r="I63" i="18" s="1"/>
  <c r="G61" i="6"/>
  <c r="H61" i="6" s="1"/>
  <c r="V56" i="18"/>
  <c r="AD57" i="18"/>
  <c r="AC57" i="18"/>
  <c r="AE57" i="18" s="1"/>
  <c r="F61" i="19"/>
  <c r="R58" i="18"/>
  <c r="T57" i="18"/>
  <c r="S57" i="18"/>
  <c r="U57" i="18" s="1"/>
  <c r="J58" i="19"/>
  <c r="J68" i="21"/>
  <c r="M58" i="19" l="1"/>
  <c r="O58" i="19" s="1"/>
  <c r="Y63" i="18"/>
  <c r="AB62" i="18"/>
  <c r="AF57" i="18"/>
  <c r="M68" i="21"/>
  <c r="G69" i="21"/>
  <c r="Y69" i="21" s="1"/>
  <c r="C69" i="21"/>
  <c r="E70" i="21"/>
  <c r="F71" i="21"/>
  <c r="G59" i="19"/>
  <c r="Y59" i="19" s="1"/>
  <c r="E60" i="19"/>
  <c r="E65" i="18"/>
  <c r="H64" i="18"/>
  <c r="I64" i="18" s="1"/>
  <c r="G62" i="6"/>
  <c r="H62" i="6" s="1"/>
  <c r="T58" i="18"/>
  <c r="S58" i="18"/>
  <c r="U58" i="18" s="1"/>
  <c r="F62" i="19"/>
  <c r="V57" i="18"/>
  <c r="R59" i="18"/>
  <c r="AD58" i="18"/>
  <c r="AC58" i="18"/>
  <c r="AE58" i="18" s="1"/>
  <c r="J69" i="21"/>
  <c r="J59" i="19"/>
  <c r="M59" i="19" l="1"/>
  <c r="O59" i="19" s="1"/>
  <c r="AF58" i="18"/>
  <c r="Y64" i="18"/>
  <c r="AB63" i="18"/>
  <c r="M69" i="21"/>
  <c r="F72" i="21"/>
  <c r="E71" i="21"/>
  <c r="G70" i="21"/>
  <c r="Y70" i="21" s="1"/>
  <c r="C70" i="21"/>
  <c r="C60" i="19"/>
  <c r="E61" i="19"/>
  <c r="E62" i="19" s="1"/>
  <c r="G60" i="19"/>
  <c r="Y60" i="19" s="1"/>
  <c r="E66" i="18"/>
  <c r="H65" i="18"/>
  <c r="I65" i="18" s="1"/>
  <c r="G63" i="6"/>
  <c r="H63" i="6" s="1"/>
  <c r="V58" i="18"/>
  <c r="R60" i="18"/>
  <c r="F63" i="19"/>
  <c r="AD59" i="18"/>
  <c r="AC59" i="18"/>
  <c r="AE59" i="18" s="1"/>
  <c r="S59" i="18"/>
  <c r="U59" i="18" s="1"/>
  <c r="T59" i="18"/>
  <c r="J60" i="19"/>
  <c r="J70" i="21"/>
  <c r="M60" i="19" l="1"/>
  <c r="O60" i="19" s="1"/>
  <c r="AF59" i="18"/>
  <c r="Y65" i="18"/>
  <c r="AB64" i="18"/>
  <c r="M70" i="21"/>
  <c r="C71" i="21"/>
  <c r="G71" i="21"/>
  <c r="Y71" i="21" s="1"/>
  <c r="F73" i="21"/>
  <c r="E72" i="21"/>
  <c r="C61" i="19"/>
  <c r="G61" i="19"/>
  <c r="Y61" i="19" s="1"/>
  <c r="C62" i="19"/>
  <c r="G62" i="19"/>
  <c r="Y62" i="19" s="1"/>
  <c r="E67" i="18"/>
  <c r="H66" i="18"/>
  <c r="I66" i="18" s="1"/>
  <c r="G64" i="6"/>
  <c r="H64" i="6" s="1"/>
  <c r="AD60" i="18"/>
  <c r="AC60" i="18"/>
  <c r="AE60" i="18" s="1"/>
  <c r="E63" i="19"/>
  <c r="F64" i="19"/>
  <c r="S60" i="18"/>
  <c r="U60" i="18" s="1"/>
  <c r="T60" i="18"/>
  <c r="V59" i="18"/>
  <c r="R61" i="18"/>
  <c r="J61" i="19"/>
  <c r="J62" i="19"/>
  <c r="J71" i="21"/>
  <c r="M62" i="19" l="1"/>
  <c r="O62" i="19" s="1"/>
  <c r="M61" i="19"/>
  <c r="O61" i="19" s="1"/>
  <c r="Y66" i="18"/>
  <c r="AB65" i="18"/>
  <c r="AF60" i="18"/>
  <c r="M71" i="21"/>
  <c r="C72" i="21"/>
  <c r="G72" i="21"/>
  <c r="Y72" i="21" s="1"/>
  <c r="F74" i="21"/>
  <c r="E73" i="21"/>
  <c r="C63" i="19"/>
  <c r="G63" i="19"/>
  <c r="Y63" i="19" s="1"/>
  <c r="E68" i="18"/>
  <c r="H67" i="18"/>
  <c r="I67" i="18" s="1"/>
  <c r="G65" i="6"/>
  <c r="H65" i="6" s="1"/>
  <c r="V60" i="18"/>
  <c r="AC61" i="18"/>
  <c r="AE61" i="18" s="1"/>
  <c r="AD61" i="18"/>
  <c r="E64" i="19"/>
  <c r="F65" i="19"/>
  <c r="T61" i="18"/>
  <c r="S61" i="18"/>
  <c r="U61" i="18" s="1"/>
  <c r="R62" i="18"/>
  <c r="J72" i="21"/>
  <c r="J63" i="19"/>
  <c r="M63" i="19" l="1"/>
  <c r="O63" i="19" s="1"/>
  <c r="Y67" i="18"/>
  <c r="AB66" i="18"/>
  <c r="AF61" i="18"/>
  <c r="M72" i="21"/>
  <c r="G73" i="21"/>
  <c r="Y73" i="21" s="1"/>
  <c r="C73" i="21"/>
  <c r="E74" i="21"/>
  <c r="F75" i="21"/>
  <c r="C64" i="19"/>
  <c r="G64" i="19"/>
  <c r="Y64" i="19" s="1"/>
  <c r="E69" i="18"/>
  <c r="H68" i="18"/>
  <c r="I68" i="18" s="1"/>
  <c r="G66" i="6"/>
  <c r="H66" i="6" s="1"/>
  <c r="V61" i="18"/>
  <c r="E65" i="19"/>
  <c r="F66" i="19"/>
  <c r="AD62" i="18"/>
  <c r="AC62" i="18"/>
  <c r="AE62" i="18" s="1"/>
  <c r="T62" i="18"/>
  <c r="S62" i="18"/>
  <c r="U62" i="18" s="1"/>
  <c r="R63" i="18"/>
  <c r="J64" i="19"/>
  <c r="J73" i="21"/>
  <c r="M64" i="19" l="1"/>
  <c r="O64" i="19" s="1"/>
  <c r="Y68" i="18"/>
  <c r="AB67" i="18"/>
  <c r="AF62" i="18"/>
  <c r="M73" i="21"/>
  <c r="E75" i="21"/>
  <c r="F76" i="21"/>
  <c r="G74" i="21"/>
  <c r="Y74" i="21" s="1"/>
  <c r="C74" i="21"/>
  <c r="C65" i="19"/>
  <c r="G65" i="19"/>
  <c r="Y65" i="19" s="1"/>
  <c r="E70" i="18"/>
  <c r="H69" i="18"/>
  <c r="I69" i="18" s="1"/>
  <c r="G67" i="6"/>
  <c r="H67" i="6" s="1"/>
  <c r="V62" i="18"/>
  <c r="R64" i="18"/>
  <c r="E66" i="19"/>
  <c r="F67" i="19"/>
  <c r="AD63" i="18"/>
  <c r="AC63" i="18"/>
  <c r="AE63" i="18" s="1"/>
  <c r="T63" i="18"/>
  <c r="S63" i="18"/>
  <c r="U63" i="18" s="1"/>
  <c r="J65" i="19"/>
  <c r="J74" i="21"/>
  <c r="M65" i="19" l="1"/>
  <c r="O65" i="19" s="1"/>
  <c r="Y69" i="18"/>
  <c r="AB68" i="18"/>
  <c r="AF63" i="18"/>
  <c r="M74" i="21"/>
  <c r="E76" i="21"/>
  <c r="F77" i="21"/>
  <c r="C75" i="21"/>
  <c r="G75" i="21"/>
  <c r="Y75" i="21" s="1"/>
  <c r="C66" i="19"/>
  <c r="G66" i="19"/>
  <c r="Y66" i="19" s="1"/>
  <c r="E71" i="18"/>
  <c r="H70" i="18"/>
  <c r="I70" i="18" s="1"/>
  <c r="G68" i="6"/>
  <c r="H68" i="6" s="1"/>
  <c r="V63" i="18"/>
  <c r="R65" i="18"/>
  <c r="E67" i="19"/>
  <c r="F68" i="19"/>
  <c r="AD64" i="18"/>
  <c r="AC64" i="18"/>
  <c r="AE64" i="18" s="1"/>
  <c r="T64" i="18"/>
  <c r="S64" i="18"/>
  <c r="U64" i="18" s="1"/>
  <c r="J66" i="19"/>
  <c r="J75" i="21"/>
  <c r="M66" i="19" l="1"/>
  <c r="O66" i="19" s="1"/>
  <c r="Y70" i="18"/>
  <c r="AB69" i="18"/>
  <c r="AF64" i="18"/>
  <c r="M75" i="21"/>
  <c r="F78" i="21"/>
  <c r="E77" i="21"/>
  <c r="G76" i="21"/>
  <c r="Y76" i="21" s="1"/>
  <c r="C76" i="21"/>
  <c r="C67" i="19"/>
  <c r="G67" i="19"/>
  <c r="Y67" i="19" s="1"/>
  <c r="E72" i="18"/>
  <c r="H71" i="18"/>
  <c r="I71" i="18" s="1"/>
  <c r="G69" i="6"/>
  <c r="H69" i="6" s="1"/>
  <c r="V64" i="18"/>
  <c r="AD65" i="18"/>
  <c r="AC65" i="18"/>
  <c r="AE65" i="18" s="1"/>
  <c r="F69" i="19"/>
  <c r="E68" i="19"/>
  <c r="T65" i="18"/>
  <c r="S65" i="18"/>
  <c r="U65" i="18" s="1"/>
  <c r="R66" i="18"/>
  <c r="J76" i="21"/>
  <c r="J67" i="19"/>
  <c r="M67" i="19" l="1"/>
  <c r="O67" i="19" s="1"/>
  <c r="AF65" i="18"/>
  <c r="Y71" i="18"/>
  <c r="AB70" i="18"/>
  <c r="M76" i="21"/>
  <c r="C77" i="21"/>
  <c r="G77" i="21"/>
  <c r="Y77" i="21" s="1"/>
  <c r="F79" i="21"/>
  <c r="E78" i="21"/>
  <c r="C68" i="19"/>
  <c r="G68" i="19"/>
  <c r="Y68" i="19" s="1"/>
  <c r="E73" i="18"/>
  <c r="H72" i="18"/>
  <c r="I72" i="18" s="1"/>
  <c r="G70" i="6"/>
  <c r="H70" i="6" s="1"/>
  <c r="T66" i="18"/>
  <c r="S66" i="18"/>
  <c r="U66" i="18" s="1"/>
  <c r="R67" i="18"/>
  <c r="E69" i="19"/>
  <c r="F70" i="19"/>
  <c r="V65" i="18"/>
  <c r="AD66" i="18"/>
  <c r="AC66" i="18"/>
  <c r="AE66" i="18" s="1"/>
  <c r="J77" i="21"/>
  <c r="J68" i="19"/>
  <c r="M68" i="19" l="1"/>
  <c r="O68" i="19" s="1"/>
  <c r="AF66" i="18"/>
  <c r="Y72" i="18"/>
  <c r="AB71" i="18"/>
  <c r="M77" i="21"/>
  <c r="E79" i="21"/>
  <c r="F80" i="21"/>
  <c r="G78" i="21"/>
  <c r="Y78" i="21" s="1"/>
  <c r="C78" i="21"/>
  <c r="C69" i="19"/>
  <c r="G69" i="19"/>
  <c r="Y69" i="19" s="1"/>
  <c r="E74" i="18"/>
  <c r="H73" i="18"/>
  <c r="I73" i="18" s="1"/>
  <c r="G71" i="6"/>
  <c r="H71" i="6" s="1"/>
  <c r="V66" i="18"/>
  <c r="E70" i="19"/>
  <c r="F71" i="19"/>
  <c r="T67" i="18"/>
  <c r="S67" i="18"/>
  <c r="U67" i="18" s="1"/>
  <c r="R68" i="18"/>
  <c r="AD67" i="18"/>
  <c r="AC67" i="18"/>
  <c r="AE67" i="18" s="1"/>
  <c r="J69" i="19"/>
  <c r="J78" i="21"/>
  <c r="M69" i="19" l="1"/>
  <c r="O69" i="19" s="1"/>
  <c r="Y73" i="18"/>
  <c r="AB72" i="18"/>
  <c r="AF67" i="18"/>
  <c r="M78" i="21"/>
  <c r="E80" i="21"/>
  <c r="F81" i="21"/>
  <c r="C79" i="21"/>
  <c r="G79" i="21"/>
  <c r="Y79" i="21" s="1"/>
  <c r="C70" i="19"/>
  <c r="G70" i="19"/>
  <c r="Y70" i="19" s="1"/>
  <c r="E75" i="18"/>
  <c r="H74" i="18"/>
  <c r="I74" i="18" s="1"/>
  <c r="G72" i="6"/>
  <c r="H72" i="6" s="1"/>
  <c r="R69" i="18"/>
  <c r="AD68" i="18"/>
  <c r="AC68" i="18"/>
  <c r="AE68" i="18" s="1"/>
  <c r="E71" i="19"/>
  <c r="F72" i="19"/>
  <c r="T68" i="18"/>
  <c r="S68" i="18"/>
  <c r="U68" i="18" s="1"/>
  <c r="V67" i="18"/>
  <c r="J70" i="19"/>
  <c r="J79" i="21"/>
  <c r="M70" i="19" l="1"/>
  <c r="O70" i="19" s="1"/>
  <c r="AF68" i="18"/>
  <c r="Y74" i="18"/>
  <c r="AB73" i="18"/>
  <c r="M79" i="21"/>
  <c r="G80" i="21"/>
  <c r="Y80" i="21" s="1"/>
  <c r="C80" i="21"/>
  <c r="E81" i="21"/>
  <c r="F82" i="21"/>
  <c r="C71" i="19"/>
  <c r="G71" i="19"/>
  <c r="Y71" i="19" s="1"/>
  <c r="E76" i="18"/>
  <c r="H75" i="18"/>
  <c r="I75" i="18" s="1"/>
  <c r="G73" i="6"/>
  <c r="H73" i="6" s="1"/>
  <c r="V68" i="18"/>
  <c r="AD69" i="18"/>
  <c r="AC69" i="18"/>
  <c r="AE69" i="18" s="1"/>
  <c r="T69" i="18"/>
  <c r="S69" i="18"/>
  <c r="U69" i="18" s="1"/>
  <c r="R70" i="18"/>
  <c r="E72" i="19"/>
  <c r="F73" i="19"/>
  <c r="J71" i="19"/>
  <c r="J80" i="21"/>
  <c r="M71" i="19" l="1"/>
  <c r="O71" i="19" s="1"/>
  <c r="Y75" i="18"/>
  <c r="AB74" i="18"/>
  <c r="AF69" i="18"/>
  <c r="M80" i="21"/>
  <c r="F83" i="21"/>
  <c r="E82" i="21"/>
  <c r="G81" i="21"/>
  <c r="Y81" i="21" s="1"/>
  <c r="C81" i="21"/>
  <c r="C72" i="19"/>
  <c r="G72" i="19"/>
  <c r="Y72" i="19" s="1"/>
  <c r="E77" i="18"/>
  <c r="H76" i="18"/>
  <c r="I76" i="18" s="1"/>
  <c r="G74" i="6"/>
  <c r="H74" i="6" s="1"/>
  <c r="V69" i="18"/>
  <c r="T70" i="18"/>
  <c r="S70" i="18"/>
  <c r="U70" i="18" s="1"/>
  <c r="R71" i="18"/>
  <c r="AD70" i="18"/>
  <c r="AC70" i="18"/>
  <c r="AE70" i="18" s="1"/>
  <c r="E73" i="19"/>
  <c r="F74" i="19"/>
  <c r="J72" i="19"/>
  <c r="J81" i="21"/>
  <c r="M72" i="19" l="1"/>
  <c r="O72" i="19" s="1"/>
  <c r="Y76" i="18"/>
  <c r="AB75" i="18"/>
  <c r="AF70" i="18"/>
  <c r="M81" i="21"/>
  <c r="G82" i="21"/>
  <c r="Y82" i="21" s="1"/>
  <c r="C82" i="21"/>
  <c r="F84" i="21"/>
  <c r="E83" i="21"/>
  <c r="C73" i="19"/>
  <c r="G73" i="19"/>
  <c r="Y73" i="19" s="1"/>
  <c r="E78" i="18"/>
  <c r="H77" i="18"/>
  <c r="I77" i="18" s="1"/>
  <c r="G75" i="6"/>
  <c r="H75" i="6" s="1"/>
  <c r="V70" i="18"/>
  <c r="T71" i="18"/>
  <c r="S71" i="18"/>
  <c r="U71" i="18" s="1"/>
  <c r="E74" i="19"/>
  <c r="F75" i="19"/>
  <c r="R72" i="18"/>
  <c r="AD71" i="18"/>
  <c r="AC71" i="18"/>
  <c r="AE71" i="18" s="1"/>
  <c r="J82" i="21"/>
  <c r="J73" i="19"/>
  <c r="M73" i="19" l="1"/>
  <c r="O73" i="19" s="1"/>
  <c r="AF71" i="18"/>
  <c r="Y77" i="18"/>
  <c r="AB76" i="18"/>
  <c r="M82" i="21"/>
  <c r="C83" i="21"/>
  <c r="G83" i="21"/>
  <c r="Y83" i="21" s="1"/>
  <c r="E84" i="21"/>
  <c r="F85" i="21"/>
  <c r="C74" i="19"/>
  <c r="G74" i="19"/>
  <c r="Y74" i="19" s="1"/>
  <c r="E79" i="18"/>
  <c r="H78" i="18"/>
  <c r="I78" i="18" s="1"/>
  <c r="G76" i="6"/>
  <c r="H76" i="6" s="1"/>
  <c r="S72" i="18"/>
  <c r="U72" i="18" s="1"/>
  <c r="T72" i="18"/>
  <c r="AC72" i="18"/>
  <c r="AE72" i="18" s="1"/>
  <c r="AD72" i="18"/>
  <c r="R73" i="18"/>
  <c r="F76" i="19"/>
  <c r="E75" i="19"/>
  <c r="V71" i="18"/>
  <c r="J74" i="19"/>
  <c r="J83" i="21"/>
  <c r="M74" i="19" l="1"/>
  <c r="O74" i="19" s="1"/>
  <c r="AF72" i="18"/>
  <c r="Y78" i="18"/>
  <c r="AB77" i="18"/>
  <c r="M83" i="21"/>
  <c r="F86" i="21"/>
  <c r="E85" i="21"/>
  <c r="C84" i="21"/>
  <c r="G84" i="21"/>
  <c r="Y84" i="21" s="1"/>
  <c r="C75" i="19"/>
  <c r="G75" i="19"/>
  <c r="Y75" i="19" s="1"/>
  <c r="E80" i="18"/>
  <c r="H79" i="18"/>
  <c r="I79" i="18" s="1"/>
  <c r="G77" i="6"/>
  <c r="H77" i="6" s="1"/>
  <c r="V72" i="18"/>
  <c r="F77" i="19"/>
  <c r="E76" i="19"/>
  <c r="R74" i="18"/>
  <c r="T73" i="18"/>
  <c r="S73" i="18"/>
  <c r="U73" i="18" s="1"/>
  <c r="AC73" i="18"/>
  <c r="AE73" i="18" s="1"/>
  <c r="AD73" i="18"/>
  <c r="AF73" i="18" s="1"/>
  <c r="J84" i="21"/>
  <c r="J75" i="19"/>
  <c r="M75" i="19" l="1"/>
  <c r="O75" i="19" s="1"/>
  <c r="Y79" i="18"/>
  <c r="AB78" i="18"/>
  <c r="M84" i="21"/>
  <c r="G85" i="21"/>
  <c r="Y85" i="21" s="1"/>
  <c r="C85" i="21"/>
  <c r="E86" i="21"/>
  <c r="F87" i="21"/>
  <c r="C76" i="19"/>
  <c r="G76" i="19"/>
  <c r="Y76" i="19" s="1"/>
  <c r="E81" i="18"/>
  <c r="H80" i="18"/>
  <c r="I80" i="18" s="1"/>
  <c r="G78" i="6"/>
  <c r="H78" i="6" s="1"/>
  <c r="T74" i="18"/>
  <c r="S74" i="18"/>
  <c r="U74" i="18" s="1"/>
  <c r="AD74" i="18"/>
  <c r="AC74" i="18"/>
  <c r="AE74" i="18" s="1"/>
  <c r="R75" i="18"/>
  <c r="V73" i="18"/>
  <c r="F78" i="19"/>
  <c r="E77" i="19"/>
  <c r="J76" i="19"/>
  <c r="J85" i="21"/>
  <c r="M76" i="19" l="1"/>
  <c r="O76" i="19" s="1"/>
  <c r="Y80" i="18"/>
  <c r="AB79" i="18"/>
  <c r="AF74" i="18"/>
  <c r="M85" i="21"/>
  <c r="E87" i="21"/>
  <c r="F88" i="21"/>
  <c r="C86" i="21"/>
  <c r="G86" i="21"/>
  <c r="Y86" i="21" s="1"/>
  <c r="C77" i="19"/>
  <c r="G77" i="19"/>
  <c r="Y77" i="19" s="1"/>
  <c r="E82" i="18"/>
  <c r="H81" i="18"/>
  <c r="I81" i="18" s="1"/>
  <c r="G79" i="6"/>
  <c r="H79" i="6" s="1"/>
  <c r="R76" i="18"/>
  <c r="T75" i="18"/>
  <c r="S75" i="18"/>
  <c r="U75" i="18" s="1"/>
  <c r="E78" i="19"/>
  <c r="F79" i="19"/>
  <c r="AD75" i="18"/>
  <c r="AC75" i="18"/>
  <c r="AE75" i="18" s="1"/>
  <c r="V74" i="18"/>
  <c r="J77" i="19"/>
  <c r="J86" i="21"/>
  <c r="M77" i="19" l="1"/>
  <c r="O77" i="19" s="1"/>
  <c r="Y81" i="18"/>
  <c r="AB80" i="18"/>
  <c r="AF75" i="18"/>
  <c r="M86" i="21"/>
  <c r="E88" i="21"/>
  <c r="F89" i="21"/>
  <c r="C87" i="21"/>
  <c r="G87" i="21"/>
  <c r="Y87" i="21" s="1"/>
  <c r="C78" i="19"/>
  <c r="G78" i="19"/>
  <c r="Y78" i="19" s="1"/>
  <c r="E83" i="18"/>
  <c r="H82" i="18"/>
  <c r="I82" i="18" s="1"/>
  <c r="G80" i="6"/>
  <c r="H80" i="6" s="1"/>
  <c r="F80" i="19"/>
  <c r="E79" i="19"/>
  <c r="R77" i="18"/>
  <c r="V75" i="18"/>
  <c r="T76" i="18"/>
  <c r="S76" i="18"/>
  <c r="U76" i="18" s="1"/>
  <c r="AD76" i="18"/>
  <c r="AC76" i="18"/>
  <c r="AE76" i="18" s="1"/>
  <c r="J78" i="19"/>
  <c r="J87" i="21"/>
  <c r="M78" i="19" l="1"/>
  <c r="O78" i="19" s="1"/>
  <c r="Y82" i="18"/>
  <c r="AB81" i="18"/>
  <c r="AF76" i="18"/>
  <c r="M87" i="21"/>
  <c r="F90" i="21"/>
  <c r="E89" i="21"/>
  <c r="G88" i="21"/>
  <c r="Y88" i="21" s="1"/>
  <c r="C88" i="21"/>
  <c r="C79" i="19"/>
  <c r="G79" i="19"/>
  <c r="Y79" i="19" s="1"/>
  <c r="E84" i="18"/>
  <c r="H83" i="18"/>
  <c r="I83" i="18" s="1"/>
  <c r="G81" i="6"/>
  <c r="H81" i="6" s="1"/>
  <c r="V76" i="18"/>
  <c r="T77" i="18"/>
  <c r="S77" i="18"/>
  <c r="U77" i="18" s="1"/>
  <c r="AC77" i="18"/>
  <c r="AE77" i="18" s="1"/>
  <c r="AD77" i="18"/>
  <c r="AF77" i="18" s="1"/>
  <c r="R78" i="18"/>
  <c r="E80" i="19"/>
  <c r="F81" i="19"/>
  <c r="J79" i="19"/>
  <c r="J88" i="21"/>
  <c r="M79" i="19" l="1"/>
  <c r="O79" i="19" s="1"/>
  <c r="Y83" i="18"/>
  <c r="AB82" i="18"/>
  <c r="M88" i="21"/>
  <c r="E90" i="21"/>
  <c r="F91" i="21"/>
  <c r="G89" i="21"/>
  <c r="Y89" i="21" s="1"/>
  <c r="C89" i="21"/>
  <c r="C80" i="19"/>
  <c r="G80" i="19"/>
  <c r="Y80" i="19" s="1"/>
  <c r="E85" i="18"/>
  <c r="H84" i="18"/>
  <c r="I84" i="18" s="1"/>
  <c r="G82" i="6"/>
  <c r="H82" i="6" s="1"/>
  <c r="V77" i="18"/>
  <c r="T78" i="18"/>
  <c r="S78" i="18"/>
  <c r="U78" i="18" s="1"/>
  <c r="R79" i="18"/>
  <c r="AD78" i="18"/>
  <c r="AC78" i="18"/>
  <c r="AE78" i="18" s="1"/>
  <c r="E81" i="19"/>
  <c r="F82" i="19"/>
  <c r="J89" i="21"/>
  <c r="J80" i="19"/>
  <c r="M80" i="19" l="1"/>
  <c r="O80" i="19" s="1"/>
  <c r="AF78" i="18"/>
  <c r="Y84" i="18"/>
  <c r="AB83" i="18"/>
  <c r="M89" i="21"/>
  <c r="F92" i="21"/>
  <c r="E91" i="21"/>
  <c r="C90" i="21"/>
  <c r="G90" i="21"/>
  <c r="Y90" i="21" s="1"/>
  <c r="C81" i="19"/>
  <c r="G81" i="19"/>
  <c r="Y81" i="19" s="1"/>
  <c r="E86" i="18"/>
  <c r="H85" i="18"/>
  <c r="I85" i="18" s="1"/>
  <c r="G83" i="6"/>
  <c r="H83" i="6" s="1"/>
  <c r="V78" i="18"/>
  <c r="F83" i="19"/>
  <c r="E82" i="19"/>
  <c r="AD79" i="18"/>
  <c r="AC79" i="18"/>
  <c r="AE79" i="18" s="1"/>
  <c r="T79" i="18"/>
  <c r="S79" i="18"/>
  <c r="U79" i="18" s="1"/>
  <c r="R80" i="18"/>
  <c r="J81" i="19"/>
  <c r="J90" i="21"/>
  <c r="M81" i="19" l="1"/>
  <c r="O81" i="19" s="1"/>
  <c r="Y85" i="18"/>
  <c r="AB84" i="18"/>
  <c r="AF79" i="18"/>
  <c r="M90" i="21"/>
  <c r="C91" i="21"/>
  <c r="G91" i="21"/>
  <c r="Y91" i="21" s="1"/>
  <c r="E92" i="21"/>
  <c r="F93" i="21"/>
  <c r="C82" i="19"/>
  <c r="G82" i="19"/>
  <c r="Y82" i="19" s="1"/>
  <c r="E87" i="18"/>
  <c r="H86" i="18"/>
  <c r="I86" i="18" s="1"/>
  <c r="G84" i="6"/>
  <c r="H84" i="6" s="1"/>
  <c r="R81" i="18"/>
  <c r="S80" i="18"/>
  <c r="U80" i="18" s="1"/>
  <c r="T80" i="18"/>
  <c r="V79" i="18"/>
  <c r="E83" i="19"/>
  <c r="F84" i="19"/>
  <c r="AD80" i="18"/>
  <c r="AC80" i="18"/>
  <c r="AE80" i="18" s="1"/>
  <c r="J82" i="19"/>
  <c r="J91" i="21"/>
  <c r="M82" i="19" l="1"/>
  <c r="O82" i="19" s="1"/>
  <c r="AF80" i="18"/>
  <c r="Y86" i="18"/>
  <c r="AB85" i="18"/>
  <c r="M91" i="21"/>
  <c r="E93" i="21"/>
  <c r="F94" i="21"/>
  <c r="C92" i="21"/>
  <c r="G92" i="21"/>
  <c r="Y92" i="21" s="1"/>
  <c r="C83" i="19"/>
  <c r="G83" i="19"/>
  <c r="Y83" i="19" s="1"/>
  <c r="E88" i="18"/>
  <c r="H87" i="18"/>
  <c r="I87" i="18" s="1"/>
  <c r="G85" i="6"/>
  <c r="H85" i="6" s="1"/>
  <c r="V80" i="18"/>
  <c r="AD81" i="18"/>
  <c r="AC81" i="18"/>
  <c r="AE81" i="18" s="1"/>
  <c r="E84" i="19"/>
  <c r="F85" i="19"/>
  <c r="T81" i="18"/>
  <c r="S81" i="18"/>
  <c r="U81" i="18" s="1"/>
  <c r="R82" i="18"/>
  <c r="J83" i="19"/>
  <c r="J92" i="21"/>
  <c r="M83" i="19" l="1"/>
  <c r="O83" i="19" s="1"/>
  <c r="Y87" i="18"/>
  <c r="AB86" i="18"/>
  <c r="AF81" i="18"/>
  <c r="M92" i="21"/>
  <c r="E94" i="21"/>
  <c r="F95" i="21"/>
  <c r="G93" i="21"/>
  <c r="Y93" i="21" s="1"/>
  <c r="C93" i="21"/>
  <c r="C84" i="19"/>
  <c r="G84" i="19"/>
  <c r="Y84" i="19" s="1"/>
  <c r="E89" i="18"/>
  <c r="H88" i="18"/>
  <c r="I88" i="18" s="1"/>
  <c r="G86" i="6"/>
  <c r="H86" i="6" s="1"/>
  <c r="V81" i="18"/>
  <c r="R83" i="18"/>
  <c r="E85" i="19"/>
  <c r="F86" i="19"/>
  <c r="AD82" i="18"/>
  <c r="AC82" i="18"/>
  <c r="AE82" i="18" s="1"/>
  <c r="T82" i="18"/>
  <c r="S82" i="18"/>
  <c r="U82" i="18" s="1"/>
  <c r="J93" i="21"/>
  <c r="J84" i="19"/>
  <c r="M84" i="19" l="1"/>
  <c r="O84" i="19" s="1"/>
  <c r="Y88" i="18"/>
  <c r="AB87" i="18"/>
  <c r="AF82" i="18"/>
  <c r="M93" i="21"/>
  <c r="E95" i="21"/>
  <c r="F96" i="21"/>
  <c r="G94" i="21"/>
  <c r="Y94" i="21" s="1"/>
  <c r="C94" i="21"/>
  <c r="C85" i="19"/>
  <c r="G85" i="19"/>
  <c r="Y85" i="19" s="1"/>
  <c r="E90" i="18"/>
  <c r="H89" i="18"/>
  <c r="I89" i="18" s="1"/>
  <c r="G87" i="6"/>
  <c r="H87" i="6" s="1"/>
  <c r="AD83" i="18"/>
  <c r="AC83" i="18"/>
  <c r="AE83" i="18" s="1"/>
  <c r="F87" i="19"/>
  <c r="E86" i="19"/>
  <c r="S83" i="18"/>
  <c r="U83" i="18" s="1"/>
  <c r="T83" i="18"/>
  <c r="V82" i="18"/>
  <c r="R84" i="18"/>
  <c r="J94" i="21"/>
  <c r="J85" i="19"/>
  <c r="M85" i="19" l="1"/>
  <c r="O85" i="19" s="1"/>
  <c r="AF83" i="18"/>
  <c r="Y89" i="18"/>
  <c r="AB88" i="18"/>
  <c r="M94" i="21"/>
  <c r="F97" i="21"/>
  <c r="E96" i="21"/>
  <c r="G95" i="21"/>
  <c r="Y95" i="21" s="1"/>
  <c r="C95" i="21"/>
  <c r="C86" i="19"/>
  <c r="G86" i="19"/>
  <c r="Y86" i="19" s="1"/>
  <c r="E91" i="18"/>
  <c r="H90" i="18"/>
  <c r="I90" i="18" s="1"/>
  <c r="G88" i="6"/>
  <c r="H88" i="6" s="1"/>
  <c r="F88" i="19"/>
  <c r="E87" i="19"/>
  <c r="R85" i="18"/>
  <c r="S84" i="18"/>
  <c r="U84" i="18" s="1"/>
  <c r="T84" i="18"/>
  <c r="AD84" i="18"/>
  <c r="AC84" i="18"/>
  <c r="AE84" i="18" s="1"/>
  <c r="V83" i="18"/>
  <c r="J95" i="21"/>
  <c r="J86" i="19"/>
  <c r="M86" i="19" l="1"/>
  <c r="O86" i="19" s="1"/>
  <c r="Y90" i="18"/>
  <c r="AB89" i="18"/>
  <c r="AF84" i="18"/>
  <c r="M95" i="21"/>
  <c r="C96" i="21"/>
  <c r="G96" i="21"/>
  <c r="Y96" i="21" s="1"/>
  <c r="F98" i="21"/>
  <c r="E97" i="21"/>
  <c r="C87" i="19"/>
  <c r="G87" i="19"/>
  <c r="Y87" i="19" s="1"/>
  <c r="E92" i="18"/>
  <c r="H91" i="18"/>
  <c r="I91" i="18" s="1"/>
  <c r="G89" i="6"/>
  <c r="H89" i="6" s="1"/>
  <c r="V84" i="18"/>
  <c r="AC85" i="18"/>
  <c r="AE85" i="18" s="1"/>
  <c r="AD85" i="18"/>
  <c r="T85" i="18"/>
  <c r="S85" i="18"/>
  <c r="U85" i="18" s="1"/>
  <c r="R86" i="18"/>
  <c r="F89" i="19"/>
  <c r="E88" i="19"/>
  <c r="J87" i="19"/>
  <c r="J96" i="21"/>
  <c r="M87" i="19" l="1"/>
  <c r="O87" i="19" s="1"/>
  <c r="Y91" i="18"/>
  <c r="AB90" i="18"/>
  <c r="AF85" i="18"/>
  <c r="M96" i="21"/>
  <c r="G97" i="21"/>
  <c r="Y97" i="21" s="1"/>
  <c r="C97" i="21"/>
  <c r="E98" i="21"/>
  <c r="F99" i="21"/>
  <c r="C88" i="19"/>
  <c r="G88" i="19"/>
  <c r="Y88" i="19" s="1"/>
  <c r="E93" i="18"/>
  <c r="H92" i="18"/>
  <c r="I92" i="18" s="1"/>
  <c r="G90" i="6"/>
  <c r="H90" i="6" s="1"/>
  <c r="F90" i="19"/>
  <c r="E89" i="19"/>
  <c r="V85" i="18"/>
  <c r="T86" i="18"/>
  <c r="S86" i="18"/>
  <c r="U86" i="18" s="1"/>
  <c r="R87" i="18"/>
  <c r="AD86" i="18"/>
  <c r="AC86" i="18"/>
  <c r="AE86" i="18" s="1"/>
  <c r="J88" i="19"/>
  <c r="J97" i="21"/>
  <c r="M88" i="19" l="1"/>
  <c r="O88" i="19" s="1"/>
  <c r="AF86" i="18"/>
  <c r="Y92" i="18"/>
  <c r="AB91" i="18"/>
  <c r="M97" i="21"/>
  <c r="F100" i="21"/>
  <c r="E99" i="21"/>
  <c r="C98" i="21"/>
  <c r="G98" i="21"/>
  <c r="Y98" i="21" s="1"/>
  <c r="C89" i="19"/>
  <c r="G89" i="19"/>
  <c r="Y89" i="19" s="1"/>
  <c r="E94" i="18"/>
  <c r="H93" i="18"/>
  <c r="I93" i="18" s="1"/>
  <c r="G91" i="6"/>
  <c r="H91" i="6" s="1"/>
  <c r="V86" i="18"/>
  <c r="R88" i="18"/>
  <c r="T87" i="18"/>
  <c r="S87" i="18"/>
  <c r="U87" i="18" s="1"/>
  <c r="AD87" i="18"/>
  <c r="AC87" i="18"/>
  <c r="AE87" i="18" s="1"/>
  <c r="E90" i="19"/>
  <c r="F91" i="19"/>
  <c r="J98" i="21"/>
  <c r="J89" i="19"/>
  <c r="M89" i="19" l="1"/>
  <c r="O89" i="19" s="1"/>
  <c r="Y93" i="18"/>
  <c r="AB92" i="18"/>
  <c r="AF87" i="18"/>
  <c r="M98" i="21"/>
  <c r="E100" i="21"/>
  <c r="F101" i="21"/>
  <c r="C99" i="21"/>
  <c r="G99" i="21"/>
  <c r="Y99" i="21" s="1"/>
  <c r="C90" i="19"/>
  <c r="G90" i="19"/>
  <c r="Y90" i="19" s="1"/>
  <c r="E95" i="18"/>
  <c r="H94" i="18"/>
  <c r="I94" i="18" s="1"/>
  <c r="G92" i="6"/>
  <c r="H92" i="6" s="1"/>
  <c r="V87" i="18"/>
  <c r="T88" i="18"/>
  <c r="S88" i="18"/>
  <c r="U88" i="18" s="1"/>
  <c r="AD88" i="18"/>
  <c r="AC88" i="18"/>
  <c r="AE88" i="18" s="1"/>
  <c r="R89" i="18"/>
  <c r="F92" i="19"/>
  <c r="E91" i="19"/>
  <c r="J90" i="19"/>
  <c r="J99" i="21"/>
  <c r="M90" i="19" l="1"/>
  <c r="O90" i="19" s="1"/>
  <c r="Y94" i="18"/>
  <c r="AB93" i="18"/>
  <c r="AF88" i="18"/>
  <c r="M99" i="21"/>
  <c r="G100" i="21"/>
  <c r="Y100" i="21" s="1"/>
  <c r="C100" i="21"/>
  <c r="F102" i="21"/>
  <c r="E101" i="21"/>
  <c r="C91" i="19"/>
  <c r="G91" i="19"/>
  <c r="Y91" i="19" s="1"/>
  <c r="E96" i="18"/>
  <c r="H95" i="18"/>
  <c r="I95" i="18" s="1"/>
  <c r="G93" i="6"/>
  <c r="H93" i="6" s="1"/>
  <c r="F93" i="19"/>
  <c r="E92" i="19"/>
  <c r="AD89" i="18"/>
  <c r="AC89" i="18"/>
  <c r="AE89" i="18" s="1"/>
  <c r="T89" i="18"/>
  <c r="S89" i="18"/>
  <c r="U89" i="18" s="1"/>
  <c r="R90" i="18"/>
  <c r="V88" i="18"/>
  <c r="J91" i="19"/>
  <c r="J100" i="21"/>
  <c r="M91" i="19" l="1"/>
  <c r="O91" i="19" s="1"/>
  <c r="Y95" i="18"/>
  <c r="AB94" i="18"/>
  <c r="AF89" i="18"/>
  <c r="M100" i="21"/>
  <c r="G101" i="21"/>
  <c r="Y101" i="21" s="1"/>
  <c r="C101" i="21"/>
  <c r="E102" i="21"/>
  <c r="F103" i="21"/>
  <c r="C92" i="19"/>
  <c r="G92" i="19"/>
  <c r="Y92" i="19" s="1"/>
  <c r="E97" i="18"/>
  <c r="H96" i="18"/>
  <c r="I96" i="18" s="1"/>
  <c r="G94" i="6"/>
  <c r="H94" i="6" s="1"/>
  <c r="R91" i="18"/>
  <c r="S90" i="18"/>
  <c r="U90" i="18" s="1"/>
  <c r="T90" i="18"/>
  <c r="V89" i="18"/>
  <c r="AD90" i="18"/>
  <c r="AC90" i="18"/>
  <c r="AE90" i="18" s="1"/>
  <c r="E93" i="19"/>
  <c r="F94" i="19"/>
  <c r="J101" i="21"/>
  <c r="J92" i="19"/>
  <c r="M92" i="19" l="1"/>
  <c r="O92" i="19" s="1"/>
  <c r="Y96" i="18"/>
  <c r="AB95" i="18"/>
  <c r="AF90" i="18"/>
  <c r="M101" i="21"/>
  <c r="E103" i="21"/>
  <c r="F104" i="21"/>
  <c r="G102" i="21"/>
  <c r="Y102" i="21" s="1"/>
  <c r="C102" i="21"/>
  <c r="C93" i="19"/>
  <c r="G93" i="19"/>
  <c r="Y93" i="19" s="1"/>
  <c r="E98" i="18"/>
  <c r="H97" i="18"/>
  <c r="I97" i="18" s="1"/>
  <c r="G95" i="6"/>
  <c r="H95" i="6" s="1"/>
  <c r="V90" i="18"/>
  <c r="F95" i="19"/>
  <c r="E94" i="19"/>
  <c r="T91" i="18"/>
  <c r="S91" i="18"/>
  <c r="U91" i="18" s="1"/>
  <c r="AD91" i="18"/>
  <c r="AC91" i="18"/>
  <c r="AE91" i="18" s="1"/>
  <c r="R92" i="18"/>
  <c r="J93" i="19"/>
  <c r="J102" i="21"/>
  <c r="M93" i="19" l="1"/>
  <c r="O93" i="19" s="1"/>
  <c r="Y97" i="18"/>
  <c r="AB96" i="18"/>
  <c r="AF91" i="18"/>
  <c r="M102" i="21"/>
  <c r="G103" i="21"/>
  <c r="Y103" i="21" s="1"/>
  <c r="C103" i="21"/>
  <c r="F105" i="21"/>
  <c r="E104" i="21"/>
  <c r="C94" i="19"/>
  <c r="G94" i="19"/>
  <c r="Y94" i="19" s="1"/>
  <c r="E99" i="18"/>
  <c r="H98" i="18"/>
  <c r="I98" i="18" s="1"/>
  <c r="G96" i="6"/>
  <c r="H96" i="6" s="1"/>
  <c r="AD92" i="18"/>
  <c r="AC92" i="18"/>
  <c r="AE92" i="18" s="1"/>
  <c r="V91" i="18"/>
  <c r="E95" i="19"/>
  <c r="F96" i="19"/>
  <c r="S92" i="18"/>
  <c r="U92" i="18" s="1"/>
  <c r="T92" i="18"/>
  <c r="R93" i="18"/>
  <c r="J103" i="21"/>
  <c r="J94" i="19"/>
  <c r="M94" i="19" l="1"/>
  <c r="O94" i="19" s="1"/>
  <c r="AF92" i="18"/>
  <c r="Y98" i="18"/>
  <c r="AB97" i="18"/>
  <c r="M103" i="21"/>
  <c r="C104" i="21"/>
  <c r="G104" i="21"/>
  <c r="Y104" i="21" s="1"/>
  <c r="F106" i="21"/>
  <c r="E105" i="21"/>
  <c r="C95" i="19"/>
  <c r="G95" i="19"/>
  <c r="Y95" i="19" s="1"/>
  <c r="E100" i="18"/>
  <c r="H99" i="18"/>
  <c r="I99" i="18" s="1"/>
  <c r="G97" i="6"/>
  <c r="H97" i="6" s="1"/>
  <c r="V92" i="18"/>
  <c r="T93" i="18"/>
  <c r="S93" i="18"/>
  <c r="U93" i="18" s="1"/>
  <c r="E96" i="19"/>
  <c r="F97" i="19"/>
  <c r="AD93" i="18"/>
  <c r="AC93" i="18"/>
  <c r="AE93" i="18" s="1"/>
  <c r="R94" i="18"/>
  <c r="J95" i="19"/>
  <c r="J104" i="21"/>
  <c r="M95" i="19" l="1"/>
  <c r="O95" i="19" s="1"/>
  <c r="AF93" i="18"/>
  <c r="Y99" i="18"/>
  <c r="AB98" i="18"/>
  <c r="M104" i="21"/>
  <c r="G105" i="21"/>
  <c r="Y105" i="21" s="1"/>
  <c r="C105" i="21"/>
  <c r="E106" i="21"/>
  <c r="F107" i="21"/>
  <c r="C96" i="19"/>
  <c r="G96" i="19"/>
  <c r="Y96" i="19" s="1"/>
  <c r="E101" i="18"/>
  <c r="H100" i="18"/>
  <c r="I100" i="18" s="1"/>
  <c r="G98" i="6"/>
  <c r="H98" i="6" s="1"/>
  <c r="V93" i="18"/>
  <c r="AD94" i="18"/>
  <c r="AC94" i="18"/>
  <c r="AE94" i="18" s="1"/>
  <c r="T94" i="18"/>
  <c r="S94" i="18"/>
  <c r="U94" i="18" s="1"/>
  <c r="R95" i="18"/>
  <c r="E97" i="19"/>
  <c r="F98" i="19"/>
  <c r="J96" i="19"/>
  <c r="J105" i="21"/>
  <c r="M96" i="19" l="1"/>
  <c r="O96" i="19" s="1"/>
  <c r="Y100" i="18"/>
  <c r="AB99" i="18"/>
  <c r="AF94" i="18"/>
  <c r="M105" i="21"/>
  <c r="F108" i="21"/>
  <c r="E107" i="21"/>
  <c r="C106" i="21"/>
  <c r="G106" i="21"/>
  <c r="Y106" i="21" s="1"/>
  <c r="C97" i="19"/>
  <c r="G97" i="19"/>
  <c r="Y97" i="19" s="1"/>
  <c r="E102" i="18"/>
  <c r="H101" i="18"/>
  <c r="I101" i="18" s="1"/>
  <c r="G99" i="6"/>
  <c r="H99" i="6" s="1"/>
  <c r="S95" i="18"/>
  <c r="U95" i="18" s="1"/>
  <c r="T95" i="18"/>
  <c r="V94" i="18"/>
  <c r="F99" i="19"/>
  <c r="E98" i="19"/>
  <c r="R96" i="18"/>
  <c r="AD95" i="18"/>
  <c r="AC95" i="18"/>
  <c r="AE95" i="18" s="1"/>
  <c r="J106" i="21"/>
  <c r="J97" i="19"/>
  <c r="M97" i="19" l="1"/>
  <c r="O97" i="19" s="1"/>
  <c r="AF95" i="18"/>
  <c r="Y101" i="18"/>
  <c r="AB100" i="18"/>
  <c r="M106" i="21"/>
  <c r="E108" i="21"/>
  <c r="F109" i="21"/>
  <c r="G107" i="21"/>
  <c r="Y107" i="21" s="1"/>
  <c r="C107" i="21"/>
  <c r="C98" i="19"/>
  <c r="G98" i="19"/>
  <c r="Y98" i="19" s="1"/>
  <c r="E103" i="18"/>
  <c r="H102" i="18"/>
  <c r="I102" i="18" s="1"/>
  <c r="G100" i="6"/>
  <c r="H100" i="6" s="1"/>
  <c r="V95" i="18"/>
  <c r="R97" i="18"/>
  <c r="S96" i="18"/>
  <c r="U96" i="18" s="1"/>
  <c r="T96" i="18"/>
  <c r="F100" i="19"/>
  <c r="E99" i="19"/>
  <c r="AD96" i="18"/>
  <c r="AC96" i="18"/>
  <c r="AE96" i="18" s="1"/>
  <c r="J107" i="21"/>
  <c r="J98" i="19"/>
  <c r="M98" i="19" l="1"/>
  <c r="O98" i="19" s="1"/>
  <c r="AF96" i="18"/>
  <c r="Y102" i="18"/>
  <c r="AB101" i="18"/>
  <c r="M107" i="21"/>
  <c r="C108" i="21"/>
  <c r="G108" i="21"/>
  <c r="Y108" i="21" s="1"/>
  <c r="F110" i="21"/>
  <c r="E109" i="21"/>
  <c r="C99" i="19"/>
  <c r="G99" i="19"/>
  <c r="Y99" i="19" s="1"/>
  <c r="E104" i="18"/>
  <c r="H103" i="18"/>
  <c r="I103" i="18" s="1"/>
  <c r="G101" i="6"/>
  <c r="H101" i="6" s="1"/>
  <c r="V96" i="18"/>
  <c r="AC97" i="18"/>
  <c r="AE97" i="18" s="1"/>
  <c r="AD97" i="18"/>
  <c r="T97" i="18"/>
  <c r="S97" i="18"/>
  <c r="U97" i="18" s="1"/>
  <c r="R98" i="18"/>
  <c r="F101" i="19"/>
  <c r="E100" i="19"/>
  <c r="J108" i="21"/>
  <c r="J99" i="19"/>
  <c r="M99" i="19" l="1"/>
  <c r="O99" i="19" s="1"/>
  <c r="AF97" i="18"/>
  <c r="Y103" i="18"/>
  <c r="AB102" i="18"/>
  <c r="M108" i="21"/>
  <c r="C109" i="21"/>
  <c r="G109" i="21"/>
  <c r="Y109" i="21" s="1"/>
  <c r="F111" i="21"/>
  <c r="E110" i="21"/>
  <c r="C100" i="19"/>
  <c r="G100" i="19"/>
  <c r="Y100" i="19" s="1"/>
  <c r="E105" i="18"/>
  <c r="H104" i="18"/>
  <c r="I104" i="18" s="1"/>
  <c r="G102" i="6"/>
  <c r="H102" i="6" s="1"/>
  <c r="V97" i="18"/>
  <c r="AD98" i="18"/>
  <c r="AC98" i="18"/>
  <c r="AE98" i="18" s="1"/>
  <c r="T98" i="18"/>
  <c r="S98" i="18"/>
  <c r="U98" i="18" s="1"/>
  <c r="R99" i="18"/>
  <c r="F102" i="19"/>
  <c r="E101" i="19"/>
  <c r="J100" i="19"/>
  <c r="J109" i="21"/>
  <c r="M100" i="19" l="1"/>
  <c r="O100" i="19" s="1"/>
  <c r="Y104" i="18"/>
  <c r="AB103" i="18"/>
  <c r="AF98" i="18"/>
  <c r="M109" i="21"/>
  <c r="F112" i="21"/>
  <c r="E111" i="21"/>
  <c r="C110" i="21"/>
  <c r="G110" i="21"/>
  <c r="Y110" i="21" s="1"/>
  <c r="C101" i="19"/>
  <c r="G101" i="19"/>
  <c r="Y101" i="19" s="1"/>
  <c r="E106" i="18"/>
  <c r="H105" i="18"/>
  <c r="I105" i="18" s="1"/>
  <c r="G103" i="6"/>
  <c r="H103" i="6" s="1"/>
  <c r="V98" i="18"/>
  <c r="T99" i="18"/>
  <c r="S99" i="18"/>
  <c r="U99" i="18" s="1"/>
  <c r="R100" i="18"/>
  <c r="AD99" i="18"/>
  <c r="AC99" i="18"/>
  <c r="AE99" i="18" s="1"/>
  <c r="F103" i="19"/>
  <c r="E102" i="19"/>
  <c r="J110" i="21"/>
  <c r="J101" i="19"/>
  <c r="M101" i="19" l="1"/>
  <c r="O101" i="19" s="1"/>
  <c r="AF99" i="18"/>
  <c r="Y105" i="18"/>
  <c r="AB104" i="18"/>
  <c r="M110" i="21"/>
  <c r="F113" i="21"/>
  <c r="E112" i="21"/>
  <c r="C111" i="21"/>
  <c r="G111" i="21"/>
  <c r="Y111" i="21" s="1"/>
  <c r="C102" i="19"/>
  <c r="G102" i="19"/>
  <c r="Y102" i="19" s="1"/>
  <c r="E107" i="18"/>
  <c r="H106" i="18"/>
  <c r="I106" i="18" s="1"/>
  <c r="G104" i="6"/>
  <c r="H104" i="6" s="1"/>
  <c r="V99" i="18"/>
  <c r="T100" i="18"/>
  <c r="S100" i="18"/>
  <c r="U100" i="18" s="1"/>
  <c r="R101" i="18"/>
  <c r="AD100" i="18"/>
  <c r="AC100" i="18"/>
  <c r="AE100" i="18" s="1"/>
  <c r="F104" i="19"/>
  <c r="E103" i="19"/>
  <c r="J102" i="19"/>
  <c r="J111" i="21"/>
  <c r="M102" i="19" l="1"/>
  <c r="O102" i="19" s="1"/>
  <c r="Y106" i="18"/>
  <c r="AB105" i="18"/>
  <c r="AF100" i="18"/>
  <c r="M111" i="21"/>
  <c r="F114" i="21"/>
  <c r="E113" i="21"/>
  <c r="G112" i="21"/>
  <c r="Y112" i="21" s="1"/>
  <c r="C112" i="21"/>
  <c r="C103" i="19"/>
  <c r="G103" i="19"/>
  <c r="Y103" i="19" s="1"/>
  <c r="E108" i="18"/>
  <c r="H107" i="18"/>
  <c r="I107" i="18" s="1"/>
  <c r="G105" i="6"/>
  <c r="H105" i="6" s="1"/>
  <c r="V100" i="18"/>
  <c r="R102" i="18"/>
  <c r="F105" i="19"/>
  <c r="E104" i="19"/>
  <c r="T101" i="18"/>
  <c r="S101" i="18"/>
  <c r="U101" i="18" s="1"/>
  <c r="AD101" i="18"/>
  <c r="AC101" i="18"/>
  <c r="AE101" i="18" s="1"/>
  <c r="J112" i="21"/>
  <c r="J103" i="19"/>
  <c r="M103" i="19" l="1"/>
  <c r="O103" i="19" s="1"/>
  <c r="Y107" i="18"/>
  <c r="AB106" i="18"/>
  <c r="AF101" i="18"/>
  <c r="M112" i="21"/>
  <c r="F115" i="21"/>
  <c r="E114" i="21"/>
  <c r="G113" i="21"/>
  <c r="Y113" i="21" s="1"/>
  <c r="C113" i="21"/>
  <c r="C104" i="19"/>
  <c r="G104" i="19"/>
  <c r="Y104" i="19" s="1"/>
  <c r="E109" i="18"/>
  <c r="H108" i="18"/>
  <c r="I108" i="18" s="1"/>
  <c r="G106" i="6"/>
  <c r="H106" i="6" s="1"/>
  <c r="T102" i="18"/>
  <c r="S102" i="18"/>
  <c r="U102" i="18" s="1"/>
  <c r="R103" i="18"/>
  <c r="E105" i="19"/>
  <c r="F106" i="19"/>
  <c r="V101" i="18"/>
  <c r="AD102" i="18"/>
  <c r="AC102" i="18"/>
  <c r="AE102" i="18" s="1"/>
  <c r="J104" i="19"/>
  <c r="J113" i="21"/>
  <c r="M104" i="19" l="1"/>
  <c r="O104" i="19" s="1"/>
  <c r="Y108" i="18"/>
  <c r="AB107" i="18"/>
  <c r="AF102" i="18"/>
  <c r="M113" i="21"/>
  <c r="F116" i="21"/>
  <c r="E115" i="21"/>
  <c r="G114" i="21"/>
  <c r="Y114" i="21" s="1"/>
  <c r="C114" i="21"/>
  <c r="C105" i="19"/>
  <c r="G105" i="19"/>
  <c r="Y105" i="19" s="1"/>
  <c r="E110" i="18"/>
  <c r="H109" i="18"/>
  <c r="I109" i="18" s="1"/>
  <c r="G107" i="6"/>
  <c r="H107" i="6" s="1"/>
  <c r="E106" i="19"/>
  <c r="F107" i="19"/>
  <c r="T103" i="18"/>
  <c r="S103" i="18"/>
  <c r="U103" i="18" s="1"/>
  <c r="V102" i="18"/>
  <c r="AD103" i="18"/>
  <c r="AC103" i="18"/>
  <c r="AE103" i="18" s="1"/>
  <c r="R104" i="18"/>
  <c r="J114" i="21"/>
  <c r="J105" i="19"/>
  <c r="M105" i="19" l="1"/>
  <c r="O105" i="19" s="1"/>
  <c r="Y109" i="18"/>
  <c r="AB108" i="18"/>
  <c r="AF103" i="18"/>
  <c r="M114" i="21"/>
  <c r="F117" i="21"/>
  <c r="E116" i="21"/>
  <c r="G115" i="21"/>
  <c r="Y115" i="21" s="1"/>
  <c r="C115" i="21"/>
  <c r="C106" i="19"/>
  <c r="G106" i="19"/>
  <c r="Y106" i="19" s="1"/>
  <c r="E111" i="18"/>
  <c r="H110" i="18"/>
  <c r="I110" i="18" s="1"/>
  <c r="G108" i="6"/>
  <c r="H108" i="6" s="1"/>
  <c r="V103" i="18"/>
  <c r="S104" i="18"/>
  <c r="U104" i="18" s="1"/>
  <c r="T104" i="18"/>
  <c r="R105" i="18"/>
  <c r="AD104" i="18"/>
  <c r="AC104" i="18"/>
  <c r="AE104" i="18" s="1"/>
  <c r="E107" i="19"/>
  <c r="F108" i="19"/>
  <c r="J106" i="19"/>
  <c r="J115" i="21"/>
  <c r="M106" i="19" l="1"/>
  <c r="O106" i="19" s="1"/>
  <c r="Y110" i="18"/>
  <c r="AB109" i="18"/>
  <c r="AF104" i="18"/>
  <c r="M115" i="21"/>
  <c r="E117" i="21"/>
  <c r="F118" i="21"/>
  <c r="C116" i="21"/>
  <c r="G116" i="21"/>
  <c r="Y116" i="21" s="1"/>
  <c r="C107" i="19"/>
  <c r="G107" i="19"/>
  <c r="Y107" i="19" s="1"/>
  <c r="E112" i="18"/>
  <c r="H111" i="18"/>
  <c r="I111" i="18" s="1"/>
  <c r="G109" i="6"/>
  <c r="H109" i="6" s="1"/>
  <c r="V104" i="18"/>
  <c r="R106" i="18"/>
  <c r="AD105" i="18"/>
  <c r="AC105" i="18"/>
  <c r="AE105" i="18" s="1"/>
  <c r="E108" i="19"/>
  <c r="F109" i="19"/>
  <c r="T105" i="18"/>
  <c r="S105" i="18"/>
  <c r="U105" i="18" s="1"/>
  <c r="J107" i="19"/>
  <c r="J116" i="21"/>
  <c r="M107" i="19" l="1"/>
  <c r="O107" i="19" s="1"/>
  <c r="Y111" i="18"/>
  <c r="AB110" i="18"/>
  <c r="AF105" i="18"/>
  <c r="M116" i="21"/>
  <c r="G117" i="21"/>
  <c r="Y117" i="21" s="1"/>
  <c r="C117" i="21"/>
  <c r="F119" i="21"/>
  <c r="E118" i="21"/>
  <c r="C108" i="19"/>
  <c r="G108" i="19"/>
  <c r="Y108" i="19" s="1"/>
  <c r="E113" i="18"/>
  <c r="H112" i="18"/>
  <c r="I112" i="18" s="1"/>
  <c r="G110" i="6"/>
  <c r="H110" i="6" s="1"/>
  <c r="V105" i="18"/>
  <c r="E109" i="19"/>
  <c r="F110" i="19"/>
  <c r="AD106" i="18"/>
  <c r="AC106" i="18"/>
  <c r="AE106" i="18" s="1"/>
  <c r="T106" i="18"/>
  <c r="S106" i="18"/>
  <c r="U106" i="18" s="1"/>
  <c r="R107" i="18"/>
  <c r="J117" i="21"/>
  <c r="J108" i="19"/>
  <c r="M108" i="19" l="1"/>
  <c r="O108" i="19" s="1"/>
  <c r="Y112" i="18"/>
  <c r="AB111" i="18"/>
  <c r="AF106" i="18"/>
  <c r="M117" i="21"/>
  <c r="G118" i="21"/>
  <c r="Y118" i="21" s="1"/>
  <c r="C118" i="21"/>
  <c r="F120" i="21"/>
  <c r="E119" i="21"/>
  <c r="C109" i="19"/>
  <c r="G109" i="19"/>
  <c r="E114" i="18"/>
  <c r="H113" i="18"/>
  <c r="I113" i="18" s="1"/>
  <c r="G111" i="6"/>
  <c r="H111" i="6" s="1"/>
  <c r="V106" i="18"/>
  <c r="R108" i="18"/>
  <c r="F111" i="19"/>
  <c r="E110" i="19"/>
  <c r="AD107" i="18"/>
  <c r="AC107" i="18"/>
  <c r="AE107" i="18" s="1"/>
  <c r="T107" i="18"/>
  <c r="S107" i="18"/>
  <c r="U107" i="18" s="1"/>
  <c r="J118" i="21"/>
  <c r="J109" i="19"/>
  <c r="M109" i="19" l="1"/>
  <c r="O109" i="19" s="1"/>
  <c r="AF107" i="18"/>
  <c r="Y113" i="18"/>
  <c r="AB112" i="18"/>
  <c r="M118" i="21"/>
  <c r="G119" i="21"/>
  <c r="Y119" i="21" s="1"/>
  <c r="C119" i="21"/>
  <c r="F121" i="21"/>
  <c r="E120" i="21"/>
  <c r="Y109" i="19"/>
  <c r="C110" i="19"/>
  <c r="G110" i="19"/>
  <c r="Y110" i="19" s="1"/>
  <c r="E115" i="18"/>
  <c r="H114" i="18"/>
  <c r="I114" i="18" s="1"/>
  <c r="G112" i="6"/>
  <c r="H112" i="6" s="1"/>
  <c r="V107" i="18"/>
  <c r="AD108" i="18"/>
  <c r="AC108" i="18"/>
  <c r="AE108" i="18" s="1"/>
  <c r="F112" i="19"/>
  <c r="E111" i="19"/>
  <c r="S108" i="18"/>
  <c r="U108" i="18" s="1"/>
  <c r="T108" i="18"/>
  <c r="R109" i="18"/>
  <c r="J110" i="19"/>
  <c r="J119" i="21"/>
  <c r="M110" i="19" l="1"/>
  <c r="O110" i="19" s="1"/>
  <c r="AF108" i="18"/>
  <c r="Y114" i="18"/>
  <c r="AB113" i="18"/>
  <c r="M119" i="21"/>
  <c r="F122" i="21"/>
  <c r="E121" i="21"/>
  <c r="C120" i="21"/>
  <c r="G120" i="21"/>
  <c r="Y120" i="21" s="1"/>
  <c r="C111" i="19"/>
  <c r="G111" i="19"/>
  <c r="Y111" i="19" s="1"/>
  <c r="E116" i="18"/>
  <c r="H115" i="18"/>
  <c r="I115" i="18" s="1"/>
  <c r="G113" i="6"/>
  <c r="H113" i="6" s="1"/>
  <c r="E112" i="19"/>
  <c r="F113" i="19"/>
  <c r="V108" i="18"/>
  <c r="AC109" i="18"/>
  <c r="AE109" i="18" s="1"/>
  <c r="AD109" i="18"/>
  <c r="T109" i="18"/>
  <c r="S109" i="18"/>
  <c r="U109" i="18" s="1"/>
  <c r="R110" i="18"/>
  <c r="J120" i="21"/>
  <c r="J111" i="19"/>
  <c r="M111" i="19" l="1"/>
  <c r="O111" i="19" s="1"/>
  <c r="AF109" i="18"/>
  <c r="Y115" i="18"/>
  <c r="AB114" i="18"/>
  <c r="M120" i="21"/>
  <c r="G121" i="21"/>
  <c r="Y121" i="21" s="1"/>
  <c r="C121" i="21"/>
  <c r="F123" i="21"/>
  <c r="E122" i="21"/>
  <c r="C112" i="19"/>
  <c r="G112" i="19"/>
  <c r="Y112" i="19" s="1"/>
  <c r="E117" i="18"/>
  <c r="H116" i="18"/>
  <c r="I116" i="18" s="1"/>
  <c r="G114" i="6"/>
  <c r="H114" i="6" s="1"/>
  <c r="V109" i="18"/>
  <c r="AD110" i="18"/>
  <c r="AC110" i="18"/>
  <c r="AE110" i="18" s="1"/>
  <c r="T110" i="18"/>
  <c r="S110" i="18"/>
  <c r="U110" i="18" s="1"/>
  <c r="E113" i="19"/>
  <c r="F114" i="19"/>
  <c r="R111" i="18"/>
  <c r="J112" i="19"/>
  <c r="J121" i="21"/>
  <c r="M112" i="19" l="1"/>
  <c r="O112" i="19" s="1"/>
  <c r="Y116" i="18"/>
  <c r="AB115" i="18"/>
  <c r="AF110" i="18"/>
  <c r="M121" i="21"/>
  <c r="C122" i="21"/>
  <c r="G122" i="21"/>
  <c r="Y122" i="21" s="1"/>
  <c r="E123" i="21"/>
  <c r="F124" i="21"/>
  <c r="C113" i="19"/>
  <c r="G113" i="19"/>
  <c r="Y113" i="19" s="1"/>
  <c r="E118" i="18"/>
  <c r="H117" i="18"/>
  <c r="I117" i="18" s="1"/>
  <c r="G115" i="6"/>
  <c r="H115" i="6" s="1"/>
  <c r="V110" i="18"/>
  <c r="AD111" i="18"/>
  <c r="AC111" i="18"/>
  <c r="AE111" i="18" s="1"/>
  <c r="T111" i="18"/>
  <c r="S111" i="18"/>
  <c r="U111" i="18" s="1"/>
  <c r="R112" i="18"/>
  <c r="F115" i="19"/>
  <c r="E114" i="19"/>
  <c r="J122" i="21"/>
  <c r="J113" i="19"/>
  <c r="M113" i="19" l="1"/>
  <c r="O113" i="19" s="1"/>
  <c r="AF111" i="18"/>
  <c r="Y117" i="18"/>
  <c r="AB116" i="18"/>
  <c r="M122" i="21"/>
  <c r="E124" i="21"/>
  <c r="F125" i="21"/>
  <c r="C123" i="21"/>
  <c r="G123" i="21"/>
  <c r="Y123" i="21" s="1"/>
  <c r="C114" i="19"/>
  <c r="G114" i="19"/>
  <c r="Y114" i="19" s="1"/>
  <c r="E119" i="18"/>
  <c r="H118" i="18"/>
  <c r="I118" i="18" s="1"/>
  <c r="G116" i="6"/>
  <c r="H116" i="6" s="1"/>
  <c r="AD112" i="18"/>
  <c r="AC112" i="18"/>
  <c r="AE112" i="18" s="1"/>
  <c r="V111" i="18"/>
  <c r="T112" i="18"/>
  <c r="S112" i="18"/>
  <c r="U112" i="18" s="1"/>
  <c r="R113" i="18"/>
  <c r="F116" i="19"/>
  <c r="E115" i="19"/>
  <c r="J114" i="19"/>
  <c r="J123" i="21"/>
  <c r="M114" i="19" l="1"/>
  <c r="O114" i="19" s="1"/>
  <c r="AF112" i="18"/>
  <c r="Y118" i="18"/>
  <c r="AB117" i="18"/>
  <c r="M123" i="21"/>
  <c r="F126" i="21"/>
  <c r="E125" i="21"/>
  <c r="G124" i="21"/>
  <c r="Y124" i="21" s="1"/>
  <c r="C124" i="21"/>
  <c r="C115" i="19"/>
  <c r="G115" i="19"/>
  <c r="Y115" i="19" s="1"/>
  <c r="E120" i="18"/>
  <c r="H119" i="18"/>
  <c r="I119" i="18" s="1"/>
  <c r="G117" i="6"/>
  <c r="H117" i="6" s="1"/>
  <c r="AD113" i="18"/>
  <c r="AC113" i="18"/>
  <c r="AE113" i="18" s="1"/>
  <c r="T113" i="18"/>
  <c r="S113" i="18"/>
  <c r="U113" i="18" s="1"/>
  <c r="V112" i="18"/>
  <c r="R114" i="18"/>
  <c r="E116" i="19"/>
  <c r="F117" i="19"/>
  <c r="J115" i="19"/>
  <c r="J124" i="21"/>
  <c r="M115" i="19" l="1"/>
  <c r="O115" i="19" s="1"/>
  <c r="AF113" i="18"/>
  <c r="Y119" i="18"/>
  <c r="AB118" i="18"/>
  <c r="M124" i="21"/>
  <c r="F127" i="21"/>
  <c r="E126" i="21"/>
  <c r="G125" i="21"/>
  <c r="Y125" i="21" s="1"/>
  <c r="C125" i="21"/>
  <c r="C116" i="19"/>
  <c r="G116" i="19"/>
  <c r="Y116" i="19" s="1"/>
  <c r="E121" i="18"/>
  <c r="H120" i="18"/>
  <c r="I120" i="18" s="1"/>
  <c r="G118" i="6"/>
  <c r="H118" i="6" s="1"/>
  <c r="R115" i="18"/>
  <c r="T114" i="18"/>
  <c r="S114" i="18"/>
  <c r="U114" i="18" s="1"/>
  <c r="AD114" i="18"/>
  <c r="AC114" i="18"/>
  <c r="AE114" i="18" s="1"/>
  <c r="V113" i="18"/>
  <c r="E117" i="19"/>
  <c r="F118" i="19"/>
  <c r="J116" i="19"/>
  <c r="J125" i="21"/>
  <c r="M116" i="19" l="1"/>
  <c r="O116" i="19" s="1"/>
  <c r="Y120" i="18"/>
  <c r="AB119" i="18"/>
  <c r="AF114" i="18"/>
  <c r="M125" i="21"/>
  <c r="F128" i="21"/>
  <c r="E127" i="21"/>
  <c r="C126" i="21"/>
  <c r="G126" i="21"/>
  <c r="Y126" i="21" s="1"/>
  <c r="C117" i="19"/>
  <c r="G117" i="19"/>
  <c r="Y117" i="19" s="1"/>
  <c r="E122" i="18"/>
  <c r="H121" i="18"/>
  <c r="I121" i="18" s="1"/>
  <c r="G119" i="6"/>
  <c r="H119" i="6" s="1"/>
  <c r="V114" i="18"/>
  <c r="AD115" i="18"/>
  <c r="AC115" i="18"/>
  <c r="AE115" i="18" s="1"/>
  <c r="T115" i="18"/>
  <c r="S115" i="18"/>
  <c r="U115" i="18" s="1"/>
  <c r="F119" i="19"/>
  <c r="E118" i="19"/>
  <c r="R116" i="18"/>
  <c r="J117" i="19"/>
  <c r="J126" i="21"/>
  <c r="M117" i="19" l="1"/>
  <c r="O117" i="19" s="1"/>
  <c r="AF115" i="18"/>
  <c r="Y121" i="18"/>
  <c r="AB120" i="18"/>
  <c r="M126" i="21"/>
  <c r="C127" i="21"/>
  <c r="G127" i="21"/>
  <c r="Y127" i="21" s="1"/>
  <c r="F129" i="21"/>
  <c r="E128" i="21"/>
  <c r="C118" i="19"/>
  <c r="G118" i="19"/>
  <c r="Y118" i="19" s="1"/>
  <c r="E123" i="18"/>
  <c r="H122" i="18"/>
  <c r="I122" i="18" s="1"/>
  <c r="G120" i="6"/>
  <c r="H120" i="6" s="1"/>
  <c r="V115" i="18"/>
  <c r="AD116" i="18"/>
  <c r="AC116" i="18"/>
  <c r="AE116" i="18" s="1"/>
  <c r="S116" i="18"/>
  <c r="U116" i="18" s="1"/>
  <c r="T116" i="18"/>
  <c r="E119" i="19"/>
  <c r="F120" i="19"/>
  <c r="R117" i="18"/>
  <c r="J118" i="19"/>
  <c r="J127" i="21"/>
  <c r="M118" i="19" l="1"/>
  <c r="O118" i="19" s="1"/>
  <c r="Y122" i="18"/>
  <c r="AB121" i="18"/>
  <c r="AF116" i="18"/>
  <c r="M127" i="21"/>
  <c r="C128" i="21"/>
  <c r="G128" i="21"/>
  <c r="Y128" i="21" s="1"/>
  <c r="E129" i="21"/>
  <c r="F130" i="21"/>
  <c r="C119" i="19"/>
  <c r="G119" i="19"/>
  <c r="Y119" i="19" s="1"/>
  <c r="E124" i="18"/>
  <c r="H123" i="18"/>
  <c r="I123" i="18" s="1"/>
  <c r="G121" i="6"/>
  <c r="H121" i="6" s="1"/>
  <c r="V116" i="18"/>
  <c r="AD117" i="18"/>
  <c r="AC117" i="18"/>
  <c r="AE117" i="18" s="1"/>
  <c r="F121" i="19"/>
  <c r="E120" i="19"/>
  <c r="T117" i="18"/>
  <c r="S117" i="18"/>
  <c r="U117" i="18" s="1"/>
  <c r="R118" i="18"/>
  <c r="J128" i="21"/>
  <c r="J119" i="19"/>
  <c r="M119" i="19" l="1"/>
  <c r="O119" i="19" s="1"/>
  <c r="AF117" i="18"/>
  <c r="Y123" i="18"/>
  <c r="AB122" i="18"/>
  <c r="M128" i="21"/>
  <c r="E130" i="21"/>
  <c r="F131" i="21"/>
  <c r="G129" i="21"/>
  <c r="Y129" i="21" s="1"/>
  <c r="C129" i="21"/>
  <c r="C120" i="19"/>
  <c r="G120" i="19"/>
  <c r="Y120" i="19" s="1"/>
  <c r="E125" i="18"/>
  <c r="H124" i="18"/>
  <c r="I124" i="18" s="1"/>
  <c r="G122" i="6"/>
  <c r="H122" i="6" s="1"/>
  <c r="R119" i="18"/>
  <c r="V117" i="18"/>
  <c r="AD118" i="18"/>
  <c r="AC118" i="18"/>
  <c r="AE118" i="18" s="1"/>
  <c r="E121" i="19"/>
  <c r="F122" i="19"/>
  <c r="T118" i="18"/>
  <c r="S118" i="18"/>
  <c r="U118" i="18" s="1"/>
  <c r="J129" i="21"/>
  <c r="J120" i="19"/>
  <c r="M120" i="19" l="1"/>
  <c r="O120" i="19" s="1"/>
  <c r="Y124" i="18"/>
  <c r="AB123" i="18"/>
  <c r="AF118" i="18"/>
  <c r="M129" i="21"/>
  <c r="G130" i="21"/>
  <c r="Y130" i="21" s="1"/>
  <c r="C130" i="21"/>
  <c r="F132" i="21"/>
  <c r="E131" i="21"/>
  <c r="C121" i="19"/>
  <c r="G121" i="19"/>
  <c r="Y121" i="19" s="1"/>
  <c r="E126" i="18"/>
  <c r="H125" i="18"/>
  <c r="I125" i="18" s="1"/>
  <c r="G123" i="6"/>
  <c r="H123" i="6" s="1"/>
  <c r="F123" i="19"/>
  <c r="E122" i="19"/>
  <c r="S119" i="18"/>
  <c r="U119" i="18" s="1"/>
  <c r="T119" i="18"/>
  <c r="AD119" i="18"/>
  <c r="AC119" i="18"/>
  <c r="AE119" i="18" s="1"/>
  <c r="V118" i="18"/>
  <c r="R120" i="18"/>
  <c r="J121" i="19"/>
  <c r="J130" i="21"/>
  <c r="M121" i="19" l="1"/>
  <c r="O121" i="19" s="1"/>
  <c r="Y125" i="18"/>
  <c r="AB124" i="18"/>
  <c r="AF119" i="18"/>
  <c r="M130" i="21"/>
  <c r="G131" i="21"/>
  <c r="Y131" i="21" s="1"/>
  <c r="C131" i="21"/>
  <c r="E132" i="21"/>
  <c r="F133" i="21"/>
  <c r="C122" i="19"/>
  <c r="G122" i="19"/>
  <c r="Y122" i="19" s="1"/>
  <c r="E127" i="18"/>
  <c r="H126" i="18"/>
  <c r="I126" i="18" s="1"/>
  <c r="G124" i="6"/>
  <c r="H124" i="6" s="1"/>
  <c r="V119" i="18"/>
  <c r="AD120" i="18"/>
  <c r="AC120" i="18"/>
  <c r="AE120" i="18" s="1"/>
  <c r="R121" i="18"/>
  <c r="F124" i="19"/>
  <c r="E123" i="19"/>
  <c r="S120" i="18"/>
  <c r="U120" i="18" s="1"/>
  <c r="T120" i="18"/>
  <c r="J131" i="21"/>
  <c r="J122" i="19"/>
  <c r="M122" i="19" l="1"/>
  <c r="O122" i="19" s="1"/>
  <c r="Y126" i="18"/>
  <c r="AB125" i="18"/>
  <c r="AF120" i="18"/>
  <c r="M131" i="21"/>
  <c r="C132" i="21"/>
  <c r="G132" i="21"/>
  <c r="Y132" i="21" s="1"/>
  <c r="F134" i="21"/>
  <c r="E133" i="21"/>
  <c r="C123" i="19"/>
  <c r="G123" i="19"/>
  <c r="Y123" i="19" s="1"/>
  <c r="E128" i="18"/>
  <c r="H127" i="18"/>
  <c r="I127" i="18" s="1"/>
  <c r="G125" i="6"/>
  <c r="H125" i="6" s="1"/>
  <c r="V120" i="18"/>
  <c r="E124" i="19"/>
  <c r="F125" i="19"/>
  <c r="R122" i="18"/>
  <c r="AC121" i="18"/>
  <c r="AE121" i="18" s="1"/>
  <c r="AD121" i="18"/>
  <c r="AF121" i="18" s="1"/>
  <c r="T121" i="18"/>
  <c r="S121" i="18"/>
  <c r="U121" i="18" s="1"/>
  <c r="J123" i="19"/>
  <c r="J132" i="21"/>
  <c r="M123" i="19" l="1"/>
  <c r="O123" i="19" s="1"/>
  <c r="Y127" i="18"/>
  <c r="AB126" i="18"/>
  <c r="M132" i="21"/>
  <c r="G133" i="21"/>
  <c r="Y133" i="21" s="1"/>
  <c r="C133" i="21"/>
  <c r="E134" i="21"/>
  <c r="F135" i="21"/>
  <c r="C124" i="19"/>
  <c r="G124" i="19"/>
  <c r="Y124" i="19" s="1"/>
  <c r="E129" i="18"/>
  <c r="H128" i="18"/>
  <c r="I128" i="18" s="1"/>
  <c r="G126" i="6"/>
  <c r="H126" i="6" s="1"/>
  <c r="AD122" i="18"/>
  <c r="AC122" i="18"/>
  <c r="AE122" i="18" s="1"/>
  <c r="V121" i="18"/>
  <c r="T122" i="18"/>
  <c r="S122" i="18"/>
  <c r="U122" i="18" s="1"/>
  <c r="F126" i="19"/>
  <c r="E125" i="19"/>
  <c r="R123" i="18"/>
  <c r="J124" i="19"/>
  <c r="J133" i="21"/>
  <c r="M124" i="19" l="1"/>
  <c r="O124" i="19" s="1"/>
  <c r="AF122" i="18"/>
  <c r="Y128" i="18"/>
  <c r="AB127" i="18"/>
  <c r="M133" i="21"/>
  <c r="F136" i="21"/>
  <c r="E135" i="21"/>
  <c r="C134" i="21"/>
  <c r="G134" i="21"/>
  <c r="Y134" i="21" s="1"/>
  <c r="C125" i="19"/>
  <c r="G125" i="19"/>
  <c r="Y125" i="19" s="1"/>
  <c r="E130" i="18"/>
  <c r="H129" i="18"/>
  <c r="I129" i="18" s="1"/>
  <c r="G127" i="6"/>
  <c r="H127" i="6" s="1"/>
  <c r="V122" i="18"/>
  <c r="AC123" i="18"/>
  <c r="AE123" i="18" s="1"/>
  <c r="AD123" i="18"/>
  <c r="AF123" i="18" s="1"/>
  <c r="E126" i="19"/>
  <c r="F127" i="19"/>
  <c r="R124" i="18"/>
  <c r="T123" i="18"/>
  <c r="S123" i="18"/>
  <c r="U123" i="18" s="1"/>
  <c r="J125" i="19"/>
  <c r="J134" i="21"/>
  <c r="M125" i="19" l="1"/>
  <c r="O125" i="19" s="1"/>
  <c r="Y129" i="18"/>
  <c r="AB128" i="18"/>
  <c r="M134" i="21"/>
  <c r="F137" i="21"/>
  <c r="E136" i="21"/>
  <c r="C135" i="21"/>
  <c r="G135" i="21"/>
  <c r="Y135" i="21" s="1"/>
  <c r="C126" i="19"/>
  <c r="G126" i="19"/>
  <c r="Y126" i="19" s="1"/>
  <c r="E131" i="18"/>
  <c r="H130" i="18"/>
  <c r="I130" i="18" s="1"/>
  <c r="G128" i="6"/>
  <c r="H128" i="6" s="1"/>
  <c r="T124" i="18"/>
  <c r="S124" i="18"/>
  <c r="U124" i="18" s="1"/>
  <c r="R125" i="18"/>
  <c r="AD124" i="18"/>
  <c r="AC124" i="18"/>
  <c r="AE124" i="18" s="1"/>
  <c r="E127" i="19"/>
  <c r="F128" i="19"/>
  <c r="V123" i="18"/>
  <c r="J126" i="19"/>
  <c r="J135" i="21"/>
  <c r="M126" i="19" l="1"/>
  <c r="O126" i="19" s="1"/>
  <c r="Y130" i="18"/>
  <c r="AB129" i="18"/>
  <c r="AF124" i="18"/>
  <c r="M135" i="21"/>
  <c r="G136" i="21"/>
  <c r="Y136" i="21" s="1"/>
  <c r="C136" i="21"/>
  <c r="E137" i="21"/>
  <c r="F138" i="21"/>
  <c r="C127" i="19"/>
  <c r="G127" i="19"/>
  <c r="Y127" i="19" s="1"/>
  <c r="E132" i="18"/>
  <c r="H131" i="18"/>
  <c r="I131" i="18" s="1"/>
  <c r="G129" i="6"/>
  <c r="H129" i="6" s="1"/>
  <c r="V124" i="18"/>
  <c r="T125" i="18"/>
  <c r="S125" i="18"/>
  <c r="U125" i="18" s="1"/>
  <c r="R126" i="18"/>
  <c r="AD125" i="18"/>
  <c r="AC125" i="18"/>
  <c r="AE125" i="18" s="1"/>
  <c r="E128" i="19"/>
  <c r="F129" i="19"/>
  <c r="J127" i="19"/>
  <c r="J136" i="21"/>
  <c r="M127" i="19" l="1"/>
  <c r="O127" i="19" s="1"/>
  <c r="AF125" i="18"/>
  <c r="Y131" i="18"/>
  <c r="AB130" i="18"/>
  <c r="M136" i="21"/>
  <c r="F139" i="21"/>
  <c r="E138" i="21"/>
  <c r="G137" i="21"/>
  <c r="Y137" i="21" s="1"/>
  <c r="C137" i="21"/>
  <c r="C128" i="19"/>
  <c r="G128" i="19"/>
  <c r="Y128" i="19" s="1"/>
  <c r="E133" i="18"/>
  <c r="H132" i="18"/>
  <c r="I132" i="18" s="1"/>
  <c r="G130" i="6"/>
  <c r="H130" i="6" s="1"/>
  <c r="S126" i="18"/>
  <c r="U126" i="18" s="1"/>
  <c r="T126" i="18"/>
  <c r="R127" i="18"/>
  <c r="V125" i="18"/>
  <c r="AD126" i="18"/>
  <c r="AC126" i="18"/>
  <c r="AE126" i="18" s="1"/>
  <c r="E129" i="19"/>
  <c r="F130" i="19"/>
  <c r="J128" i="19"/>
  <c r="J137" i="21"/>
  <c r="M128" i="19" l="1"/>
  <c r="O128" i="19" s="1"/>
  <c r="Y132" i="18"/>
  <c r="AB131" i="18"/>
  <c r="AF126" i="18"/>
  <c r="M137" i="21"/>
  <c r="G138" i="21"/>
  <c r="Y138" i="21" s="1"/>
  <c r="C138" i="21"/>
  <c r="E139" i="21"/>
  <c r="F140" i="21"/>
  <c r="C129" i="19"/>
  <c r="G129" i="19"/>
  <c r="Y129" i="19" s="1"/>
  <c r="E134" i="18"/>
  <c r="H133" i="18"/>
  <c r="I133" i="18" s="1"/>
  <c r="G131" i="6"/>
  <c r="H131" i="6" s="1"/>
  <c r="V126" i="18"/>
  <c r="T127" i="18"/>
  <c r="S127" i="18"/>
  <c r="U127" i="18" s="1"/>
  <c r="R128" i="18"/>
  <c r="AD127" i="18"/>
  <c r="AC127" i="18"/>
  <c r="AE127" i="18" s="1"/>
  <c r="F131" i="19"/>
  <c r="E130" i="19"/>
  <c r="J138" i="21"/>
  <c r="J129" i="19"/>
  <c r="M129" i="19" l="1"/>
  <c r="O129" i="19" s="1"/>
  <c r="AF127" i="18"/>
  <c r="Y133" i="18"/>
  <c r="AB132" i="18"/>
  <c r="M138" i="21"/>
  <c r="E140" i="21"/>
  <c r="F141" i="21"/>
  <c r="G139" i="21"/>
  <c r="Y139" i="21" s="1"/>
  <c r="C139" i="21"/>
  <c r="C130" i="19"/>
  <c r="G130" i="19"/>
  <c r="Y130" i="19" s="1"/>
  <c r="E135" i="18"/>
  <c r="H134" i="18"/>
  <c r="I134" i="18" s="1"/>
  <c r="G132" i="6"/>
  <c r="H132" i="6" s="1"/>
  <c r="V127" i="18"/>
  <c r="AD128" i="18"/>
  <c r="AC128" i="18"/>
  <c r="AE128" i="18" s="1"/>
  <c r="S128" i="18"/>
  <c r="U128" i="18" s="1"/>
  <c r="T128" i="18"/>
  <c r="R129" i="18"/>
  <c r="F132" i="19"/>
  <c r="E131" i="19"/>
  <c r="J139" i="21"/>
  <c r="J130" i="19"/>
  <c r="M130" i="19" l="1"/>
  <c r="O130" i="19" s="1"/>
  <c r="Y134" i="18"/>
  <c r="AB133" i="18"/>
  <c r="AF128" i="18"/>
  <c r="M139" i="21"/>
  <c r="C140" i="21"/>
  <c r="G140" i="21"/>
  <c r="Y140" i="21" s="1"/>
  <c r="F142" i="21"/>
  <c r="E141" i="21"/>
  <c r="C131" i="19"/>
  <c r="G131" i="19"/>
  <c r="Y131" i="19" s="1"/>
  <c r="E136" i="18"/>
  <c r="H135" i="18"/>
  <c r="I135" i="18" s="1"/>
  <c r="G133" i="6"/>
  <c r="H133" i="6" s="1"/>
  <c r="E132" i="19"/>
  <c r="F133" i="19"/>
  <c r="AD129" i="18"/>
  <c r="AC129" i="18"/>
  <c r="AE129" i="18" s="1"/>
  <c r="V128" i="18"/>
  <c r="T129" i="18"/>
  <c r="S129" i="18"/>
  <c r="U129" i="18" s="1"/>
  <c r="R130" i="18"/>
  <c r="J131" i="19"/>
  <c r="J140" i="21"/>
  <c r="M131" i="19" l="1"/>
  <c r="O131" i="19" s="1"/>
  <c r="AF129" i="18"/>
  <c r="Y135" i="18"/>
  <c r="AB134" i="18"/>
  <c r="M140" i="21"/>
  <c r="G141" i="21"/>
  <c r="Y141" i="21" s="1"/>
  <c r="C141" i="21"/>
  <c r="E142" i="21"/>
  <c r="F143" i="21"/>
  <c r="C132" i="19"/>
  <c r="G132" i="19"/>
  <c r="Y132" i="19" s="1"/>
  <c r="E137" i="18"/>
  <c r="H136" i="18"/>
  <c r="I136" i="18" s="1"/>
  <c r="G134" i="6"/>
  <c r="H134" i="6" s="1"/>
  <c r="V129" i="18"/>
  <c r="E133" i="19"/>
  <c r="F134" i="19"/>
  <c r="AD130" i="18"/>
  <c r="AC130" i="18"/>
  <c r="AE130" i="18" s="1"/>
  <c r="R131" i="18"/>
  <c r="T130" i="18"/>
  <c r="S130" i="18"/>
  <c r="U130" i="18" s="1"/>
  <c r="J132" i="19"/>
  <c r="J141" i="21"/>
  <c r="M132" i="19" l="1"/>
  <c r="O132" i="19" s="1"/>
  <c r="Y136" i="18"/>
  <c r="AB135" i="18"/>
  <c r="AF130" i="18"/>
  <c r="M141" i="21"/>
  <c r="E143" i="21"/>
  <c r="G143" i="21" s="1"/>
  <c r="Y143" i="21" s="1"/>
  <c r="C142" i="21"/>
  <c r="G142" i="21"/>
  <c r="Y142" i="21" s="1"/>
  <c r="C133" i="19"/>
  <c r="G133" i="19"/>
  <c r="Y133" i="19" s="1"/>
  <c r="E138" i="18"/>
  <c r="H137" i="18"/>
  <c r="I137" i="18" s="1"/>
  <c r="G135" i="6"/>
  <c r="H135" i="6" s="1"/>
  <c r="V130" i="18"/>
  <c r="S131" i="18"/>
  <c r="U131" i="18" s="1"/>
  <c r="T131" i="18"/>
  <c r="R132" i="18"/>
  <c r="F135" i="19"/>
  <c r="E134" i="19"/>
  <c r="AD131" i="18"/>
  <c r="AC131" i="18"/>
  <c r="AE131" i="18" s="1"/>
  <c r="J133" i="19"/>
  <c r="J143" i="21"/>
  <c r="J142" i="21"/>
  <c r="M133" i="19" l="1"/>
  <c r="O133" i="19" s="1"/>
  <c r="Y137" i="18"/>
  <c r="AB136" i="18"/>
  <c r="AF131" i="18"/>
  <c r="M142" i="21"/>
  <c r="M143" i="21"/>
  <c r="E144" i="21"/>
  <c r="G144" i="21" s="1"/>
  <c r="C143" i="21"/>
  <c r="C134" i="19"/>
  <c r="G134" i="19"/>
  <c r="Y134" i="19" s="1"/>
  <c r="E139" i="18"/>
  <c r="H138" i="18"/>
  <c r="I138" i="18" s="1"/>
  <c r="G136" i="6"/>
  <c r="H136" i="6" s="1"/>
  <c r="S132" i="18"/>
  <c r="U132" i="18" s="1"/>
  <c r="T132" i="18"/>
  <c r="R133" i="18"/>
  <c r="F136" i="19"/>
  <c r="E135" i="19"/>
  <c r="AD132" i="18"/>
  <c r="AC132" i="18"/>
  <c r="AE132" i="18" s="1"/>
  <c r="V131" i="18"/>
  <c r="J134" i="19"/>
  <c r="J144" i="21"/>
  <c r="M134" i="19" l="1"/>
  <c r="O134" i="19" s="1"/>
  <c r="Y138" i="18"/>
  <c r="AB137" i="18"/>
  <c r="AF132" i="18"/>
  <c r="Y144" i="21"/>
  <c r="C144" i="21"/>
  <c r="R23" i="21"/>
  <c r="C135" i="19"/>
  <c r="G135" i="19"/>
  <c r="Y135" i="19" s="1"/>
  <c r="E140" i="18"/>
  <c r="H139" i="18"/>
  <c r="I139" i="18" s="1"/>
  <c r="G137" i="6"/>
  <c r="H137" i="6" s="1"/>
  <c r="V132" i="18"/>
  <c r="S133" i="18"/>
  <c r="U133" i="18" s="1"/>
  <c r="T133" i="18"/>
  <c r="R134" i="18"/>
  <c r="AC133" i="18"/>
  <c r="AE133" i="18" s="1"/>
  <c r="AD133" i="18"/>
  <c r="E136" i="19"/>
  <c r="F137" i="19"/>
  <c r="J135" i="19"/>
  <c r="M135" i="19" l="1"/>
  <c r="O135" i="19" s="1"/>
  <c r="AF133" i="18"/>
  <c r="Y139" i="18"/>
  <c r="AB138" i="18"/>
  <c r="AK144" i="21"/>
  <c r="C136" i="19"/>
  <c r="G136" i="19"/>
  <c r="Y136" i="19" s="1"/>
  <c r="E141" i="18"/>
  <c r="H141" i="18" s="1"/>
  <c r="I141" i="18" s="1"/>
  <c r="H140" i="18"/>
  <c r="I140" i="18" s="1"/>
  <c r="G139" i="6"/>
  <c r="H139" i="6" s="1"/>
  <c r="G138" i="6"/>
  <c r="H138" i="6" s="1"/>
  <c r="V133" i="18"/>
  <c r="F138" i="19"/>
  <c r="E137" i="19"/>
  <c r="T134" i="18"/>
  <c r="S134" i="18"/>
  <c r="U134" i="18" s="1"/>
  <c r="R135" i="18"/>
  <c r="AD134" i="18"/>
  <c r="AC134" i="18"/>
  <c r="AE134" i="18" s="1"/>
  <c r="J136" i="19"/>
  <c r="M136" i="19" l="1"/>
  <c r="O136" i="19" s="1"/>
  <c r="Y140" i="18"/>
  <c r="AB139" i="18"/>
  <c r="AF134" i="18"/>
  <c r="C137" i="19"/>
  <c r="G137" i="19"/>
  <c r="Y137" i="19" s="1"/>
  <c r="V134" i="18"/>
  <c r="T135" i="18"/>
  <c r="S135" i="18"/>
  <c r="U135" i="18" s="1"/>
  <c r="R136" i="18"/>
  <c r="AC135" i="18"/>
  <c r="AE135" i="18" s="1"/>
  <c r="AD135" i="18"/>
  <c r="F139" i="19"/>
  <c r="E138" i="19"/>
  <c r="J137" i="19"/>
  <c r="M137" i="19" l="1"/>
  <c r="O137" i="19" s="1"/>
  <c r="AF135" i="18"/>
  <c r="Y141" i="18"/>
  <c r="AB141" i="18" s="1"/>
  <c r="AB140" i="18"/>
  <c r="C138" i="19"/>
  <c r="G138" i="19"/>
  <c r="Y138" i="19" s="1"/>
  <c r="AD136" i="18"/>
  <c r="AC136" i="18"/>
  <c r="AE136" i="18" s="1"/>
  <c r="T136" i="18"/>
  <c r="S136" i="18"/>
  <c r="U136" i="18" s="1"/>
  <c r="R137" i="18"/>
  <c r="F140" i="19"/>
  <c r="E139" i="19"/>
  <c r="V135" i="18"/>
  <c r="J138" i="19"/>
  <c r="M138" i="19" l="1"/>
  <c r="O138" i="19" s="1"/>
  <c r="AF136" i="18"/>
  <c r="C139" i="19"/>
  <c r="G139" i="19"/>
  <c r="Y139" i="19" s="1"/>
  <c r="V136" i="18"/>
  <c r="R138" i="18"/>
  <c r="AD137" i="18"/>
  <c r="AC137" i="18"/>
  <c r="AE137" i="18" s="1"/>
  <c r="E140" i="19"/>
  <c r="F141" i="19"/>
  <c r="T137" i="18"/>
  <c r="S137" i="18"/>
  <c r="U137" i="18" s="1"/>
  <c r="J139" i="19"/>
  <c r="M139" i="19" l="1"/>
  <c r="O139" i="19" s="1"/>
  <c r="AF137" i="18"/>
  <c r="C140" i="19"/>
  <c r="G140" i="19"/>
  <c r="Y140" i="19" s="1"/>
  <c r="AD138" i="18"/>
  <c r="AC138" i="18"/>
  <c r="AE138" i="18" s="1"/>
  <c r="T138" i="18"/>
  <c r="S138" i="18"/>
  <c r="U138" i="18" s="1"/>
  <c r="R139" i="18"/>
  <c r="E141" i="19"/>
  <c r="F142" i="19"/>
  <c r="J140" i="18"/>
  <c r="L140" i="18" s="1"/>
  <c r="K140" i="18"/>
  <c r="V137" i="18"/>
  <c r="J140" i="19"/>
  <c r="M140" i="19" l="1"/>
  <c r="O140" i="19" s="1"/>
  <c r="AF138" i="18"/>
  <c r="C141" i="19"/>
  <c r="G141" i="19"/>
  <c r="Y141" i="19" s="1"/>
  <c r="T139" i="18"/>
  <c r="S139" i="18"/>
  <c r="U139" i="18" s="1"/>
  <c r="V139" i="18" s="1"/>
  <c r="AD139" i="18"/>
  <c r="AC139" i="18"/>
  <c r="AE139" i="18" s="1"/>
  <c r="R140" i="18"/>
  <c r="V138" i="18"/>
  <c r="F143" i="19"/>
  <c r="E142" i="19"/>
  <c r="J141" i="18"/>
  <c r="L141" i="18" s="1"/>
  <c r="K141" i="18"/>
  <c r="J141" i="19"/>
  <c r="M141" i="19" l="1"/>
  <c r="O141" i="19" s="1"/>
  <c r="AF139" i="18"/>
  <c r="C142" i="19"/>
  <c r="G142" i="19"/>
  <c r="Y142" i="19" s="1"/>
  <c r="J142" i="18"/>
  <c r="L142" i="18" s="1"/>
  <c r="K142" i="18"/>
  <c r="E143" i="19"/>
  <c r="F144" i="19"/>
  <c r="F145" i="19" s="1"/>
  <c r="S140" i="18"/>
  <c r="U140" i="18" s="1"/>
  <c r="T140" i="18"/>
  <c r="AD140" i="18"/>
  <c r="AC140" i="18"/>
  <c r="AE140" i="18" s="1"/>
  <c r="R142" i="18"/>
  <c r="R141" i="18"/>
  <c r="J142" i="19"/>
  <c r="M142" i="19" l="1"/>
  <c r="O142" i="19" s="1"/>
  <c r="AF140" i="18"/>
  <c r="C143" i="19"/>
  <c r="G143" i="19"/>
  <c r="Y143" i="19" s="1"/>
  <c r="V140" i="18"/>
  <c r="E144" i="19"/>
  <c r="AD141" i="18"/>
  <c r="AC141" i="18"/>
  <c r="AE141" i="18" s="1"/>
  <c r="T141" i="18"/>
  <c r="S141" i="18"/>
  <c r="U141" i="18" s="1"/>
  <c r="T142" i="18"/>
  <c r="S142" i="18"/>
  <c r="U142" i="18" s="1"/>
  <c r="AD142" i="18"/>
  <c r="AC142" i="18"/>
  <c r="AE142" i="18" s="1"/>
  <c r="J143" i="19"/>
  <c r="M143" i="19" l="1"/>
  <c r="O143" i="19" s="1"/>
  <c r="AF142" i="18"/>
  <c r="AF141" i="18"/>
  <c r="C144" i="19"/>
  <c r="E145" i="19"/>
  <c r="V141" i="18"/>
  <c r="G144" i="19"/>
  <c r="Y144" i="19" s="1"/>
  <c r="V142" i="18"/>
  <c r="J144" i="19"/>
  <c r="M144" i="19" l="1"/>
  <c r="O144" i="19" s="1"/>
  <c r="P24" i="19" s="1"/>
  <c r="C145" i="19"/>
  <c r="G145" i="19"/>
  <c r="Y145" i="19" s="1"/>
  <c r="J145" i="19"/>
  <c r="R24" i="19" l="1"/>
  <c r="N16" i="2"/>
  <c r="I36" i="19" l="1"/>
  <c r="AA36" i="19" s="1"/>
  <c r="I35" i="21"/>
  <c r="AK37" i="19"/>
  <c r="AK61" i="19"/>
  <c r="AK133" i="19"/>
  <c r="AK145" i="19"/>
  <c r="AK85" i="19"/>
  <c r="AK97" i="19"/>
  <c r="AK109" i="19"/>
  <c r="AK121" i="19"/>
  <c r="N5" i="2"/>
  <c r="N15" i="2"/>
  <c r="N14" i="2"/>
  <c r="N12" i="2"/>
  <c r="N13" i="2"/>
  <c r="N11" i="2"/>
  <c r="N10" i="2"/>
  <c r="N9" i="2"/>
  <c r="N28" i="2"/>
  <c r="N8" i="2"/>
  <c r="N7" i="2"/>
  <c r="N6" i="2"/>
  <c r="I26" i="19" l="1"/>
  <c r="AA26" i="19" s="1"/>
  <c r="I25" i="21"/>
  <c r="I48" i="19"/>
  <c r="AA48" i="19" s="1"/>
  <c r="I47" i="21"/>
  <c r="I25" i="19"/>
  <c r="AA25" i="19" s="1"/>
  <c r="I24" i="21"/>
  <c r="I29" i="19"/>
  <c r="AA29" i="19" s="1"/>
  <c r="I28" i="21"/>
  <c r="I27" i="19"/>
  <c r="AA27" i="19" s="1"/>
  <c r="I26" i="21"/>
  <c r="I35" i="19"/>
  <c r="AA35" i="19" s="1"/>
  <c r="I34" i="21"/>
  <c r="I28" i="19"/>
  <c r="AA28" i="19" s="1"/>
  <c r="I27" i="21"/>
  <c r="I31" i="19"/>
  <c r="AA31" i="19" s="1"/>
  <c r="I30" i="21"/>
  <c r="I32" i="19"/>
  <c r="AA32" i="19" s="1"/>
  <c r="I31" i="21"/>
  <c r="I30" i="19"/>
  <c r="AA30" i="19" s="1"/>
  <c r="I29" i="21"/>
  <c r="I33" i="19"/>
  <c r="AA33" i="19" s="1"/>
  <c r="I32" i="21"/>
  <c r="I34" i="19"/>
  <c r="AA34" i="19" s="1"/>
  <c r="I33" i="21"/>
  <c r="N19" i="2"/>
  <c r="M5" i="2"/>
  <c r="N20" i="2"/>
  <c r="N26" i="2"/>
  <c r="N17" i="2"/>
  <c r="N18" i="2"/>
  <c r="N27" i="2"/>
  <c r="N24" i="2"/>
  <c r="N40" i="2"/>
  <c r="N22" i="2"/>
  <c r="N21" i="2"/>
  <c r="N25" i="2"/>
  <c r="N23" i="2"/>
  <c r="I45" i="19" l="1"/>
  <c r="AA45" i="19" s="1"/>
  <c r="I44" i="21"/>
  <c r="I41" i="19"/>
  <c r="AA41" i="19" s="1"/>
  <c r="I40" i="21"/>
  <c r="I42" i="19"/>
  <c r="AA42" i="19" s="1"/>
  <c r="I41" i="21"/>
  <c r="I60" i="19"/>
  <c r="AA60" i="19" s="1"/>
  <c r="I59" i="21"/>
  <c r="I44" i="19"/>
  <c r="AA44" i="19" s="1"/>
  <c r="I43" i="21"/>
  <c r="I47" i="19"/>
  <c r="AA47" i="19" s="1"/>
  <c r="I46" i="21"/>
  <c r="I38" i="19"/>
  <c r="AA38" i="19" s="1"/>
  <c r="I37" i="21"/>
  <c r="I46" i="19"/>
  <c r="AA46" i="19" s="1"/>
  <c r="I45" i="21"/>
  <c r="I40" i="19"/>
  <c r="AA40" i="19" s="1"/>
  <c r="I39" i="21"/>
  <c r="H26" i="19"/>
  <c r="H25" i="21"/>
  <c r="Z25" i="21" s="1"/>
  <c r="I37" i="19"/>
  <c r="AA37" i="19" s="1"/>
  <c r="I36" i="21"/>
  <c r="I43" i="19"/>
  <c r="AA43" i="19" s="1"/>
  <c r="I42" i="21"/>
  <c r="I39" i="19"/>
  <c r="AA39" i="19" s="1"/>
  <c r="I38" i="21"/>
  <c r="N39" i="2"/>
  <c r="N33" i="2"/>
  <c r="N35" i="2"/>
  <c r="N29" i="2"/>
  <c r="N37" i="2"/>
  <c r="N30" i="2"/>
  <c r="N34" i="2"/>
  <c r="N52" i="2"/>
  <c r="N31" i="2"/>
  <c r="N32" i="2"/>
  <c r="N38" i="2"/>
  <c r="N36" i="2"/>
  <c r="I72" i="19" l="1"/>
  <c r="AA72" i="19" s="1"/>
  <c r="I71" i="21"/>
  <c r="I57" i="19"/>
  <c r="AA57" i="19" s="1"/>
  <c r="I56" i="21"/>
  <c r="I50" i="19"/>
  <c r="AA50" i="19" s="1"/>
  <c r="I49" i="21"/>
  <c r="I49" i="19"/>
  <c r="AA49" i="19" s="1"/>
  <c r="I48" i="21"/>
  <c r="I53" i="19"/>
  <c r="AA53" i="19" s="1"/>
  <c r="I52" i="21"/>
  <c r="I52" i="19"/>
  <c r="AA52" i="19" s="1"/>
  <c r="I51" i="21"/>
  <c r="I51" i="19"/>
  <c r="AA51" i="19" s="1"/>
  <c r="I50" i="21"/>
  <c r="AB25" i="21"/>
  <c r="N25" i="21"/>
  <c r="O25" i="21" s="1"/>
  <c r="I59" i="19"/>
  <c r="AA59" i="19" s="1"/>
  <c r="I58" i="21"/>
  <c r="I56" i="19"/>
  <c r="AA56" i="19" s="1"/>
  <c r="I55" i="21"/>
  <c r="I54" i="19"/>
  <c r="AA54" i="19" s="1"/>
  <c r="I53" i="21"/>
  <c r="I55" i="19"/>
  <c r="AA55" i="19" s="1"/>
  <c r="I54" i="21"/>
  <c r="I58" i="19"/>
  <c r="AA58" i="19" s="1"/>
  <c r="I57" i="21"/>
  <c r="N51" i="2"/>
  <c r="N45" i="2"/>
  <c r="N44" i="2"/>
  <c r="N50" i="2"/>
  <c r="N43" i="2"/>
  <c r="N48" i="2"/>
  <c r="N49" i="2"/>
  <c r="M28" i="2"/>
  <c r="N41" i="2"/>
  <c r="N42" i="2"/>
  <c r="N46" i="2"/>
  <c r="N64" i="2"/>
  <c r="N47" i="2"/>
  <c r="I63" i="19" l="1"/>
  <c r="AA63" i="19" s="1"/>
  <c r="I62" i="21"/>
  <c r="I64" i="19"/>
  <c r="AA64" i="19" s="1"/>
  <c r="I63" i="21"/>
  <c r="I61" i="19"/>
  <c r="AA61" i="19" s="1"/>
  <c r="I60" i="21"/>
  <c r="H49" i="19"/>
  <c r="H48" i="21"/>
  <c r="Z48" i="21" s="1"/>
  <c r="I65" i="19"/>
  <c r="AA65" i="19" s="1"/>
  <c r="I64" i="21"/>
  <c r="I69" i="19"/>
  <c r="AA69" i="19" s="1"/>
  <c r="I68" i="21"/>
  <c r="I70" i="19"/>
  <c r="AA70" i="19" s="1"/>
  <c r="I69" i="21"/>
  <c r="I68" i="19"/>
  <c r="AA68" i="19" s="1"/>
  <c r="I67" i="21"/>
  <c r="I71" i="19"/>
  <c r="AA71" i="19" s="1"/>
  <c r="I70" i="21"/>
  <c r="I84" i="19"/>
  <c r="AA84" i="19" s="1"/>
  <c r="I83" i="21"/>
  <c r="I62" i="19"/>
  <c r="AA62" i="19" s="1"/>
  <c r="I61" i="21"/>
  <c r="I67" i="19"/>
  <c r="AA67" i="19" s="1"/>
  <c r="I66" i="21"/>
  <c r="I66" i="19"/>
  <c r="AA66" i="19" s="1"/>
  <c r="I65" i="21"/>
  <c r="N60" i="2"/>
  <c r="N56" i="2"/>
  <c r="N54" i="2"/>
  <c r="N63" i="2"/>
  <c r="N59" i="2"/>
  <c r="N58" i="2"/>
  <c r="N55" i="2"/>
  <c r="N62" i="2"/>
  <c r="N57" i="2"/>
  <c r="N61" i="2"/>
  <c r="N53" i="2"/>
  <c r="N76" i="2"/>
  <c r="I95" i="21" s="1"/>
  <c r="I75" i="19" l="1"/>
  <c r="AA75" i="19" s="1"/>
  <c r="I74" i="21"/>
  <c r="I77" i="19"/>
  <c r="AA77" i="19" s="1"/>
  <c r="I76" i="21"/>
  <c r="I78" i="19"/>
  <c r="AA78" i="19" s="1"/>
  <c r="I77" i="21"/>
  <c r="I81" i="19"/>
  <c r="AA81" i="19" s="1"/>
  <c r="I80" i="21"/>
  <c r="AB48" i="21"/>
  <c r="N48" i="21"/>
  <c r="O48" i="21" s="1"/>
  <c r="I83" i="19"/>
  <c r="AA83" i="19" s="1"/>
  <c r="I82" i="21"/>
  <c r="I76" i="19"/>
  <c r="AA76" i="19" s="1"/>
  <c r="I75" i="21"/>
  <c r="I82" i="19"/>
  <c r="AA82" i="19" s="1"/>
  <c r="I81" i="21"/>
  <c r="I74" i="19"/>
  <c r="AA74" i="19" s="1"/>
  <c r="I73" i="21"/>
  <c r="I79" i="19"/>
  <c r="AA79" i="19" s="1"/>
  <c r="I78" i="21"/>
  <c r="I80" i="19"/>
  <c r="AA80" i="19" s="1"/>
  <c r="I79" i="21"/>
  <c r="I73" i="19"/>
  <c r="AA73" i="19" s="1"/>
  <c r="I72" i="21"/>
  <c r="N65" i="2"/>
  <c r="I96" i="19"/>
  <c r="AA96" i="19" s="1"/>
  <c r="N67" i="2"/>
  <c r="N70" i="2"/>
  <c r="N75" i="2"/>
  <c r="N68" i="2"/>
  <c r="N71" i="2"/>
  <c r="N69" i="2"/>
  <c r="N72" i="2"/>
  <c r="N66" i="2"/>
  <c r="N73" i="2"/>
  <c r="N74" i="2"/>
  <c r="N88" i="2"/>
  <c r="I107" i="21" s="1"/>
  <c r="I94" i="19" l="1"/>
  <c r="AA94" i="19" s="1"/>
  <c r="I93" i="21"/>
  <c r="I93" i="19"/>
  <c r="AA93" i="19" s="1"/>
  <c r="I92" i="21"/>
  <c r="I89" i="19"/>
  <c r="AA89" i="19" s="1"/>
  <c r="I88" i="21"/>
  <c r="I86" i="19"/>
  <c r="AA86" i="19" s="1"/>
  <c r="I85" i="21"/>
  <c r="I92" i="19"/>
  <c r="AA92" i="19" s="1"/>
  <c r="I91" i="21"/>
  <c r="I88" i="19"/>
  <c r="AA88" i="19" s="1"/>
  <c r="I87" i="21"/>
  <c r="I95" i="19"/>
  <c r="AA95" i="19" s="1"/>
  <c r="I94" i="21"/>
  <c r="I87" i="19"/>
  <c r="AA87" i="19" s="1"/>
  <c r="I86" i="21"/>
  <c r="I91" i="19"/>
  <c r="AA91" i="19" s="1"/>
  <c r="I90" i="21"/>
  <c r="I90" i="19"/>
  <c r="AA90" i="19" s="1"/>
  <c r="I89" i="21"/>
  <c r="I85" i="19"/>
  <c r="AA85" i="19" s="1"/>
  <c r="I84" i="21"/>
  <c r="N77" i="2"/>
  <c r="I108" i="19"/>
  <c r="AA108" i="19" s="1"/>
  <c r="N84" i="2"/>
  <c r="N86" i="2"/>
  <c r="N85" i="2"/>
  <c r="N82" i="2"/>
  <c r="N81" i="2"/>
  <c r="N79" i="2"/>
  <c r="N80" i="2"/>
  <c r="N87" i="2"/>
  <c r="N100" i="2"/>
  <c r="I119" i="21" s="1"/>
  <c r="N78" i="2"/>
  <c r="N83" i="2"/>
  <c r="I103" i="19" l="1"/>
  <c r="AA103" i="19" s="1"/>
  <c r="I102" i="21"/>
  <c r="I97" i="19"/>
  <c r="AA97" i="19" s="1"/>
  <c r="I96" i="21"/>
  <c r="I107" i="19"/>
  <c r="AA107" i="19" s="1"/>
  <c r="I106" i="21"/>
  <c r="I100" i="19"/>
  <c r="AA100" i="19" s="1"/>
  <c r="I99" i="21"/>
  <c r="I99" i="19"/>
  <c r="AA99" i="19" s="1"/>
  <c r="I98" i="21"/>
  <c r="I98" i="19"/>
  <c r="AA98" i="19" s="1"/>
  <c r="I97" i="21"/>
  <c r="I105" i="19"/>
  <c r="AA105" i="19" s="1"/>
  <c r="I104" i="21"/>
  <c r="I106" i="19"/>
  <c r="AA106" i="19" s="1"/>
  <c r="I105" i="21"/>
  <c r="I101" i="19"/>
  <c r="AA101" i="19" s="1"/>
  <c r="I100" i="21"/>
  <c r="I102" i="19"/>
  <c r="AA102" i="19" s="1"/>
  <c r="I101" i="21"/>
  <c r="I104" i="19"/>
  <c r="AA104" i="19" s="1"/>
  <c r="I103" i="21"/>
  <c r="N94" i="2"/>
  <c r="I120" i="19"/>
  <c r="AA120" i="19" s="1"/>
  <c r="N97" i="2"/>
  <c r="N91" i="2"/>
  <c r="N96" i="2"/>
  <c r="N95" i="2"/>
  <c r="N93" i="2"/>
  <c r="N89" i="2"/>
  <c r="N92" i="2"/>
  <c r="N90" i="2"/>
  <c r="N99" i="2"/>
  <c r="N112" i="2"/>
  <c r="I131" i="21" s="1"/>
  <c r="N98" i="2"/>
  <c r="I114" i="19" l="1"/>
  <c r="AA114" i="19" s="1"/>
  <c r="I113" i="21"/>
  <c r="I119" i="19"/>
  <c r="AA119" i="19" s="1"/>
  <c r="I118" i="21"/>
  <c r="I110" i="19"/>
  <c r="AA110" i="19" s="1"/>
  <c r="I109" i="21"/>
  <c r="I118" i="19"/>
  <c r="AA118" i="19" s="1"/>
  <c r="I117" i="21"/>
  <c r="I109" i="19"/>
  <c r="AA109" i="19" s="1"/>
  <c r="I108" i="21"/>
  <c r="I113" i="19"/>
  <c r="AA113" i="19" s="1"/>
  <c r="I112" i="21"/>
  <c r="I111" i="19"/>
  <c r="AA111" i="19" s="1"/>
  <c r="I110" i="21"/>
  <c r="I112" i="19"/>
  <c r="AA112" i="19" s="1"/>
  <c r="I111" i="21"/>
  <c r="I115" i="19"/>
  <c r="AA115" i="19" s="1"/>
  <c r="I114" i="21"/>
  <c r="I116" i="19"/>
  <c r="AA116" i="19" s="1"/>
  <c r="I115" i="21"/>
  <c r="I117" i="19"/>
  <c r="AA117" i="19" s="1"/>
  <c r="I116" i="21"/>
  <c r="N103" i="2"/>
  <c r="I132" i="19"/>
  <c r="AA132" i="19" s="1"/>
  <c r="N105" i="2"/>
  <c r="N106" i="2"/>
  <c r="N104" i="2"/>
  <c r="N101" i="2"/>
  <c r="N109" i="2"/>
  <c r="N111" i="2"/>
  <c r="N102" i="2"/>
  <c r="N108" i="2"/>
  <c r="N107" i="2"/>
  <c r="N110" i="2"/>
  <c r="N124" i="2"/>
  <c r="I143" i="21" s="1"/>
  <c r="I144" i="21" s="1"/>
  <c r="AA144" i="21" s="1"/>
  <c r="I123" i="19" l="1"/>
  <c r="AA123" i="19" s="1"/>
  <c r="I122" i="21"/>
  <c r="I129" i="19"/>
  <c r="AA129" i="19" s="1"/>
  <c r="I128" i="21"/>
  <c r="I131" i="19"/>
  <c r="AA131" i="19" s="1"/>
  <c r="I130" i="21"/>
  <c r="I127" i="19"/>
  <c r="AA127" i="19" s="1"/>
  <c r="I126" i="21"/>
  <c r="I128" i="19"/>
  <c r="AA128" i="19" s="1"/>
  <c r="I127" i="21"/>
  <c r="AB144" i="21"/>
  <c r="S23" i="21"/>
  <c r="I122" i="19"/>
  <c r="AA122" i="19" s="1"/>
  <c r="I121" i="21"/>
  <c r="I126" i="19"/>
  <c r="AA126" i="19" s="1"/>
  <c r="I125" i="21"/>
  <c r="I130" i="19"/>
  <c r="AA130" i="19" s="1"/>
  <c r="I129" i="21"/>
  <c r="I121" i="19"/>
  <c r="AA121" i="19" s="1"/>
  <c r="I120" i="21"/>
  <c r="I124" i="19"/>
  <c r="AA124" i="19" s="1"/>
  <c r="I123" i="21"/>
  <c r="I125" i="19"/>
  <c r="AA125" i="19" s="1"/>
  <c r="I124" i="21"/>
  <c r="I144" i="19"/>
  <c r="N116" i="2"/>
  <c r="N119" i="2"/>
  <c r="N114" i="2"/>
  <c r="N121" i="2"/>
  <c r="N120" i="2"/>
  <c r="N118" i="2"/>
  <c r="N123" i="2"/>
  <c r="I142" i="21" s="1"/>
  <c r="N115" i="2"/>
  <c r="N117" i="2"/>
  <c r="N122" i="2"/>
  <c r="N113" i="2"/>
  <c r="I137" i="19" l="1"/>
  <c r="AA137" i="19" s="1"/>
  <c r="I136" i="21"/>
  <c r="AL144" i="21"/>
  <c r="T23" i="21"/>
  <c r="I138" i="19"/>
  <c r="AA138" i="19" s="1"/>
  <c r="I137" i="21"/>
  <c r="I133" i="19"/>
  <c r="AA133" i="19" s="1"/>
  <c r="I132" i="21"/>
  <c r="I140" i="19"/>
  <c r="AA140" i="19" s="1"/>
  <c r="I139" i="21"/>
  <c r="I141" i="19"/>
  <c r="AA141" i="19" s="1"/>
  <c r="I140" i="21"/>
  <c r="I136" i="19"/>
  <c r="AA136" i="19" s="1"/>
  <c r="I135" i="21"/>
  <c r="I142" i="19"/>
  <c r="AA142" i="19" s="1"/>
  <c r="I141" i="21"/>
  <c r="I135" i="19"/>
  <c r="AA135" i="19" s="1"/>
  <c r="I134" i="21"/>
  <c r="I134" i="19"/>
  <c r="AA134" i="19" s="1"/>
  <c r="I133" i="21"/>
  <c r="I139" i="19"/>
  <c r="AA139" i="19" s="1"/>
  <c r="I138" i="21"/>
  <c r="I145" i="19"/>
  <c r="AA145" i="19" s="1"/>
  <c r="AA144" i="19"/>
  <c r="M123" i="2"/>
  <c r="H143" i="21" s="1"/>
  <c r="Z143" i="21" s="1"/>
  <c r="I143" i="19"/>
  <c r="AA143" i="19" s="1"/>
  <c r="K80" i="6"/>
  <c r="K82" i="6"/>
  <c r="U23" i="21" l="1"/>
  <c r="AM144" i="21"/>
  <c r="AB143" i="21"/>
  <c r="N143" i="21"/>
  <c r="O143" i="21" s="1"/>
  <c r="S24" i="19"/>
  <c r="AL121" i="19"/>
  <c r="AL97" i="19"/>
  <c r="AM97" i="19"/>
  <c r="AM121" i="19"/>
  <c r="H144" i="19"/>
  <c r="K132" i="6"/>
  <c r="K58" i="6"/>
  <c r="K81" i="6"/>
  <c r="K122" i="6"/>
  <c r="K109" i="6"/>
  <c r="K86" i="6"/>
  <c r="K42" i="6"/>
  <c r="K62" i="6"/>
  <c r="K134" i="6"/>
  <c r="K61" i="6"/>
  <c r="K115" i="6"/>
  <c r="K107" i="6"/>
  <c r="K97" i="6"/>
  <c r="K70" i="6"/>
  <c r="K123" i="6"/>
  <c r="K78" i="6"/>
  <c r="K139" i="6" s="1"/>
  <c r="K94" i="6"/>
  <c r="K85" i="6"/>
  <c r="K37" i="6"/>
  <c r="K111" i="6"/>
  <c r="K138" i="6" s="1"/>
  <c r="K102" i="6"/>
  <c r="K93" i="6" s="1"/>
  <c r="K74" i="6"/>
  <c r="K119" i="6"/>
  <c r="K110" i="6"/>
  <c r="K127" i="6"/>
  <c r="K73" i="6"/>
  <c r="K54" i="6"/>
  <c r="K43" i="6"/>
  <c r="K121" i="6"/>
  <c r="K106" i="6"/>
  <c r="K99" i="6"/>
  <c r="K67" i="6"/>
  <c r="K60" i="6"/>
  <c r="K36" i="6"/>
  <c r="K135" i="6"/>
  <c r="K105" i="6"/>
  <c r="K98" i="6"/>
  <c r="K90" i="6"/>
  <c r="K66" i="6"/>
  <c r="K35" i="6"/>
  <c r="K103" i="6"/>
  <c r="K117" i="6"/>
  <c r="K87" i="6"/>
  <c r="K57" i="6"/>
  <c r="K48" i="6"/>
  <c r="K33" i="6"/>
  <c r="K131" i="6"/>
  <c r="K69" i="6"/>
  <c r="K55" i="6"/>
  <c r="K46" i="6"/>
  <c r="K31" i="6"/>
  <c r="K84" i="6"/>
  <c r="K59" i="6"/>
  <c r="K49" i="6"/>
  <c r="K45" i="6"/>
  <c r="K39" i="6"/>
  <c r="K34" i="6"/>
  <c r="K30" i="6"/>
  <c r="K133" i="6"/>
  <c r="K129" i="6"/>
  <c r="K118" i="6"/>
  <c r="K114" i="6"/>
  <c r="K79" i="6"/>
  <c r="K108" i="6"/>
  <c r="K83" i="6"/>
  <c r="K63" i="6"/>
  <c r="K38" i="6"/>
  <c r="K72" i="6"/>
  <c r="K47" i="6"/>
  <c r="K96" i="6"/>
  <c r="K71" i="6"/>
  <c r="K51" i="6"/>
  <c r="K128" i="6"/>
  <c r="K92" i="6" s="1"/>
  <c r="K68" i="6"/>
  <c r="K56" i="6"/>
  <c r="K44" i="6"/>
  <c r="K32" i="6"/>
  <c r="K116" i="6"/>
  <c r="K104" i="6"/>
  <c r="K137" i="6" s="1"/>
  <c r="K125" i="6"/>
  <c r="K113" i="6"/>
  <c r="K101" i="6"/>
  <c r="K89" i="6"/>
  <c r="K77" i="6"/>
  <c r="K65" i="6"/>
  <c r="K53" i="6"/>
  <c r="K41" i="6"/>
  <c r="K136" i="6"/>
  <c r="K124" i="6"/>
  <c r="K112" i="6"/>
  <c r="K100" i="6"/>
  <c r="K88" i="6"/>
  <c r="K76" i="6"/>
  <c r="K64" i="6"/>
  <c r="K52" i="6"/>
  <c r="K40" i="6"/>
  <c r="AL61" i="19" l="1"/>
  <c r="U24" i="19"/>
  <c r="W24" i="19" s="1"/>
  <c r="AL85" i="19"/>
  <c r="AL133" i="19"/>
  <c r="AL109" i="19"/>
  <c r="AL37" i="19"/>
  <c r="AL145" i="19"/>
  <c r="AM61" i="19"/>
  <c r="AM85" i="19"/>
  <c r="K130" i="6"/>
  <c r="K91" i="6"/>
  <c r="K120" i="6"/>
  <c r="K75" i="6"/>
  <c r="K95" i="6"/>
  <c r="K50" i="6"/>
  <c r="K126" i="6"/>
  <c r="AM109" i="19" l="1"/>
  <c r="AM37" i="19"/>
  <c r="AM133" i="19"/>
  <c r="AM145" i="19"/>
  <c r="J106" i="6"/>
  <c r="I106" i="6"/>
  <c r="I132" i="6"/>
  <c r="J132" i="6"/>
  <c r="J67" i="6"/>
  <c r="I67" i="6"/>
  <c r="I57" i="6"/>
  <c r="J57" i="6"/>
  <c r="I74" i="6"/>
  <c r="J74" i="6"/>
  <c r="I37" i="6"/>
  <c r="J37" i="6"/>
  <c r="I83" i="6"/>
  <c r="J83" i="6"/>
  <c r="J79" i="6"/>
  <c r="I79" i="6"/>
  <c r="I61" i="6"/>
  <c r="J61" i="6"/>
  <c r="I110" i="6"/>
  <c r="J110" i="6"/>
  <c r="I86" i="6"/>
  <c r="J86" i="6"/>
  <c r="I49" i="6"/>
  <c r="J49" i="6"/>
  <c r="I73" i="6"/>
  <c r="J73" i="6"/>
  <c r="J43" i="6"/>
  <c r="I43" i="6"/>
  <c r="J118" i="6"/>
  <c r="I118" i="6"/>
  <c r="I81" i="6"/>
  <c r="J81" i="6"/>
  <c r="I119" i="6"/>
  <c r="J119" i="6"/>
  <c r="I65" i="6"/>
  <c r="J65" i="6"/>
  <c r="I47" i="6"/>
  <c r="J47" i="6"/>
  <c r="I70" i="6"/>
  <c r="J70" i="6"/>
  <c r="I105" i="6"/>
  <c r="J105" i="6"/>
  <c r="I63" i="6"/>
  <c r="J63" i="6"/>
  <c r="I90" i="6"/>
  <c r="J90" i="6"/>
  <c r="I116" i="6"/>
  <c r="J116" i="6"/>
  <c r="I66" i="6"/>
  <c r="J66" i="6"/>
  <c r="J138" i="6"/>
  <c r="I138" i="6"/>
  <c r="I92" i="6"/>
  <c r="J92" i="6"/>
  <c r="J53" i="6"/>
  <c r="I53" i="6"/>
  <c r="J72" i="6"/>
  <c r="I72" i="6"/>
  <c r="J42" i="6"/>
  <c r="I42" i="6"/>
  <c r="I48" i="6"/>
  <c r="J48" i="6"/>
  <c r="J131" i="6"/>
  <c r="I131" i="6"/>
  <c r="J55" i="6"/>
  <c r="I55" i="6"/>
  <c r="I134" i="6"/>
  <c r="J134" i="6"/>
  <c r="I124" i="6"/>
  <c r="J124" i="6"/>
  <c r="J31" i="6"/>
  <c r="I31" i="6"/>
  <c r="J115" i="6"/>
  <c r="I115" i="6"/>
  <c r="I45" i="6"/>
  <c r="J45" i="6"/>
  <c r="I98" i="6"/>
  <c r="J98" i="6"/>
  <c r="J114" i="6"/>
  <c r="I114" i="6"/>
  <c r="I104" i="6"/>
  <c r="J104" i="6"/>
  <c r="I62" i="6"/>
  <c r="J62" i="6"/>
  <c r="I88" i="6"/>
  <c r="J88" i="6"/>
  <c r="I82" i="6"/>
  <c r="J82" i="6"/>
  <c r="I78" i="6"/>
  <c r="J78" i="6"/>
  <c r="J102" i="6"/>
  <c r="I102" i="6"/>
  <c r="I40" i="6"/>
  <c r="J40" i="6"/>
  <c r="I133" i="6"/>
  <c r="J133" i="6"/>
  <c r="J129" i="6"/>
  <c r="I129" i="6"/>
  <c r="J69" i="6"/>
  <c r="I69" i="6"/>
  <c r="I38" i="6"/>
  <c r="J38" i="6"/>
  <c r="I46" i="6"/>
  <c r="J46" i="6"/>
  <c r="I122" i="6"/>
  <c r="J122" i="6"/>
  <c r="I93" i="6"/>
  <c r="J93" i="6"/>
  <c r="I109" i="6"/>
  <c r="J109" i="6"/>
  <c r="J117" i="6"/>
  <c r="I117" i="6"/>
  <c r="J52" i="6"/>
  <c r="I52" i="6"/>
  <c r="J54" i="6"/>
  <c r="I54" i="6"/>
  <c r="J123" i="6"/>
  <c r="I123" i="6"/>
  <c r="L123" i="6" l="1"/>
  <c r="L54" i="6"/>
  <c r="L81" i="6"/>
  <c r="L106" i="6"/>
  <c r="L67" i="6"/>
  <c r="L43" i="6"/>
  <c r="L79" i="6"/>
  <c r="L109" i="6"/>
  <c r="L88" i="6"/>
  <c r="L82" i="6"/>
  <c r="L48" i="6"/>
  <c r="L124" i="6"/>
  <c r="L122" i="6"/>
  <c r="L134" i="6"/>
  <c r="L98" i="6"/>
  <c r="L92" i="6"/>
  <c r="L105" i="6"/>
  <c r="L40" i="6"/>
  <c r="L45" i="6"/>
  <c r="L90" i="6"/>
  <c r="L104" i="6"/>
  <c r="L61" i="6"/>
  <c r="L38" i="6"/>
  <c r="L70" i="6"/>
  <c r="L78" i="6"/>
  <c r="L66" i="6"/>
  <c r="L47" i="6"/>
  <c r="L65" i="6"/>
  <c r="L49" i="6"/>
  <c r="L37" i="6"/>
  <c r="L119" i="6"/>
  <c r="L86" i="6"/>
  <c r="L133" i="6"/>
  <c r="L46" i="6"/>
  <c r="L63" i="6"/>
  <c r="L110" i="6"/>
  <c r="L57" i="6"/>
  <c r="L93" i="6"/>
  <c r="L132" i="6"/>
  <c r="L62" i="6"/>
  <c r="L116" i="6"/>
  <c r="L31" i="6"/>
  <c r="L42" i="6"/>
  <c r="L72" i="6"/>
  <c r="L74" i="6"/>
  <c r="L102" i="6"/>
  <c r="L114" i="6"/>
  <c r="L53" i="6"/>
  <c r="L52" i="6"/>
  <c r="L55" i="6"/>
  <c r="L118" i="6"/>
  <c r="L117" i="6"/>
  <c r="L69" i="6"/>
  <c r="L131" i="6"/>
  <c r="L138" i="6"/>
  <c r="L129" i="6"/>
  <c r="L115" i="6"/>
  <c r="L73" i="6"/>
  <c r="L83" i="6"/>
  <c r="J120" i="6"/>
  <c r="I120" i="6"/>
  <c r="I96" i="6"/>
  <c r="J96" i="6"/>
  <c r="I135" i="6"/>
  <c r="J135" i="6"/>
  <c r="J44" i="6"/>
  <c r="I44" i="6"/>
  <c r="J60" i="6"/>
  <c r="I60" i="6"/>
  <c r="I99" i="6"/>
  <c r="J99" i="6"/>
  <c r="I100" i="6"/>
  <c r="J100" i="6"/>
  <c r="I125" i="6"/>
  <c r="J125" i="6"/>
  <c r="J59" i="6"/>
  <c r="I59" i="6"/>
  <c r="I41" i="6"/>
  <c r="J41" i="6"/>
  <c r="J33" i="6"/>
  <c r="I33" i="6"/>
  <c r="I89" i="6"/>
  <c r="J89" i="6"/>
  <c r="I136" i="6"/>
  <c r="J136" i="6"/>
  <c r="I32" i="6"/>
  <c r="J32" i="6"/>
  <c r="I50" i="6"/>
  <c r="J50" i="6"/>
  <c r="I34" i="6"/>
  <c r="J34" i="6"/>
  <c r="I112" i="6"/>
  <c r="J112" i="6"/>
  <c r="J64" i="6"/>
  <c r="I64" i="6"/>
  <c r="I97" i="6"/>
  <c r="J97" i="6"/>
  <c r="J107" i="6"/>
  <c r="I107" i="6"/>
  <c r="J77" i="6"/>
  <c r="I77" i="6"/>
  <c r="I113" i="6"/>
  <c r="J113" i="6"/>
  <c r="J127" i="6"/>
  <c r="I127" i="6"/>
  <c r="I85" i="6"/>
  <c r="J85" i="6"/>
  <c r="I121" i="6"/>
  <c r="J121" i="6"/>
  <c r="J103" i="6"/>
  <c r="I103" i="6"/>
  <c r="J56" i="6"/>
  <c r="I56" i="6"/>
  <c r="I87" i="6"/>
  <c r="J87" i="6"/>
  <c r="I71" i="6"/>
  <c r="J71" i="6"/>
  <c r="I35" i="6"/>
  <c r="J35" i="6"/>
  <c r="J130" i="6"/>
  <c r="I130" i="6"/>
  <c r="I95" i="6"/>
  <c r="J95" i="6"/>
  <c r="I80" i="6"/>
  <c r="J80" i="6"/>
  <c r="I84" i="6"/>
  <c r="J84" i="6"/>
  <c r="I101" i="6"/>
  <c r="J101" i="6"/>
  <c r="I36" i="6"/>
  <c r="J36" i="6"/>
  <c r="I76" i="6"/>
  <c r="J76" i="6"/>
  <c r="I137" i="6"/>
  <c r="J137" i="6"/>
  <c r="I39" i="6"/>
  <c r="J39" i="6"/>
  <c r="J91" i="6"/>
  <c r="I91" i="6"/>
  <c r="J126" i="6"/>
  <c r="I126" i="6"/>
  <c r="I94" i="6"/>
  <c r="J94" i="6"/>
  <c r="I68" i="6"/>
  <c r="J68" i="6"/>
  <c r="I128" i="6"/>
  <c r="J128" i="6"/>
  <c r="I58" i="6"/>
  <c r="J58" i="6"/>
  <c r="J139" i="6"/>
  <c r="I139" i="6"/>
  <c r="I51" i="6"/>
  <c r="J51" i="6"/>
  <c r="I108" i="6"/>
  <c r="J108" i="6"/>
  <c r="J30" i="6"/>
  <c r="I30" i="6"/>
  <c r="I111" i="6"/>
  <c r="J111" i="6"/>
  <c r="AG18" i="6"/>
  <c r="L30" i="6" l="1"/>
  <c r="L130" i="6"/>
  <c r="L56" i="6"/>
  <c r="L120" i="6"/>
  <c r="L139" i="6"/>
  <c r="L91" i="6"/>
  <c r="L44" i="6"/>
  <c r="L77" i="6"/>
  <c r="L59" i="6"/>
  <c r="L125" i="6"/>
  <c r="L96" i="6"/>
  <c r="L108" i="6"/>
  <c r="L99" i="6"/>
  <c r="L32" i="6"/>
  <c r="L126" i="6"/>
  <c r="L127" i="6"/>
  <c r="L33" i="6"/>
  <c r="L60" i="6"/>
  <c r="L36" i="6"/>
  <c r="L94" i="6"/>
  <c r="L85" i="6"/>
  <c r="L89" i="6"/>
  <c r="L35" i="6"/>
  <c r="L103" i="6"/>
  <c r="L80" i="6"/>
  <c r="L50" i="6"/>
  <c r="L135" i="6"/>
  <c r="L107" i="6"/>
  <c r="L58" i="6"/>
  <c r="L137" i="6"/>
  <c r="L68" i="6"/>
  <c r="L121" i="6"/>
  <c r="L97" i="6"/>
  <c r="L136" i="6"/>
  <c r="L100" i="6"/>
  <c r="L128" i="6"/>
  <c r="L76" i="6"/>
  <c r="L64" i="6"/>
  <c r="L111" i="6"/>
  <c r="L95" i="6"/>
  <c r="L51" i="6"/>
  <c r="L101" i="6"/>
  <c r="L71" i="6"/>
  <c r="L112" i="6"/>
  <c r="L39" i="6"/>
  <c r="L84" i="6"/>
  <c r="L87" i="6"/>
  <c r="L113" i="6"/>
  <c r="L34" i="6"/>
  <c r="L41" i="6"/>
  <c r="I75" i="6"/>
  <c r="J75" i="6"/>
  <c r="AF18" i="6"/>
  <c r="K19" i="6" s="1"/>
  <c r="K22" i="6"/>
  <c r="K24" i="6"/>
  <c r="K25" i="6"/>
  <c r="K20" i="6"/>
  <c r="K23" i="6"/>
  <c r="K28" i="6" s="1"/>
  <c r="K21" i="6"/>
  <c r="K26" i="6"/>
  <c r="K29" i="6" s="1"/>
  <c r="K27" i="6" s="1"/>
  <c r="L75" i="6" l="1"/>
  <c r="I24" i="6" l="1"/>
  <c r="J24" i="6"/>
  <c r="I26" i="6"/>
  <c r="J26" i="6"/>
  <c r="I22" i="6"/>
  <c r="J22" i="6"/>
  <c r="L26" i="6" l="1"/>
  <c r="L22" i="6"/>
  <c r="L24" i="6"/>
  <c r="J29" i="6"/>
  <c r="I29" i="6"/>
  <c r="I27" i="6"/>
  <c r="J27" i="6"/>
  <c r="I21" i="6"/>
  <c r="J21" i="6"/>
  <c r="I20" i="6"/>
  <c r="J20" i="6"/>
  <c r="J23" i="6"/>
  <c r="I23" i="6"/>
  <c r="I25" i="6"/>
  <c r="J25" i="6"/>
  <c r="J19" i="6"/>
  <c r="I19" i="6"/>
  <c r="L19" i="6" s="1"/>
  <c r="M13" i="2"/>
  <c r="M11" i="2"/>
  <c r="M15" i="2"/>
  <c r="H32" i="19" l="1"/>
  <c r="H31" i="21"/>
  <c r="Z31" i="21" s="1"/>
  <c r="H36" i="19"/>
  <c r="H35" i="21"/>
  <c r="Z35" i="21" s="1"/>
  <c r="H34" i="19"/>
  <c r="H33" i="21"/>
  <c r="Z33" i="21" s="1"/>
  <c r="L29" i="6"/>
  <c r="L27" i="6"/>
  <c r="L20" i="6"/>
  <c r="L23" i="6"/>
  <c r="L21" i="6"/>
  <c r="L25" i="6"/>
  <c r="I28" i="6"/>
  <c r="J28" i="6"/>
  <c r="M27" i="2"/>
  <c r="M7" i="2"/>
  <c r="M9" i="2"/>
  <c r="M24" i="2"/>
  <c r="M21" i="2"/>
  <c r="M16" i="2"/>
  <c r="M4" i="2"/>
  <c r="M12" i="2"/>
  <c r="M6" i="2"/>
  <c r="M14" i="2"/>
  <c r="M19" i="2"/>
  <c r="M10" i="2"/>
  <c r="M8" i="2"/>
  <c r="M37" i="2"/>
  <c r="N33" i="21" l="1"/>
  <c r="O33" i="21" s="1"/>
  <c r="AB33" i="21"/>
  <c r="H35" i="19"/>
  <c r="H34" i="21"/>
  <c r="Z34" i="21" s="1"/>
  <c r="H45" i="19"/>
  <c r="H44" i="21"/>
  <c r="Z44" i="21" s="1"/>
  <c r="H27" i="19"/>
  <c r="H26" i="21"/>
  <c r="Z26" i="21" s="1"/>
  <c r="H25" i="19"/>
  <c r="H24" i="21"/>
  <c r="Z24" i="21" s="1"/>
  <c r="AB24" i="21" s="1"/>
  <c r="H42" i="19"/>
  <c r="H41" i="21"/>
  <c r="Z41" i="21" s="1"/>
  <c r="H30" i="19"/>
  <c r="H29" i="21"/>
  <c r="Z29" i="21" s="1"/>
  <c r="AB35" i="21"/>
  <c r="N35" i="21"/>
  <c r="O35" i="21" s="1"/>
  <c r="AB31" i="21"/>
  <c r="N31" i="21"/>
  <c r="O31" i="21" s="1"/>
  <c r="H33" i="19"/>
  <c r="H32" i="21"/>
  <c r="Z32" i="21" s="1"/>
  <c r="H37" i="19"/>
  <c r="H36" i="21"/>
  <c r="Z36" i="21" s="1"/>
  <c r="H58" i="19"/>
  <c r="H57" i="21"/>
  <c r="Z57" i="21" s="1"/>
  <c r="H28" i="19"/>
  <c r="H27" i="21"/>
  <c r="Z27" i="21" s="1"/>
  <c r="H29" i="19"/>
  <c r="H28" i="21"/>
  <c r="Z28" i="21" s="1"/>
  <c r="H48" i="19"/>
  <c r="H47" i="21"/>
  <c r="Z47" i="21" s="1"/>
  <c r="H31" i="19"/>
  <c r="H30" i="21"/>
  <c r="Z30" i="21" s="1"/>
  <c r="H40" i="19"/>
  <c r="H39" i="21"/>
  <c r="Z39" i="21" s="1"/>
  <c r="L28" i="6"/>
  <c r="M20" i="2"/>
  <c r="M23" i="2"/>
  <c r="M26" i="2"/>
  <c r="M22" i="2"/>
  <c r="M39" i="2"/>
  <c r="M38" i="2"/>
  <c r="M31" i="2"/>
  <c r="M30" i="2"/>
  <c r="M32" i="2"/>
  <c r="M25" i="2"/>
  <c r="M36" i="2"/>
  <c r="M18" i="2"/>
  <c r="M17" i="2"/>
  <c r="M51" i="2"/>
  <c r="H41" i="19" l="1"/>
  <c r="H40" i="21"/>
  <c r="Z40" i="21" s="1"/>
  <c r="H57" i="19"/>
  <c r="H56" i="21"/>
  <c r="Z56" i="21" s="1"/>
  <c r="H38" i="19"/>
  <c r="H37" i="21"/>
  <c r="Z37" i="21" s="1"/>
  <c r="AB41" i="21"/>
  <c r="N41" i="21"/>
  <c r="O41" i="21" s="1"/>
  <c r="N24" i="21"/>
  <c r="O24" i="21" s="1"/>
  <c r="N30" i="21"/>
  <c r="O30" i="21" s="1"/>
  <c r="AB30" i="21"/>
  <c r="AB34" i="21"/>
  <c r="N34" i="21"/>
  <c r="O34" i="21" s="1"/>
  <c r="N36" i="21"/>
  <c r="O36" i="21" s="1"/>
  <c r="AB36" i="21"/>
  <c r="N32" i="21"/>
  <c r="O32" i="21" s="1"/>
  <c r="AB32" i="21"/>
  <c r="H51" i="19"/>
  <c r="H50" i="21"/>
  <c r="Z50" i="21" s="1"/>
  <c r="AB47" i="21"/>
  <c r="N47" i="21"/>
  <c r="O47" i="21" s="1"/>
  <c r="N57" i="21"/>
  <c r="O57" i="21" s="1"/>
  <c r="AB57" i="21"/>
  <c r="H39" i="19"/>
  <c r="H38" i="21"/>
  <c r="Z38" i="21" s="1"/>
  <c r="N39" i="21"/>
  <c r="O39" i="21" s="1"/>
  <c r="AB39" i="21"/>
  <c r="H53" i="19"/>
  <c r="H52" i="21"/>
  <c r="Z52" i="21" s="1"/>
  <c r="N26" i="21"/>
  <c r="O26" i="21" s="1"/>
  <c r="AB26" i="21"/>
  <c r="H52" i="19"/>
  <c r="H51" i="21"/>
  <c r="Z51" i="21" s="1"/>
  <c r="AB44" i="21"/>
  <c r="N44" i="21"/>
  <c r="O44" i="21" s="1"/>
  <c r="H59" i="19"/>
  <c r="H58" i="21"/>
  <c r="Z58" i="21" s="1"/>
  <c r="H60" i="19"/>
  <c r="H59" i="21"/>
  <c r="Z59" i="21" s="1"/>
  <c r="H47" i="19"/>
  <c r="H46" i="21"/>
  <c r="Z46" i="21" s="1"/>
  <c r="AB27" i="21"/>
  <c r="N27" i="21"/>
  <c r="O27" i="21" s="1"/>
  <c r="N29" i="21"/>
  <c r="O29" i="21" s="1"/>
  <c r="AB29" i="21"/>
  <c r="H46" i="19"/>
  <c r="H45" i="21"/>
  <c r="Z45" i="21" s="1"/>
  <c r="N28" i="21"/>
  <c r="O28" i="21" s="1"/>
  <c r="AB28" i="21"/>
  <c r="H43" i="19"/>
  <c r="H42" i="21"/>
  <c r="Z42" i="21" s="1"/>
  <c r="H72" i="19"/>
  <c r="H71" i="21"/>
  <c r="Z71" i="21" s="1"/>
  <c r="H44" i="19"/>
  <c r="H43" i="21"/>
  <c r="Z43" i="21" s="1"/>
  <c r="M34" i="2"/>
  <c r="M45" i="2"/>
  <c r="M35" i="2"/>
  <c r="M44" i="2"/>
  <c r="M50" i="2"/>
  <c r="M33" i="2"/>
  <c r="M48" i="2"/>
  <c r="M29" i="2"/>
  <c r="Z35" i="19"/>
  <c r="AB35" i="19" s="1"/>
  <c r="Z31" i="19"/>
  <c r="AB31" i="19" s="1"/>
  <c r="Z25" i="19"/>
  <c r="AB25" i="19" s="1"/>
  <c r="Z36" i="19"/>
  <c r="AB36" i="19" s="1"/>
  <c r="Z34" i="19"/>
  <c r="AB34" i="19" s="1"/>
  <c r="Z33" i="19"/>
  <c r="AB33" i="19" s="1"/>
  <c r="Z32" i="19"/>
  <c r="AB32" i="19" s="1"/>
  <c r="Z26" i="19"/>
  <c r="AB26" i="19" s="1"/>
  <c r="Z27" i="19"/>
  <c r="AB27" i="19" s="1"/>
  <c r="Z29" i="19"/>
  <c r="AB29" i="19" s="1"/>
  <c r="Z30" i="19"/>
  <c r="AB30" i="19" s="1"/>
  <c r="Z28" i="19"/>
  <c r="AB28" i="19" s="1"/>
  <c r="N45" i="21" l="1"/>
  <c r="O45" i="21" s="1"/>
  <c r="AB45" i="21"/>
  <c r="H66" i="19"/>
  <c r="H65" i="21"/>
  <c r="Z65" i="21" s="1"/>
  <c r="AB43" i="21"/>
  <c r="N43" i="21"/>
  <c r="O43" i="21" s="1"/>
  <c r="N50" i="21"/>
  <c r="O50" i="21" s="1"/>
  <c r="AB50" i="21"/>
  <c r="H65" i="19"/>
  <c r="H64" i="21"/>
  <c r="Z64" i="21" s="1"/>
  <c r="AB37" i="21"/>
  <c r="N37" i="21"/>
  <c r="O37" i="21" s="1"/>
  <c r="H56" i="19"/>
  <c r="H55" i="21"/>
  <c r="Z55" i="21" s="1"/>
  <c r="AB51" i="21"/>
  <c r="N51" i="21"/>
  <c r="O51" i="21" s="1"/>
  <c r="H55" i="19"/>
  <c r="H54" i="21"/>
  <c r="Z54" i="21" s="1"/>
  <c r="AB46" i="21"/>
  <c r="N46" i="21"/>
  <c r="O46" i="21" s="1"/>
  <c r="H50" i="19"/>
  <c r="H49" i="21"/>
  <c r="Z49" i="21" s="1"/>
  <c r="N42" i="21"/>
  <c r="O42" i="21" s="1"/>
  <c r="AB42" i="21"/>
  <c r="AB59" i="21"/>
  <c r="N59" i="21"/>
  <c r="O59" i="21" s="1"/>
  <c r="AB56" i="21"/>
  <c r="N56" i="21"/>
  <c r="O56" i="21" s="1"/>
  <c r="AB52" i="21"/>
  <c r="N52" i="21"/>
  <c r="O52" i="21" s="1"/>
  <c r="H69" i="19"/>
  <c r="H68" i="21"/>
  <c r="Z68" i="21" s="1"/>
  <c r="H54" i="19"/>
  <c r="H53" i="21"/>
  <c r="Z53" i="21" s="1"/>
  <c r="N58" i="21"/>
  <c r="O58" i="21" s="1"/>
  <c r="AB58" i="21"/>
  <c r="N38" i="21"/>
  <c r="O38" i="21" s="1"/>
  <c r="AB38" i="21"/>
  <c r="N40" i="21"/>
  <c r="O40" i="21" s="1"/>
  <c r="AB40" i="21"/>
  <c r="AB71" i="21"/>
  <c r="N71" i="21"/>
  <c r="O71" i="21" s="1"/>
  <c r="H71" i="19"/>
  <c r="H70" i="21"/>
  <c r="Z70" i="21" s="1"/>
  <c r="M63" i="2"/>
  <c r="M42" i="2"/>
  <c r="M47" i="2"/>
  <c r="M58" i="2"/>
  <c r="M61" i="2"/>
  <c r="M41" i="2"/>
  <c r="M40" i="2"/>
  <c r="M55" i="2"/>
  <c r="M46" i="2"/>
  <c r="M60" i="2"/>
  <c r="M43" i="2"/>
  <c r="M49" i="2"/>
  <c r="Z40" i="19"/>
  <c r="AB40" i="19" s="1"/>
  <c r="Z43" i="19"/>
  <c r="AB43" i="19" s="1"/>
  <c r="Z38" i="19"/>
  <c r="AB38" i="19" s="1"/>
  <c r="Z37" i="19"/>
  <c r="AB37" i="19" s="1"/>
  <c r="Z45" i="19"/>
  <c r="AB45" i="19" s="1"/>
  <c r="Z39" i="19"/>
  <c r="AB39" i="19" s="1"/>
  <c r="Z44" i="19"/>
  <c r="AB44" i="19" s="1"/>
  <c r="Z47" i="19"/>
  <c r="AB47" i="19" s="1"/>
  <c r="Z48" i="19"/>
  <c r="AB48" i="19" s="1"/>
  <c r="Z42" i="19"/>
  <c r="AB42" i="19" s="1"/>
  <c r="Z46" i="19"/>
  <c r="AB46" i="19" s="1"/>
  <c r="Z41" i="19"/>
  <c r="AB41" i="19" s="1"/>
  <c r="H84" i="19" l="1"/>
  <c r="H83" i="21"/>
  <c r="Z83" i="21" s="1"/>
  <c r="AB53" i="21"/>
  <c r="N53" i="21"/>
  <c r="O53" i="21" s="1"/>
  <c r="H64" i="19"/>
  <c r="H63" i="21"/>
  <c r="Z63" i="21" s="1"/>
  <c r="AB54" i="21"/>
  <c r="N54" i="21"/>
  <c r="O54" i="21" s="1"/>
  <c r="H61" i="19"/>
  <c r="H60" i="21"/>
  <c r="Z60" i="21" s="1"/>
  <c r="AB70" i="21"/>
  <c r="N70" i="21"/>
  <c r="O70" i="21" s="1"/>
  <c r="N49" i="21"/>
  <c r="O49" i="21" s="1"/>
  <c r="AB49" i="21"/>
  <c r="H82" i="19"/>
  <c r="H81" i="21"/>
  <c r="Z81" i="21" s="1"/>
  <c r="N65" i="21"/>
  <c r="O65" i="21" s="1"/>
  <c r="AB65" i="21"/>
  <c r="AB68" i="21"/>
  <c r="N68" i="21"/>
  <c r="O68" i="21" s="1"/>
  <c r="H67" i="19"/>
  <c r="H66" i="21"/>
  <c r="Z66" i="21" s="1"/>
  <c r="H76" i="19"/>
  <c r="H75" i="21"/>
  <c r="Z75" i="21" s="1"/>
  <c r="H79" i="19"/>
  <c r="H78" i="21"/>
  <c r="Z78" i="21" s="1"/>
  <c r="N55" i="21"/>
  <c r="O55" i="21" s="1"/>
  <c r="AB55" i="21"/>
  <c r="H68" i="19"/>
  <c r="H67" i="21"/>
  <c r="Z67" i="21" s="1"/>
  <c r="H70" i="19"/>
  <c r="H69" i="21"/>
  <c r="Z69" i="21" s="1"/>
  <c r="AB64" i="21"/>
  <c r="N64" i="21"/>
  <c r="O64" i="21" s="1"/>
  <c r="H81" i="19"/>
  <c r="H80" i="21"/>
  <c r="Z80" i="21" s="1"/>
  <c r="H62" i="19"/>
  <c r="H61" i="21"/>
  <c r="Z61" i="21" s="1"/>
  <c r="H63" i="19"/>
  <c r="H62" i="21"/>
  <c r="Z62" i="21" s="1"/>
  <c r="M57" i="2"/>
  <c r="M56" i="2"/>
  <c r="M62" i="2"/>
  <c r="M75" i="2"/>
  <c r="H95" i="21" s="1"/>
  <c r="Z95" i="21" s="1"/>
  <c r="M53" i="2"/>
  <c r="M52" i="2"/>
  <c r="M71" i="2"/>
  <c r="H91" i="21" s="1"/>
  <c r="Z91" i="21" s="1"/>
  <c r="M68" i="2"/>
  <c r="H88" i="21" s="1"/>
  <c r="Z88" i="21" s="1"/>
  <c r="M73" i="2"/>
  <c r="H93" i="21" s="1"/>
  <c r="Z93" i="21" s="1"/>
  <c r="M54" i="2"/>
  <c r="M59" i="2"/>
  <c r="Z55" i="19"/>
  <c r="AB55" i="19" s="1"/>
  <c r="Z60" i="19"/>
  <c r="AB60" i="19" s="1"/>
  <c r="Z53" i="19"/>
  <c r="AB53" i="19" s="1"/>
  <c r="Z58" i="19"/>
  <c r="AB58" i="19" s="1"/>
  <c r="Z52" i="19"/>
  <c r="AB52" i="19" s="1"/>
  <c r="Z54" i="19"/>
  <c r="AB54" i="19" s="1"/>
  <c r="Z59" i="19"/>
  <c r="AB59" i="19" s="1"/>
  <c r="Z49" i="19"/>
  <c r="AB49" i="19" s="1"/>
  <c r="Z50" i="19"/>
  <c r="AB50" i="19" s="1"/>
  <c r="Z51" i="19"/>
  <c r="AB51" i="19" s="1"/>
  <c r="Z56" i="19"/>
  <c r="AB56" i="19" s="1"/>
  <c r="Z57" i="19"/>
  <c r="AB57" i="19" s="1"/>
  <c r="AB60" i="21" l="1"/>
  <c r="N60" i="21"/>
  <c r="O60" i="21" s="1"/>
  <c r="AB69" i="21"/>
  <c r="N69" i="21"/>
  <c r="O69" i="21" s="1"/>
  <c r="AB63" i="21"/>
  <c r="N63" i="21"/>
  <c r="O63" i="21" s="1"/>
  <c r="H77" i="19"/>
  <c r="H76" i="21"/>
  <c r="Z76" i="21" s="1"/>
  <c r="N81" i="21"/>
  <c r="O81" i="21" s="1"/>
  <c r="AB81" i="21"/>
  <c r="AB66" i="21"/>
  <c r="N66" i="21"/>
  <c r="O66" i="21" s="1"/>
  <c r="H83" i="19"/>
  <c r="H82" i="21"/>
  <c r="Z82" i="21" s="1"/>
  <c r="N62" i="21"/>
  <c r="O62" i="21" s="1"/>
  <c r="AB62" i="21"/>
  <c r="H75" i="19"/>
  <c r="H74" i="21"/>
  <c r="Z74" i="21" s="1"/>
  <c r="N61" i="21"/>
  <c r="O61" i="21" s="1"/>
  <c r="AB61" i="21"/>
  <c r="N78" i="21"/>
  <c r="O78" i="21" s="1"/>
  <c r="AB78" i="21"/>
  <c r="N83" i="21"/>
  <c r="O83" i="21" s="1"/>
  <c r="AB83" i="21"/>
  <c r="N67" i="21"/>
  <c r="O67" i="21" s="1"/>
  <c r="AB67" i="21"/>
  <c r="H78" i="19"/>
  <c r="H77" i="21"/>
  <c r="Z77" i="21" s="1"/>
  <c r="H80" i="19"/>
  <c r="H79" i="21"/>
  <c r="Z79" i="21" s="1"/>
  <c r="N93" i="21"/>
  <c r="O93" i="21" s="1"/>
  <c r="AB93" i="21"/>
  <c r="H73" i="19"/>
  <c r="H72" i="21"/>
  <c r="Z72" i="21" s="1"/>
  <c r="H74" i="19"/>
  <c r="H73" i="21"/>
  <c r="Z73" i="21" s="1"/>
  <c r="AB95" i="21"/>
  <c r="N95" i="21"/>
  <c r="O95" i="21" s="1"/>
  <c r="N88" i="21"/>
  <c r="O88" i="21" s="1"/>
  <c r="AB88" i="21"/>
  <c r="N80" i="21"/>
  <c r="O80" i="21" s="1"/>
  <c r="AB80" i="21"/>
  <c r="AB75" i="21"/>
  <c r="N75" i="21"/>
  <c r="O75" i="21" s="1"/>
  <c r="AB91" i="21"/>
  <c r="N91" i="21"/>
  <c r="O91" i="21" s="1"/>
  <c r="H92" i="19"/>
  <c r="H89" i="19"/>
  <c r="H96" i="19"/>
  <c r="H94" i="19"/>
  <c r="M87" i="2"/>
  <c r="H107" i="21" s="1"/>
  <c r="Z107" i="21" s="1"/>
  <c r="M79" i="2"/>
  <c r="H99" i="21" s="1"/>
  <c r="Z99" i="21" s="1"/>
  <c r="M69" i="2"/>
  <c r="H89" i="21" s="1"/>
  <c r="Z89" i="21" s="1"/>
  <c r="M76" i="2"/>
  <c r="H96" i="21" s="1"/>
  <c r="Z96" i="21" s="1"/>
  <c r="M67" i="2"/>
  <c r="H87" i="21" s="1"/>
  <c r="Z87" i="21" s="1"/>
  <c r="M86" i="2"/>
  <c r="H106" i="21" s="1"/>
  <c r="Z106" i="21" s="1"/>
  <c r="M78" i="2"/>
  <c r="H98" i="21" s="1"/>
  <c r="Z98" i="21" s="1"/>
  <c r="M66" i="2"/>
  <c r="H86" i="21" s="1"/>
  <c r="Z86" i="21" s="1"/>
  <c r="M70" i="2"/>
  <c r="H90" i="21" s="1"/>
  <c r="Z90" i="21" s="1"/>
  <c r="M72" i="2"/>
  <c r="H92" i="21" s="1"/>
  <c r="Z92" i="21" s="1"/>
  <c r="M99" i="2"/>
  <c r="H119" i="21" s="1"/>
  <c r="Z119" i="21" s="1"/>
  <c r="M83" i="2"/>
  <c r="H103" i="21" s="1"/>
  <c r="Z103" i="21" s="1"/>
  <c r="M65" i="2"/>
  <c r="H85" i="21" s="1"/>
  <c r="Z85" i="21" s="1"/>
  <c r="M64" i="2"/>
  <c r="H84" i="21" s="1"/>
  <c r="Z84" i="21" s="1"/>
  <c r="M74" i="2"/>
  <c r="H94" i="21" s="1"/>
  <c r="Z94" i="21" s="1"/>
  <c r="Z63" i="19"/>
  <c r="AB63" i="19" s="1"/>
  <c r="Z62" i="19"/>
  <c r="AB62" i="19" s="1"/>
  <c r="Z71" i="19"/>
  <c r="AB71" i="19" s="1"/>
  <c r="Z61" i="19"/>
  <c r="AB61" i="19" s="1"/>
  <c r="Z69" i="19"/>
  <c r="AB69" i="19" s="1"/>
  <c r="Z68" i="19"/>
  <c r="AB68" i="19" s="1"/>
  <c r="Z67" i="19"/>
  <c r="AB67" i="19" s="1"/>
  <c r="Z72" i="19"/>
  <c r="AB72" i="19" s="1"/>
  <c r="Z66" i="19"/>
  <c r="AB66" i="19" s="1"/>
  <c r="Z70" i="19"/>
  <c r="AB70" i="19" s="1"/>
  <c r="Z65" i="19"/>
  <c r="AB65" i="19" s="1"/>
  <c r="Z64" i="19"/>
  <c r="AB64" i="19" s="1"/>
  <c r="AB72" i="21" l="1"/>
  <c r="N72" i="21"/>
  <c r="O72" i="21" s="1"/>
  <c r="AB76" i="21"/>
  <c r="N76" i="21"/>
  <c r="O76" i="21" s="1"/>
  <c r="N86" i="21"/>
  <c r="O86" i="21" s="1"/>
  <c r="AB86" i="21"/>
  <c r="AB79" i="21"/>
  <c r="N79" i="21"/>
  <c r="O79" i="21" s="1"/>
  <c r="N74" i="21"/>
  <c r="O74" i="21" s="1"/>
  <c r="AB74" i="21"/>
  <c r="AB94" i="21"/>
  <c r="N94" i="21"/>
  <c r="O94" i="21" s="1"/>
  <c r="AB99" i="21"/>
  <c r="N99" i="21"/>
  <c r="O99" i="21" s="1"/>
  <c r="N85" i="21"/>
  <c r="O85" i="21" s="1"/>
  <c r="AB85" i="21"/>
  <c r="AB107" i="21"/>
  <c r="N107" i="21"/>
  <c r="O107" i="21" s="1"/>
  <c r="N77" i="21"/>
  <c r="O77" i="21" s="1"/>
  <c r="AB77" i="21"/>
  <c r="N98" i="21"/>
  <c r="O98" i="21" s="1"/>
  <c r="AB98" i="21"/>
  <c r="AB103" i="21"/>
  <c r="N103" i="21"/>
  <c r="O103" i="21" s="1"/>
  <c r="N106" i="21"/>
  <c r="O106" i="21" s="1"/>
  <c r="AB106" i="21"/>
  <c r="AB96" i="21"/>
  <c r="N96" i="21"/>
  <c r="O96" i="21" s="1"/>
  <c r="AB89" i="21"/>
  <c r="N89" i="21"/>
  <c r="O89" i="21" s="1"/>
  <c r="AB119" i="21"/>
  <c r="N119" i="21"/>
  <c r="O119" i="21" s="1"/>
  <c r="AB82" i="21"/>
  <c r="N82" i="21"/>
  <c r="O82" i="21" s="1"/>
  <c r="AB87" i="21"/>
  <c r="N87" i="21"/>
  <c r="O87" i="21" s="1"/>
  <c r="AB84" i="21"/>
  <c r="N84" i="21"/>
  <c r="O84" i="21" s="1"/>
  <c r="AB92" i="21"/>
  <c r="N92" i="21"/>
  <c r="O92" i="21" s="1"/>
  <c r="N90" i="21"/>
  <c r="O90" i="21" s="1"/>
  <c r="AB90" i="21"/>
  <c r="AB73" i="21"/>
  <c r="N73" i="21"/>
  <c r="O73" i="21" s="1"/>
  <c r="H85" i="19"/>
  <c r="H91" i="19"/>
  <c r="H95" i="19"/>
  <c r="H100" i="19"/>
  <c r="H104" i="19"/>
  <c r="H87" i="19"/>
  <c r="H93" i="19"/>
  <c r="H86" i="19"/>
  <c r="H99" i="19"/>
  <c r="H88" i="19"/>
  <c r="H90" i="19"/>
  <c r="H108" i="19"/>
  <c r="H120" i="19"/>
  <c r="H107" i="19"/>
  <c r="H97" i="19"/>
  <c r="M82" i="2"/>
  <c r="H102" i="21" s="1"/>
  <c r="Z102" i="21" s="1"/>
  <c r="M85" i="2"/>
  <c r="H105" i="21" s="1"/>
  <c r="Z105" i="21" s="1"/>
  <c r="M96" i="2"/>
  <c r="H116" i="21" s="1"/>
  <c r="Z116" i="21" s="1"/>
  <c r="M95" i="2"/>
  <c r="H115" i="21" s="1"/>
  <c r="Z115" i="21" s="1"/>
  <c r="M98" i="2"/>
  <c r="H118" i="21" s="1"/>
  <c r="Z118" i="21" s="1"/>
  <c r="M81" i="2"/>
  <c r="H101" i="21" s="1"/>
  <c r="Z101" i="21" s="1"/>
  <c r="M92" i="2"/>
  <c r="H112" i="21" s="1"/>
  <c r="Z112" i="21" s="1"/>
  <c r="M84" i="2"/>
  <c r="H104" i="21" s="1"/>
  <c r="Z104" i="21" s="1"/>
  <c r="M77" i="2"/>
  <c r="H97" i="21" s="1"/>
  <c r="Z97" i="21" s="1"/>
  <c r="M93" i="2"/>
  <c r="H113" i="21" s="1"/>
  <c r="Z113" i="21" s="1"/>
  <c r="M80" i="2"/>
  <c r="H100" i="21" s="1"/>
  <c r="Z100" i="21" s="1"/>
  <c r="Z82" i="19"/>
  <c r="AB82" i="19" s="1"/>
  <c r="Z77" i="19"/>
  <c r="AB77" i="19" s="1"/>
  <c r="Z80" i="19"/>
  <c r="AB80" i="19" s="1"/>
  <c r="Z73" i="19"/>
  <c r="AB73" i="19" s="1"/>
  <c r="Z74" i="19"/>
  <c r="AB74" i="19" s="1"/>
  <c r="Z79" i="19"/>
  <c r="AB79" i="19" s="1"/>
  <c r="Z75" i="19"/>
  <c r="AB75" i="19" s="1"/>
  <c r="Z84" i="19"/>
  <c r="AB84" i="19" s="1"/>
  <c r="Z83" i="19"/>
  <c r="AB83" i="19" s="1"/>
  <c r="Z76" i="19"/>
  <c r="AB76" i="19" s="1"/>
  <c r="Z78" i="19"/>
  <c r="AB78" i="19" s="1"/>
  <c r="Z81" i="19"/>
  <c r="AB81" i="19" s="1"/>
  <c r="M111" i="2"/>
  <c r="H131" i="21" s="1"/>
  <c r="Z131" i="21" s="1"/>
  <c r="AB113" i="21" l="1"/>
  <c r="N113" i="21"/>
  <c r="O113" i="21" s="1"/>
  <c r="AB104" i="21"/>
  <c r="N104" i="21"/>
  <c r="O104" i="21" s="1"/>
  <c r="N97" i="21"/>
  <c r="O97" i="21" s="1"/>
  <c r="AB97" i="21"/>
  <c r="N131" i="21"/>
  <c r="O131" i="21" s="1"/>
  <c r="AB131" i="21"/>
  <c r="AB101" i="21"/>
  <c r="N101" i="21"/>
  <c r="O101" i="21" s="1"/>
  <c r="N118" i="21"/>
  <c r="O118" i="21" s="1"/>
  <c r="AB118" i="21"/>
  <c r="AB102" i="21"/>
  <c r="N102" i="21"/>
  <c r="O102" i="21" s="1"/>
  <c r="N100" i="21"/>
  <c r="O100" i="21" s="1"/>
  <c r="AB100" i="21"/>
  <c r="AB115" i="21"/>
  <c r="N115" i="21"/>
  <c r="O115" i="21" s="1"/>
  <c r="N116" i="21"/>
  <c r="O116" i="21" s="1"/>
  <c r="AB116" i="21"/>
  <c r="N112" i="21"/>
  <c r="O112" i="21" s="1"/>
  <c r="AB112" i="21"/>
  <c r="N105" i="21"/>
  <c r="O105" i="21" s="1"/>
  <c r="AB105" i="21"/>
  <c r="H117" i="19"/>
  <c r="H101" i="19"/>
  <c r="H119" i="19"/>
  <c r="H116" i="19"/>
  <c r="H103" i="19"/>
  <c r="H132" i="19"/>
  <c r="H98" i="19"/>
  <c r="H102" i="19"/>
  <c r="H114" i="19"/>
  <c r="H105" i="19"/>
  <c r="H106" i="19"/>
  <c r="H113" i="19"/>
  <c r="M91" i="2"/>
  <c r="H111" i="21" s="1"/>
  <c r="Z111" i="21" s="1"/>
  <c r="M89" i="2"/>
  <c r="H109" i="21" s="1"/>
  <c r="Z109" i="21" s="1"/>
  <c r="M88" i="2"/>
  <c r="H108" i="21" s="1"/>
  <c r="Z108" i="21" s="1"/>
  <c r="M100" i="2"/>
  <c r="H120" i="21" s="1"/>
  <c r="Z120" i="21" s="1"/>
  <c r="M105" i="2"/>
  <c r="H125" i="21" s="1"/>
  <c r="Z125" i="21" s="1"/>
  <c r="M102" i="2"/>
  <c r="H122" i="21" s="1"/>
  <c r="Z122" i="21" s="1"/>
  <c r="M104" i="2"/>
  <c r="H124" i="21" s="1"/>
  <c r="Z124" i="21" s="1"/>
  <c r="M108" i="2"/>
  <c r="H128" i="21" s="1"/>
  <c r="Z128" i="21" s="1"/>
  <c r="M107" i="2"/>
  <c r="H127" i="21" s="1"/>
  <c r="Z127" i="21" s="1"/>
  <c r="M90" i="2"/>
  <c r="H110" i="21" s="1"/>
  <c r="Z110" i="21" s="1"/>
  <c r="M110" i="2"/>
  <c r="H130" i="21" s="1"/>
  <c r="Z130" i="21" s="1"/>
  <c r="M94" i="2"/>
  <c r="H114" i="21" s="1"/>
  <c r="Z114" i="21" s="1"/>
  <c r="M97" i="2"/>
  <c r="H117" i="21" s="1"/>
  <c r="Z117" i="21" s="1"/>
  <c r="Z85" i="19"/>
  <c r="AB85" i="19" s="1"/>
  <c r="Z90" i="19"/>
  <c r="AB90" i="19" s="1"/>
  <c r="Z94" i="19"/>
  <c r="AB94" i="19" s="1"/>
  <c r="Z88" i="19"/>
  <c r="AB88" i="19" s="1"/>
  <c r="Z91" i="19"/>
  <c r="AB91" i="19" s="1"/>
  <c r="Z86" i="19"/>
  <c r="AB86" i="19" s="1"/>
  <c r="Z89" i="19"/>
  <c r="AB89" i="19" s="1"/>
  <c r="Z96" i="19"/>
  <c r="AB96" i="19" s="1"/>
  <c r="Z95" i="19"/>
  <c r="AB95" i="19" s="1"/>
  <c r="Z97" i="19"/>
  <c r="AB97" i="19" s="1"/>
  <c r="Z92" i="19"/>
  <c r="AB92" i="19" s="1"/>
  <c r="Z87" i="19"/>
  <c r="AB87" i="19" s="1"/>
  <c r="Z93" i="19"/>
  <c r="AB93" i="19" s="1"/>
  <c r="AB114" i="21" l="1"/>
  <c r="N114" i="21"/>
  <c r="O114" i="21" s="1"/>
  <c r="AB128" i="21"/>
  <c r="N128" i="21"/>
  <c r="O128" i="21" s="1"/>
  <c r="AB124" i="21"/>
  <c r="N124" i="21"/>
  <c r="O124" i="21" s="1"/>
  <c r="AB120" i="21"/>
  <c r="N120" i="21"/>
  <c r="O120" i="21" s="1"/>
  <c r="AB108" i="21"/>
  <c r="N108" i="21"/>
  <c r="O108" i="21" s="1"/>
  <c r="N130" i="21"/>
  <c r="O130" i="21" s="1"/>
  <c r="AB130" i="21"/>
  <c r="AB110" i="21"/>
  <c r="N110" i="21"/>
  <c r="O110" i="21" s="1"/>
  <c r="AB127" i="21"/>
  <c r="N127" i="21"/>
  <c r="O127" i="21" s="1"/>
  <c r="AB109" i="21"/>
  <c r="N109" i="21"/>
  <c r="O109" i="21" s="1"/>
  <c r="AB122" i="21"/>
  <c r="N122" i="21"/>
  <c r="O122" i="21" s="1"/>
  <c r="N125" i="21"/>
  <c r="O125" i="21" s="1"/>
  <c r="AB125" i="21"/>
  <c r="AB117" i="21"/>
  <c r="N117" i="21"/>
  <c r="O117" i="21" s="1"/>
  <c r="N111" i="21"/>
  <c r="O111" i="21" s="1"/>
  <c r="AB111" i="21"/>
  <c r="H111" i="19"/>
  <c r="H131" i="19"/>
  <c r="H128" i="19"/>
  <c r="H129" i="19"/>
  <c r="H126" i="19"/>
  <c r="H109" i="19"/>
  <c r="H115" i="19"/>
  <c r="H125" i="19"/>
  <c r="H123" i="19"/>
  <c r="H121" i="19"/>
  <c r="H110" i="19"/>
  <c r="H118" i="19"/>
  <c r="H112" i="19"/>
  <c r="M114" i="2"/>
  <c r="H134" i="21" s="1"/>
  <c r="Z134" i="21" s="1"/>
  <c r="M116" i="2"/>
  <c r="H136" i="21" s="1"/>
  <c r="Z136" i="21" s="1"/>
  <c r="M106" i="2"/>
  <c r="H126" i="21" s="1"/>
  <c r="Z126" i="21" s="1"/>
  <c r="M122" i="2"/>
  <c r="H142" i="21" s="1"/>
  <c r="Z142" i="21" s="1"/>
  <c r="M101" i="2"/>
  <c r="H121" i="21" s="1"/>
  <c r="Z121" i="21" s="1"/>
  <c r="M103" i="2"/>
  <c r="H123" i="21" s="1"/>
  <c r="Z123" i="21" s="1"/>
  <c r="M120" i="2"/>
  <c r="H140" i="21" s="1"/>
  <c r="Z140" i="21" s="1"/>
  <c r="M109" i="2"/>
  <c r="H129" i="21" s="1"/>
  <c r="Z129" i="21" s="1"/>
  <c r="M117" i="2"/>
  <c r="H137" i="21" s="1"/>
  <c r="Z137" i="21" s="1"/>
  <c r="Z98" i="19"/>
  <c r="AB98" i="19" s="1"/>
  <c r="Z104" i="19"/>
  <c r="AB104" i="19" s="1"/>
  <c r="Z108" i="19"/>
  <c r="AB108" i="19" s="1"/>
  <c r="Z103" i="19"/>
  <c r="AB103" i="19" s="1"/>
  <c r="Z145" i="19"/>
  <c r="AB145" i="19" s="1"/>
  <c r="Z99" i="19"/>
  <c r="AB99" i="19" s="1"/>
  <c r="Z106" i="19"/>
  <c r="AB106" i="19" s="1"/>
  <c r="Z107" i="19"/>
  <c r="AB107" i="19" s="1"/>
  <c r="Z101" i="19"/>
  <c r="AB101" i="19" s="1"/>
  <c r="Z102" i="19"/>
  <c r="AB102" i="19" s="1"/>
  <c r="Z105" i="19"/>
  <c r="AB105" i="19" s="1"/>
  <c r="Z100" i="19"/>
  <c r="AB100" i="19" s="1"/>
  <c r="N123" i="21" l="1"/>
  <c r="O123" i="21" s="1"/>
  <c r="AB123" i="21"/>
  <c r="N121" i="21"/>
  <c r="O121" i="21" s="1"/>
  <c r="AB121" i="21"/>
  <c r="AB142" i="21"/>
  <c r="N142" i="21"/>
  <c r="O142" i="21" s="1"/>
  <c r="AB129" i="21"/>
  <c r="N129" i="21"/>
  <c r="O129" i="21" s="1"/>
  <c r="AB140" i="21"/>
  <c r="N140" i="21"/>
  <c r="O140" i="21" s="1"/>
  <c r="AB126" i="21"/>
  <c r="N126" i="21"/>
  <c r="O126" i="21" s="1"/>
  <c r="N136" i="21"/>
  <c r="O136" i="21" s="1"/>
  <c r="AB136" i="21"/>
  <c r="AB137" i="21"/>
  <c r="N137" i="21"/>
  <c r="O137" i="21" s="1"/>
  <c r="N134" i="21"/>
  <c r="O134" i="21" s="1"/>
  <c r="AB134" i="21"/>
  <c r="H138" i="19"/>
  <c r="H130" i="19"/>
  <c r="H141" i="19"/>
  <c r="H135" i="19"/>
  <c r="H122" i="19"/>
  <c r="H143" i="19"/>
  <c r="H124" i="19"/>
  <c r="H127" i="19"/>
  <c r="H137" i="19"/>
  <c r="M119" i="2"/>
  <c r="H139" i="21" s="1"/>
  <c r="Z139" i="21" s="1"/>
  <c r="M113" i="2"/>
  <c r="H133" i="21" s="1"/>
  <c r="Z133" i="21" s="1"/>
  <c r="M112" i="2"/>
  <c r="H132" i="21" s="1"/>
  <c r="Z132" i="21" s="1"/>
  <c r="M121" i="2"/>
  <c r="H141" i="21" s="1"/>
  <c r="Z141" i="21" s="1"/>
  <c r="M118" i="2"/>
  <c r="H138" i="21" s="1"/>
  <c r="Z138" i="21" s="1"/>
  <c r="M115" i="2"/>
  <c r="H135" i="21" s="1"/>
  <c r="Z135" i="21" s="1"/>
  <c r="Z113" i="19"/>
  <c r="AB113" i="19" s="1"/>
  <c r="Z119" i="19"/>
  <c r="AB119" i="19" s="1"/>
  <c r="Z110" i="19"/>
  <c r="AB110" i="19" s="1"/>
  <c r="Z109" i="19"/>
  <c r="AB109" i="19" s="1"/>
  <c r="Z117" i="19"/>
  <c r="AB117" i="19" s="1"/>
  <c r="Z120" i="19"/>
  <c r="AB120" i="19" s="1"/>
  <c r="Z116" i="19"/>
  <c r="AB116" i="19" s="1"/>
  <c r="Z115" i="19"/>
  <c r="AB115" i="19" s="1"/>
  <c r="Z118" i="19"/>
  <c r="AB118" i="19" s="1"/>
  <c r="Z114" i="19"/>
  <c r="AB114" i="19" s="1"/>
  <c r="Z112" i="19"/>
  <c r="AB112" i="19" s="1"/>
  <c r="Z111" i="19"/>
  <c r="AB111" i="19" s="1"/>
  <c r="AB135" i="21" l="1"/>
  <c r="N135" i="21"/>
  <c r="O135" i="21" s="1"/>
  <c r="N141" i="21"/>
  <c r="O141" i="21" s="1"/>
  <c r="AB141" i="21"/>
  <c r="N132" i="21"/>
  <c r="O132" i="21" s="1"/>
  <c r="AB132" i="21"/>
  <c r="AB138" i="21"/>
  <c r="N138" i="21"/>
  <c r="O138" i="21" s="1"/>
  <c r="N139" i="21"/>
  <c r="O139" i="21" s="1"/>
  <c r="AB139" i="21"/>
  <c r="AB133" i="21"/>
  <c r="N133" i="21"/>
  <c r="O133" i="21" s="1"/>
  <c r="H133" i="19"/>
  <c r="H142" i="19"/>
  <c r="H134" i="19"/>
  <c r="H136" i="19"/>
  <c r="H140" i="19"/>
  <c r="H139" i="19"/>
  <c r="Z124" i="19"/>
  <c r="AB124" i="19" s="1"/>
  <c r="Z143" i="19"/>
  <c r="AB143" i="19" s="1"/>
  <c r="Z128" i="19"/>
  <c r="AB128" i="19" s="1"/>
  <c r="Z129" i="19"/>
  <c r="AB129" i="19" s="1"/>
  <c r="Z126" i="19"/>
  <c r="AB126" i="19" s="1"/>
  <c r="Z125" i="19"/>
  <c r="AB125" i="19" s="1"/>
  <c r="Z121" i="19"/>
  <c r="AB121" i="19" s="1"/>
  <c r="Z122" i="19"/>
  <c r="AB122" i="19" s="1"/>
  <c r="Z123" i="19"/>
  <c r="AB123" i="19" s="1"/>
  <c r="Z130" i="19"/>
  <c r="AB130" i="19" s="1"/>
  <c r="Z127" i="19"/>
  <c r="AB127" i="19" s="1"/>
  <c r="Z132" i="19"/>
  <c r="AB132" i="19" s="1"/>
  <c r="Z131" i="19"/>
  <c r="AB131" i="19" s="1"/>
  <c r="AC23" i="21" l="1"/>
  <c r="P23" i="21"/>
  <c r="W23" i="21" s="1"/>
  <c r="Z140" i="19"/>
  <c r="AB140" i="19" s="1"/>
  <c r="Z133" i="19"/>
  <c r="AB133" i="19" s="1"/>
  <c r="Z134" i="19"/>
  <c r="AB134" i="19" s="1"/>
  <c r="Z141" i="19"/>
  <c r="AB141" i="19" s="1"/>
  <c r="Z142" i="19"/>
  <c r="AB142" i="19" s="1"/>
  <c r="Z136" i="19"/>
  <c r="AB136" i="19" s="1"/>
  <c r="Z137" i="19"/>
  <c r="AB137" i="19" s="1"/>
  <c r="Z135" i="19"/>
  <c r="AB135" i="19" s="1"/>
  <c r="Z144" i="19"/>
  <c r="AB144" i="19" s="1"/>
  <c r="Z138" i="19"/>
  <c r="AB138" i="19" s="1"/>
  <c r="Z139" i="19"/>
  <c r="AB139" i="19" s="1"/>
  <c r="AG22" i="21" l="1"/>
  <c r="AC24" i="19"/>
  <c r="AG23" i="19" s="1"/>
  <c r="K23" i="18"/>
  <c r="J23" i="18" l="1"/>
  <c r="L23" i="18" s="1"/>
  <c r="J66" i="18"/>
  <c r="L66" i="18" s="1"/>
  <c r="K119" i="18"/>
  <c r="J108" i="18"/>
  <c r="L108" i="18" s="1"/>
  <c r="J136" i="18"/>
  <c r="L136" i="18" s="1"/>
  <c r="K133" i="18"/>
  <c r="K61" i="18"/>
  <c r="J77" i="18"/>
  <c r="L77" i="18" s="1"/>
  <c r="K53" i="18"/>
  <c r="J41" i="18"/>
  <c r="L41" i="18" s="1"/>
  <c r="J73" i="18"/>
  <c r="L73" i="18" s="1"/>
  <c r="J126" i="18"/>
  <c r="L126" i="18" s="1"/>
  <c r="J71" i="18"/>
  <c r="L71" i="18" s="1"/>
  <c r="J110" i="18"/>
  <c r="L110" i="18" s="1"/>
  <c r="J128" i="18"/>
  <c r="L128" i="18" s="1"/>
  <c r="J135" i="18"/>
  <c r="L135" i="18" s="1"/>
  <c r="K104" i="18"/>
  <c r="J95" i="18"/>
  <c r="L95" i="18" s="1"/>
  <c r="J44" i="18"/>
  <c r="L44" i="18" s="1"/>
  <c r="K69" i="18"/>
  <c r="K67" i="18"/>
  <c r="J99" i="18"/>
  <c r="L99" i="18" s="1"/>
  <c r="J57" i="18"/>
  <c r="L57" i="18" s="1"/>
  <c r="J52" i="18"/>
  <c r="L52" i="18" s="1"/>
  <c r="J56" i="18"/>
  <c r="L56" i="18" s="1"/>
  <c r="J33" i="18"/>
  <c r="L33" i="18" s="1"/>
  <c r="J114" i="18"/>
  <c r="L114" i="18" s="1"/>
  <c r="J120" i="18"/>
  <c r="L120" i="18" s="1"/>
  <c r="J32" i="18"/>
  <c r="L32" i="18" s="1"/>
  <c r="K125" i="18"/>
  <c r="K54" i="18"/>
  <c r="J28" i="18"/>
  <c r="L28" i="18" s="1"/>
  <c r="K137" i="18"/>
  <c r="J65" i="18"/>
  <c r="L65" i="18" s="1"/>
  <c r="J101" i="18"/>
  <c r="L101" i="18" s="1"/>
  <c r="K47" i="18"/>
  <c r="J63" i="18"/>
  <c r="L63" i="18" s="1"/>
  <c r="J64" i="18"/>
  <c r="L64" i="18" s="1"/>
  <c r="K139" i="18"/>
  <c r="J106" i="18"/>
  <c r="L106" i="18" s="1"/>
  <c r="K129" i="18"/>
  <c r="J107" i="18"/>
  <c r="L107" i="18" s="1"/>
  <c r="K70" i="18"/>
  <c r="J74" i="18"/>
  <c r="L74" i="18" s="1"/>
  <c r="K93" i="18"/>
  <c r="J78" i="18"/>
  <c r="L78" i="18" s="1"/>
  <c r="J43" i="18"/>
  <c r="L43" i="18" s="1"/>
  <c r="J24" i="18"/>
  <c r="L24" i="18" s="1"/>
  <c r="K105" i="18"/>
  <c r="J34" i="18"/>
  <c r="L34" i="18" s="1"/>
  <c r="J26" i="18"/>
  <c r="L26" i="18" s="1"/>
  <c r="K42" i="18"/>
  <c r="K27" i="18"/>
  <c r="J102" i="18"/>
  <c r="L102" i="18" s="1"/>
  <c r="J72" i="18"/>
  <c r="L72" i="18" s="1"/>
  <c r="J94" i="18"/>
  <c r="L94" i="18" s="1"/>
  <c r="J112" i="18"/>
  <c r="L112" i="18" s="1"/>
  <c r="J80" i="18"/>
  <c r="L80" i="18" s="1"/>
  <c r="J87" i="18"/>
  <c r="L87" i="18" s="1"/>
  <c r="J113" i="18"/>
  <c r="L113" i="18" s="1"/>
  <c r="J121" i="18"/>
  <c r="L121" i="18" s="1"/>
  <c r="K29" i="18"/>
  <c r="J132" i="18"/>
  <c r="L132" i="18" s="1"/>
  <c r="J100" i="18"/>
  <c r="L100" i="18" s="1"/>
  <c r="J55" i="18"/>
  <c r="L55" i="18" s="1"/>
  <c r="K138" i="18"/>
  <c r="K111" i="18"/>
  <c r="J59" i="18"/>
  <c r="L59" i="18" s="1"/>
  <c r="J48" i="18"/>
  <c r="L48" i="18" s="1"/>
  <c r="J116" i="18"/>
  <c r="L116" i="18" s="1"/>
  <c r="J25" i="18"/>
  <c r="L25" i="18" s="1"/>
  <c r="J123" i="18"/>
  <c r="L123" i="18" s="1"/>
  <c r="K49" i="18"/>
  <c r="K86" i="18"/>
  <c r="J30" i="18"/>
  <c r="L30" i="18" s="1"/>
  <c r="J84" i="18"/>
  <c r="L84" i="18" s="1"/>
  <c r="J83" i="18"/>
  <c r="L83" i="18" s="1"/>
  <c r="K39" i="18"/>
  <c r="J92" i="18"/>
  <c r="L92" i="18" s="1"/>
  <c r="J103" i="18"/>
  <c r="L103" i="18" s="1"/>
  <c r="J79" i="18"/>
  <c r="L79" i="18" s="1"/>
  <c r="J109" i="18"/>
  <c r="L109" i="18" s="1"/>
  <c r="J127" i="18"/>
  <c r="L127" i="18" s="1"/>
  <c r="J75" i="18"/>
  <c r="L75" i="18" s="1"/>
  <c r="J51" i="18"/>
  <c r="L51" i="18" s="1"/>
  <c r="J117" i="18"/>
  <c r="L117" i="18" s="1"/>
  <c r="J96" i="18"/>
  <c r="L96" i="18" s="1"/>
  <c r="J60" i="18"/>
  <c r="L60" i="18" s="1"/>
  <c r="K58" i="18"/>
  <c r="J40" i="18"/>
  <c r="L40" i="18" s="1"/>
  <c r="K131" i="18"/>
  <c r="K46" i="18"/>
  <c r="J38" i="18"/>
  <c r="L38" i="18" s="1"/>
  <c r="J115" i="18"/>
  <c r="L115" i="18" s="1"/>
  <c r="J62" i="18"/>
  <c r="L62" i="18" s="1"/>
  <c r="J37" i="18"/>
  <c r="L37" i="18" s="1"/>
  <c r="K68" i="18"/>
  <c r="J130" i="18"/>
  <c r="L130" i="18" s="1"/>
  <c r="J124" i="18"/>
  <c r="L124" i="18" s="1"/>
  <c r="K88" i="18"/>
  <c r="K81" i="18"/>
  <c r="J36" i="18"/>
  <c r="L36" i="18" s="1"/>
  <c r="J82" i="18"/>
  <c r="L82" i="18" s="1"/>
  <c r="K89" i="18"/>
  <c r="J97" i="18"/>
  <c r="L97" i="18" s="1"/>
  <c r="J50" i="18"/>
  <c r="L50" i="18" s="1"/>
  <c r="J90" i="18"/>
  <c r="L90" i="18" s="1"/>
  <c r="J45" i="18"/>
  <c r="L45" i="18" s="1"/>
  <c r="J118" i="18"/>
  <c r="L118" i="18" s="1"/>
  <c r="J76" i="18"/>
  <c r="L76" i="18" s="1"/>
  <c r="J31" i="18"/>
  <c r="L31" i="18" s="1"/>
  <c r="J122" i="18"/>
  <c r="L122" i="18" s="1"/>
  <c r="J85" i="18"/>
  <c r="L85" i="18" s="1"/>
  <c r="J134" i="18"/>
  <c r="L134" i="18" s="1"/>
  <c r="K35" i="18"/>
  <c r="J91" i="18"/>
  <c r="L91" i="18" s="1"/>
  <c r="J98" i="18"/>
  <c r="L98" i="18" s="1"/>
  <c r="K95" i="18" l="1"/>
  <c r="J68" i="18"/>
  <c r="L68" i="18" s="1"/>
  <c r="K84" i="18"/>
  <c r="K55" i="18"/>
  <c r="K97" i="18"/>
  <c r="K121" i="18"/>
  <c r="K65" i="18"/>
  <c r="K31" i="18"/>
  <c r="K87" i="18"/>
  <c r="J81" i="18"/>
  <c r="L81" i="18" s="1"/>
  <c r="K92" i="18"/>
  <c r="K63" i="18"/>
  <c r="J46" i="18"/>
  <c r="L46" i="18" s="1"/>
  <c r="K56" i="18"/>
  <c r="K51" i="18"/>
  <c r="K122" i="18"/>
  <c r="K99" i="18"/>
  <c r="K26" i="18"/>
  <c r="J89" i="18"/>
  <c r="L89" i="18" s="1"/>
  <c r="K36" i="18"/>
  <c r="K64" i="18"/>
  <c r="K71" i="18"/>
  <c r="K108" i="18"/>
  <c r="K91" i="18"/>
  <c r="K45" i="18"/>
  <c r="K43" i="18"/>
  <c r="J67" i="18"/>
  <c r="L67" i="18" s="1"/>
  <c r="K90" i="18"/>
  <c r="J131" i="18"/>
  <c r="L131" i="18" s="1"/>
  <c r="J86" i="18"/>
  <c r="L86" i="18" s="1"/>
  <c r="J105" i="18"/>
  <c r="L105" i="18" s="1"/>
  <c r="J53" i="18"/>
  <c r="L53" i="18" s="1"/>
  <c r="J27" i="18"/>
  <c r="L27" i="18" s="1"/>
  <c r="K85" i="18"/>
  <c r="K50" i="18"/>
  <c r="J88" i="18"/>
  <c r="L88" i="18" s="1"/>
  <c r="K101" i="18"/>
  <c r="K134" i="18"/>
  <c r="K82" i="18"/>
  <c r="K130" i="18"/>
  <c r="K117" i="18"/>
  <c r="K123" i="18"/>
  <c r="K78" i="18"/>
  <c r="K74" i="18"/>
  <c r="K62" i="18"/>
  <c r="K116" i="18"/>
  <c r="K132" i="18"/>
  <c r="K32" i="18"/>
  <c r="K41" i="18"/>
  <c r="K115" i="18"/>
  <c r="K60" i="18"/>
  <c r="K127" i="18"/>
  <c r="K94" i="18"/>
  <c r="K24" i="18"/>
  <c r="K120" i="18"/>
  <c r="K66" i="18"/>
  <c r="J58" i="18"/>
  <c r="L58" i="18" s="1"/>
  <c r="K102" i="18"/>
  <c r="K76" i="18"/>
  <c r="K109" i="18"/>
  <c r="K59" i="18"/>
  <c r="J137" i="18"/>
  <c r="L137" i="18" s="1"/>
  <c r="K124" i="18"/>
  <c r="K38" i="18"/>
  <c r="K96" i="18"/>
  <c r="K114" i="18"/>
  <c r="J61" i="18"/>
  <c r="L61" i="18" s="1"/>
  <c r="K118" i="18"/>
  <c r="K126" i="18"/>
  <c r="K103" i="18"/>
  <c r="K83" i="18"/>
  <c r="K48" i="18"/>
  <c r="K57" i="18"/>
  <c r="J139" i="18"/>
  <c r="L139" i="18" s="1"/>
  <c r="J129" i="18"/>
  <c r="L129" i="18" s="1"/>
  <c r="J70" i="18"/>
  <c r="L70" i="18" s="1"/>
  <c r="J29" i="18"/>
  <c r="L29" i="18" s="1"/>
  <c r="K28" i="18"/>
  <c r="J125" i="18"/>
  <c r="L125" i="18" s="1"/>
  <c r="J49" i="18"/>
  <c r="L49" i="18" s="1"/>
  <c r="K72" i="18"/>
  <c r="K106" i="18"/>
  <c r="K33" i="18"/>
  <c r="K110" i="18"/>
  <c r="J42" i="18"/>
  <c r="L42" i="18" s="1"/>
  <c r="K52" i="18"/>
  <c r="J138" i="18"/>
  <c r="L138" i="18" s="1"/>
  <c r="K40" i="18"/>
  <c r="K100" i="18"/>
  <c r="K80" i="18"/>
  <c r="K34" i="18"/>
  <c r="J47" i="18"/>
  <c r="L47" i="18" s="1"/>
  <c r="K135" i="18"/>
  <c r="K44" i="18"/>
  <c r="K79" i="18"/>
  <c r="J104" i="18"/>
  <c r="L104" i="18" s="1"/>
  <c r="K30" i="18"/>
  <c r="J119" i="18"/>
  <c r="L119" i="18" s="1"/>
  <c r="K77" i="18"/>
  <c r="K98" i="18"/>
  <c r="K37" i="18"/>
  <c r="K75" i="18"/>
  <c r="J93" i="18"/>
  <c r="L93" i="18" s="1"/>
  <c r="K107" i="18"/>
  <c r="K73" i="18"/>
  <c r="J54" i="18"/>
  <c r="L54" i="18" s="1"/>
  <c r="J35" i="18"/>
  <c r="L35" i="18" s="1"/>
  <c r="J111" i="18"/>
  <c r="L111" i="18" s="1"/>
  <c r="J69" i="18"/>
  <c r="L69" i="18" s="1"/>
  <c r="K113" i="18"/>
  <c r="K112" i="18"/>
  <c r="K25" i="18"/>
  <c r="J133" i="18"/>
  <c r="L133" i="18" s="1"/>
  <c r="K128" i="18"/>
  <c r="J39" i="18"/>
  <c r="L39" i="18" s="1"/>
  <c r="K136" i="18"/>
</calcChain>
</file>

<file path=xl/sharedStrings.xml><?xml version="1.0" encoding="utf-8"?>
<sst xmlns="http://schemas.openxmlformats.org/spreadsheetml/2006/main" count="305" uniqueCount="140">
  <si>
    <r>
      <t>【Excel演習1-1】（所要時間：</t>
    </r>
    <r>
      <rPr>
        <b/>
        <sz val="11"/>
        <color rgb="FFFF0000"/>
        <rFont val="Meiryo UI"/>
        <family val="3"/>
        <charset val="128"/>
      </rPr>
      <t>15分</t>
    </r>
    <r>
      <rPr>
        <b/>
        <sz val="11"/>
        <color theme="1"/>
        <rFont val="Meiryo UI"/>
        <family val="3"/>
        <charset val="128"/>
      </rPr>
      <t>）</t>
    </r>
    <rPh sb="6" eb="8">
      <t>エンシュウ</t>
    </rPh>
    <rPh sb="13" eb="15">
      <t>ショヨウ</t>
    </rPh>
    <rPh sb="15" eb="17">
      <t>ジカン</t>
    </rPh>
    <rPh sb="20" eb="21">
      <t>フン</t>
    </rPh>
    <phoneticPr fontId="8"/>
  </si>
  <si>
    <t>原資産価格の異なる121個のヨーロピアン・プットオプションに関するデータを表２に用意しています。</t>
    <rPh sb="0" eb="5">
      <t>ゲンシサンカカク</t>
    </rPh>
    <rPh sb="37" eb="38">
      <t>ヒョウ</t>
    </rPh>
    <rPh sb="40" eb="42">
      <t>ヨウイ</t>
    </rPh>
    <phoneticPr fontId="8"/>
  </si>
  <si>
    <t>表1の黄色セルにあるパラメータを変化させたとき、プットオプション価格のグラフの形状がどのように変化するか確認しましょう。</t>
    <rPh sb="0" eb="1">
      <t>ヒョウ</t>
    </rPh>
    <rPh sb="3" eb="5">
      <t>キイロ</t>
    </rPh>
    <rPh sb="16" eb="18">
      <t>ヘンカ</t>
    </rPh>
    <rPh sb="32" eb="34">
      <t>カカク</t>
    </rPh>
    <rPh sb="39" eb="41">
      <t>ケイジョウ</t>
    </rPh>
    <rPh sb="47" eb="49">
      <t>ヘンカ</t>
    </rPh>
    <rPh sb="52" eb="54">
      <t>カクニン</t>
    </rPh>
    <phoneticPr fontId="8"/>
  </si>
  <si>
    <t>また、得られた結果から各パラメータとオプション価格にはどのような関係性がありそうか、考察してみましょう。</t>
    <rPh sb="42" eb="44">
      <t>コウサツ</t>
    </rPh>
    <phoneticPr fontId="5"/>
  </si>
  <si>
    <t>(1) ボラティリティを変化させた場合</t>
    <rPh sb="12" eb="14">
      <t>ヘンカ</t>
    </rPh>
    <rPh sb="17" eb="19">
      <t>バアイ</t>
    </rPh>
    <phoneticPr fontId="5"/>
  </si>
  <si>
    <t>(2) 配当率を変化させた場合</t>
    <rPh sb="4" eb="6">
      <t>ハイトウ</t>
    </rPh>
    <rPh sb="6" eb="7">
      <t>リツ</t>
    </rPh>
    <phoneticPr fontId="5"/>
  </si>
  <si>
    <t>(3) 満期を変化させた場合</t>
    <rPh sb="4" eb="6">
      <t>マンキ</t>
    </rPh>
    <phoneticPr fontId="5"/>
  </si>
  <si>
    <t>◆ 表１ パラメータ</t>
    <rPh sb="2" eb="3">
      <t>ヒョウ</t>
    </rPh>
    <phoneticPr fontId="4"/>
  </si>
  <si>
    <t>A</t>
    <phoneticPr fontId="5"/>
  </si>
  <si>
    <t>B</t>
    <phoneticPr fontId="5"/>
  </si>
  <si>
    <t>r</t>
  </si>
  <si>
    <t>無リスク金利</t>
    <rPh sb="0" eb="1">
      <t>ム</t>
    </rPh>
    <rPh sb="4" eb="6">
      <t>キンリ</t>
    </rPh>
    <phoneticPr fontId="5"/>
  </si>
  <si>
    <t>σ</t>
  </si>
  <si>
    <t>ボラティリティ</t>
  </si>
  <si>
    <t>ε'</t>
  </si>
  <si>
    <t>配当率</t>
    <rPh sb="0" eb="2">
      <t>ハイトウ</t>
    </rPh>
    <rPh sb="2" eb="3">
      <t>リツ</t>
    </rPh>
    <phoneticPr fontId="5"/>
  </si>
  <si>
    <t>T</t>
    <phoneticPr fontId="5"/>
  </si>
  <si>
    <t>満期</t>
    <rPh sb="0" eb="2">
      <t>マンキ</t>
    </rPh>
    <phoneticPr fontId="5"/>
  </si>
  <si>
    <t>K</t>
  </si>
  <si>
    <t>権利行使価格(万円）</t>
    <rPh sb="0" eb="2">
      <t>ケンリ</t>
    </rPh>
    <rPh sb="2" eb="4">
      <t>コウシ</t>
    </rPh>
    <rPh sb="4" eb="6">
      <t>カカク</t>
    </rPh>
    <rPh sb="7" eb="9">
      <t>マンエン</t>
    </rPh>
    <phoneticPr fontId="5"/>
  </si>
  <si>
    <t>◆ 表2 各オプションの満期</t>
    <rPh sb="2" eb="3">
      <t>ヒョウ</t>
    </rPh>
    <rPh sb="12" eb="14">
      <t>マンキ</t>
    </rPh>
    <phoneticPr fontId="5"/>
  </si>
  <si>
    <t>◆ 表２ 原資産価格</t>
    <rPh sb="2" eb="3">
      <t>ヒョウ</t>
    </rPh>
    <rPh sb="5" eb="8">
      <t>ゲンシサン</t>
    </rPh>
    <rPh sb="8" eb="10">
      <t>カカク</t>
    </rPh>
    <phoneticPr fontId="4"/>
  </si>
  <si>
    <r>
      <t>S</t>
    </r>
    <r>
      <rPr>
        <sz val="8"/>
        <rFont val="Meiryo UI"/>
        <family val="3"/>
        <charset val="128"/>
      </rPr>
      <t>0</t>
    </r>
    <phoneticPr fontId="5"/>
  </si>
  <si>
    <t>オプションNo</t>
    <phoneticPr fontId="5"/>
  </si>
  <si>
    <t>満期</t>
    <rPh sb="0" eb="2">
      <t>マンキ</t>
    </rPh>
    <phoneticPr fontId="4"/>
  </si>
  <si>
    <r>
      <t>d</t>
    </r>
    <r>
      <rPr>
        <i/>
        <sz val="8"/>
        <rFont val="Meiryo UI"/>
        <family val="3"/>
        <charset val="128"/>
      </rPr>
      <t>1</t>
    </r>
    <phoneticPr fontId="4"/>
  </si>
  <si>
    <r>
      <t>d</t>
    </r>
    <r>
      <rPr>
        <i/>
        <sz val="8"/>
        <rFont val="Meiryo UI"/>
        <family val="3"/>
        <charset val="128"/>
      </rPr>
      <t>2</t>
    </r>
    <phoneticPr fontId="4"/>
  </si>
  <si>
    <r>
      <t>N(-d</t>
    </r>
    <r>
      <rPr>
        <i/>
        <sz val="8"/>
        <rFont val="Meiryo UI"/>
        <family val="3"/>
        <charset val="128"/>
      </rPr>
      <t>1</t>
    </r>
    <r>
      <rPr>
        <i/>
        <sz val="11"/>
        <rFont val="Meiryo UI"/>
        <family val="3"/>
        <charset val="128"/>
      </rPr>
      <t>)</t>
    </r>
    <phoneticPr fontId="4"/>
  </si>
  <si>
    <r>
      <t>N(-d</t>
    </r>
    <r>
      <rPr>
        <i/>
        <sz val="8"/>
        <rFont val="Meiryo UI"/>
        <family val="3"/>
        <charset val="128"/>
      </rPr>
      <t>2</t>
    </r>
    <r>
      <rPr>
        <i/>
        <sz val="11"/>
        <rFont val="Meiryo UI"/>
        <family val="3"/>
        <charset val="128"/>
      </rPr>
      <t>)</t>
    </r>
    <phoneticPr fontId="4"/>
  </si>
  <si>
    <t>原資産価格</t>
    <rPh sb="0" eb="3">
      <t>ゲンシサン</t>
    </rPh>
    <rPh sb="3" eb="5">
      <t>カカク</t>
    </rPh>
    <phoneticPr fontId="4"/>
  </si>
  <si>
    <t>Aのオプション価格</t>
    <rPh sb="7" eb="9">
      <t>カカク</t>
    </rPh>
    <phoneticPr fontId="4"/>
  </si>
  <si>
    <t>Bのオプション価格</t>
    <rPh sb="7" eb="9">
      <t>カカク</t>
    </rPh>
    <phoneticPr fontId="4"/>
  </si>
  <si>
    <t>（メモ欄：自由に使用してください）</t>
    <rPh sb="3" eb="4">
      <t>ラン</t>
    </rPh>
    <rPh sb="5" eb="7">
      <t>ジユウ</t>
    </rPh>
    <rPh sb="8" eb="10">
      <t>シヨウ</t>
    </rPh>
    <phoneticPr fontId="5"/>
  </si>
  <si>
    <t>(2) 配当率を変化させた場合</t>
    <rPh sb="4" eb="6">
      <t>ハイトウ</t>
    </rPh>
    <rPh sb="6" eb="7">
      <t>リツ</t>
    </rPh>
    <rPh sb="8" eb="10">
      <t>ヘンカ</t>
    </rPh>
    <rPh sb="13" eb="15">
      <t>バアイ</t>
    </rPh>
    <phoneticPr fontId="5"/>
  </si>
  <si>
    <t>(3) 満期を変化させた場合</t>
    <rPh sb="4" eb="6">
      <t>マンキ</t>
    </rPh>
    <rPh sb="7" eb="9">
      <t>ヘンカ</t>
    </rPh>
    <rPh sb="12" eb="14">
      <t>バアイ</t>
    </rPh>
    <phoneticPr fontId="5"/>
  </si>
  <si>
    <r>
      <t>【Excel演習1-2】（所要時間：</t>
    </r>
    <r>
      <rPr>
        <b/>
        <sz val="11"/>
        <color rgb="FFFF0000"/>
        <rFont val="Meiryo UI"/>
        <family val="3"/>
        <charset val="128"/>
      </rPr>
      <t>15分</t>
    </r>
    <r>
      <rPr>
        <b/>
        <sz val="11"/>
        <color theme="1"/>
        <rFont val="Meiryo UI"/>
        <family val="3"/>
        <charset val="128"/>
      </rPr>
      <t>）</t>
    </r>
    <rPh sb="6" eb="8">
      <t>エンシュウ</t>
    </rPh>
    <rPh sb="13" eb="15">
      <t>ショヨウ</t>
    </rPh>
    <rPh sb="15" eb="17">
      <t>ジカン</t>
    </rPh>
    <rPh sb="20" eb="21">
      <t>フン</t>
    </rPh>
    <phoneticPr fontId="8"/>
  </si>
  <si>
    <t>ヨーロピアン・プットオプションに関して、満期・ボラティリティ・配当率の変化に伴い、理論時価がどのように変化するかを図示しています。</t>
    <rPh sb="20" eb="22">
      <t>マンキ</t>
    </rPh>
    <rPh sb="31" eb="33">
      <t>ハイトウ</t>
    </rPh>
    <rPh sb="33" eb="34">
      <t>リツ</t>
    </rPh>
    <rPh sb="41" eb="45">
      <t>リロンジカ</t>
    </rPh>
    <phoneticPr fontId="8"/>
  </si>
  <si>
    <t>オプション価格と各パラメータの関係性について、演習1-1にて予想した通りの結果となっているか確認しましょう。また、その理由について考察してみましょう。</t>
    <rPh sb="5" eb="7">
      <t>カカク</t>
    </rPh>
    <rPh sb="8" eb="9">
      <t>カク</t>
    </rPh>
    <rPh sb="15" eb="18">
      <t>カンケイセイ</t>
    </rPh>
    <rPh sb="23" eb="25">
      <t>エンシュウ</t>
    </rPh>
    <rPh sb="30" eb="32">
      <t>ヨソウ</t>
    </rPh>
    <rPh sb="34" eb="35">
      <t>トオ</t>
    </rPh>
    <rPh sb="37" eb="39">
      <t>ケッカ</t>
    </rPh>
    <rPh sb="46" eb="48">
      <t>カクニン</t>
    </rPh>
    <rPh sb="59" eb="61">
      <t>リユウ</t>
    </rPh>
    <rPh sb="65" eb="67">
      <t>コウサツ</t>
    </rPh>
    <phoneticPr fontId="8"/>
  </si>
  <si>
    <t>ただし、全てのオプションで共通するパラメータは表1に記載の通りです。</t>
    <phoneticPr fontId="8"/>
  </si>
  <si>
    <t>◆ 表1 パラメータ</t>
    <rPh sb="2" eb="3">
      <t>ヒョウ</t>
    </rPh>
    <phoneticPr fontId="4"/>
  </si>
  <si>
    <r>
      <t>S</t>
    </r>
    <r>
      <rPr>
        <sz val="8"/>
        <color theme="1"/>
        <rFont val="Meiryo UI"/>
        <family val="3"/>
        <charset val="128"/>
      </rPr>
      <t>0</t>
    </r>
    <phoneticPr fontId="5"/>
  </si>
  <si>
    <t>原資産の現在価格(万円）</t>
    <rPh sb="0" eb="1">
      <t>ハラ</t>
    </rPh>
    <rPh sb="1" eb="3">
      <t>シサン</t>
    </rPh>
    <rPh sb="4" eb="6">
      <t>ゲンザイ</t>
    </rPh>
    <rPh sb="6" eb="8">
      <t>カカク</t>
    </rPh>
    <rPh sb="9" eb="11">
      <t>マンエン</t>
    </rPh>
    <phoneticPr fontId="5"/>
  </si>
  <si>
    <t>T</t>
    <phoneticPr fontId="8"/>
  </si>
  <si>
    <t xml:space="preserve">◆ </t>
    <phoneticPr fontId="8"/>
  </si>
  <si>
    <t>満期とオプション価格の関係</t>
    <rPh sb="0" eb="2">
      <t>マンキ</t>
    </rPh>
    <rPh sb="8" eb="10">
      <t>カカク</t>
    </rPh>
    <rPh sb="11" eb="13">
      <t>カンケイ</t>
    </rPh>
    <phoneticPr fontId="12"/>
  </si>
  <si>
    <t>（メモ欄：自由に使用してください）</t>
    <rPh sb="3" eb="4">
      <t>ラン</t>
    </rPh>
    <rPh sb="5" eb="7">
      <t>ジユウ</t>
    </rPh>
    <rPh sb="8" eb="10">
      <t>シヨウ</t>
    </rPh>
    <phoneticPr fontId="8"/>
  </si>
  <si>
    <t>◆</t>
    <phoneticPr fontId="8"/>
  </si>
  <si>
    <t>ボラティリティとオプション価格の関係</t>
    <rPh sb="13" eb="15">
      <t>カカク</t>
    </rPh>
    <rPh sb="16" eb="18">
      <t>カンケイ</t>
    </rPh>
    <phoneticPr fontId="12"/>
  </si>
  <si>
    <t>配当率とオプション価格の関係</t>
    <rPh sb="0" eb="2">
      <t>ハイトウ</t>
    </rPh>
    <rPh sb="2" eb="3">
      <t>リツ</t>
    </rPh>
    <rPh sb="9" eb="11">
      <t>カカク</t>
    </rPh>
    <rPh sb="12" eb="14">
      <t>カンケイ</t>
    </rPh>
    <phoneticPr fontId="12"/>
  </si>
  <si>
    <t>グラフ横軸設定</t>
    <rPh sb="3" eb="5">
      <t>ヨコジク</t>
    </rPh>
    <rPh sb="5" eb="7">
      <t>セッテイ</t>
    </rPh>
    <phoneticPr fontId="8"/>
  </si>
  <si>
    <t>最小値</t>
    <rPh sb="0" eb="3">
      <t>サイショウチ</t>
    </rPh>
    <phoneticPr fontId="8"/>
  </si>
  <si>
    <t>最大値</t>
    <rPh sb="0" eb="3">
      <t>サイダイチ</t>
    </rPh>
    <phoneticPr fontId="8"/>
  </si>
  <si>
    <t>満期</t>
    <rPh sb="0" eb="2">
      <t>マンキ</t>
    </rPh>
    <phoneticPr fontId="8"/>
  </si>
  <si>
    <t>ボラティリティ</t>
    <phoneticPr fontId="8"/>
  </si>
  <si>
    <t>σ</t>
    <phoneticPr fontId="5"/>
  </si>
  <si>
    <t>Put</t>
    <phoneticPr fontId="4"/>
  </si>
  <si>
    <t>ボラティリティ</t>
    <phoneticPr fontId="4"/>
  </si>
  <si>
    <t>配当率</t>
    <rPh sb="0" eb="2">
      <t>ハイトウ</t>
    </rPh>
    <rPh sb="2" eb="3">
      <t>リツ</t>
    </rPh>
    <phoneticPr fontId="4"/>
  </si>
  <si>
    <r>
      <t>【Excel演習2-1】（所要時間：</t>
    </r>
    <r>
      <rPr>
        <b/>
        <sz val="11"/>
        <color rgb="FFFF0000"/>
        <rFont val="Meiryo UI"/>
        <family val="3"/>
        <charset val="128"/>
      </rPr>
      <t>20分</t>
    </r>
    <r>
      <rPr>
        <b/>
        <sz val="11"/>
        <color theme="1"/>
        <rFont val="Meiryo UI"/>
        <family val="3"/>
        <charset val="128"/>
      </rPr>
      <t>）</t>
    </r>
    <rPh sb="6" eb="8">
      <t>エンシュウ</t>
    </rPh>
    <rPh sb="13" eb="15">
      <t>ショヨウ</t>
    </rPh>
    <rPh sb="15" eb="17">
      <t>ジカン</t>
    </rPh>
    <rPh sb="20" eb="21">
      <t>フン</t>
    </rPh>
    <phoneticPr fontId="8"/>
  </si>
  <si>
    <t>最低保証付き変額年金保険に関するデータを用意しています。</t>
    <rPh sb="20" eb="22">
      <t>ヨウイ</t>
    </rPh>
    <phoneticPr fontId="8"/>
  </si>
  <si>
    <t>オプションのパラメータは表1、保険関連のパラメータは表2，死亡率・生存率・プットオプション価格は表3に記載の通りです。</t>
    <rPh sb="12" eb="13">
      <t>ヒョウ</t>
    </rPh>
    <rPh sb="15" eb="17">
      <t>ホケン</t>
    </rPh>
    <rPh sb="17" eb="19">
      <t>カンレン</t>
    </rPh>
    <rPh sb="26" eb="27">
      <t>ヒョウ</t>
    </rPh>
    <rPh sb="29" eb="32">
      <t>シボウリツ</t>
    </rPh>
    <rPh sb="33" eb="35">
      <t>セイゾン</t>
    </rPh>
    <rPh sb="35" eb="36">
      <t>リツ</t>
    </rPh>
    <rPh sb="45" eb="47">
      <t>カカク</t>
    </rPh>
    <rPh sb="48" eb="49">
      <t>ヒョウ</t>
    </rPh>
    <rPh sb="51" eb="53">
      <t>キサイ</t>
    </rPh>
    <rPh sb="54" eb="55">
      <t>トオ</t>
    </rPh>
    <phoneticPr fontId="4"/>
  </si>
  <si>
    <t xml:space="preserve">用意された死亡率・生存率をもとに、最低保証付き変額年金保険の支出額の期待値を計算し、収支相等の原則より最低保証にかかる費用を計算しましょう。
</t>
    <rPh sb="5" eb="8">
      <t>シボウリツ</t>
    </rPh>
    <rPh sb="9" eb="12">
      <t>セイゾンリツ</t>
    </rPh>
    <phoneticPr fontId="8"/>
  </si>
  <si>
    <t>また，表１・２にある以下のパラメータを変化させたときに最低保証にかかる費用がどのように変化するか確認し、どのような関係がありそうか考察してみましょう。</t>
    <rPh sb="3" eb="4">
      <t>ヒョウ</t>
    </rPh>
    <rPh sb="10" eb="12">
      <t>イカ</t>
    </rPh>
    <rPh sb="19" eb="21">
      <t>ヘンカ</t>
    </rPh>
    <rPh sb="27" eb="31">
      <t>サイテイホショウ</t>
    </rPh>
    <rPh sb="35" eb="37">
      <t>ヒヨウ</t>
    </rPh>
    <rPh sb="43" eb="45">
      <t>ヘンカ</t>
    </rPh>
    <rPh sb="48" eb="50">
      <t>カクニン</t>
    </rPh>
    <rPh sb="57" eb="59">
      <t>カンケイ</t>
    </rPh>
    <rPh sb="65" eb="67">
      <t>コウサツ</t>
    </rPh>
    <phoneticPr fontId="4"/>
  </si>
  <si>
    <t>(1) ボラティリティ</t>
    <phoneticPr fontId="4"/>
  </si>
  <si>
    <t>(2) 被保険者の契約年齢</t>
    <rPh sb="4" eb="8">
      <t>ヒホケンシャ</t>
    </rPh>
    <rPh sb="9" eb="11">
      <t>ケイヤク</t>
    </rPh>
    <rPh sb="11" eb="13">
      <t>ネンレイ</t>
    </rPh>
    <phoneticPr fontId="4"/>
  </si>
  <si>
    <t>(3) 年金開始までの期間（契約期間）</t>
    <rPh sb="4" eb="6">
      <t>ネンキン</t>
    </rPh>
    <rPh sb="6" eb="8">
      <t>カイシ</t>
    </rPh>
    <rPh sb="11" eb="13">
      <t>キカン</t>
    </rPh>
    <rPh sb="14" eb="16">
      <t>ケイヤク</t>
    </rPh>
    <rPh sb="16" eb="18">
      <t>キカン</t>
    </rPh>
    <phoneticPr fontId="4"/>
  </si>
  <si>
    <t>(2) 被保険者の契約年齢を変化させた場合</t>
    <rPh sb="4" eb="8">
      <t>ヒホケンシャ</t>
    </rPh>
    <rPh sb="9" eb="11">
      <t>ケイヤク</t>
    </rPh>
    <rPh sb="11" eb="13">
      <t>ネンレイ</t>
    </rPh>
    <rPh sb="14" eb="16">
      <t>ヘンカ</t>
    </rPh>
    <rPh sb="19" eb="21">
      <t>バアイ</t>
    </rPh>
    <phoneticPr fontId="5"/>
  </si>
  <si>
    <t>◆ 表1 オプション関連パラメータ</t>
    <rPh sb="2" eb="3">
      <t>ヒョウ</t>
    </rPh>
    <rPh sb="10" eb="12">
      <t>カンレン</t>
    </rPh>
    <phoneticPr fontId="4"/>
  </si>
  <si>
    <t>　　　　◆ 表2 保険関連パラメータ</t>
    <rPh sb="6" eb="7">
      <t>ヒョウ</t>
    </rPh>
    <rPh sb="9" eb="11">
      <t>ホケン</t>
    </rPh>
    <rPh sb="11" eb="13">
      <t>カンレン</t>
    </rPh>
    <phoneticPr fontId="4"/>
  </si>
  <si>
    <r>
      <rPr>
        <i/>
        <sz val="11"/>
        <rFont val="Meiryo UI"/>
        <family val="3"/>
        <charset val="128"/>
      </rPr>
      <t>S</t>
    </r>
    <r>
      <rPr>
        <i/>
        <sz val="8"/>
        <rFont val="Meiryo UI"/>
        <family val="3"/>
        <charset val="128"/>
      </rPr>
      <t>0</t>
    </r>
    <phoneticPr fontId="4"/>
  </si>
  <si>
    <t>X</t>
    <phoneticPr fontId="4"/>
  </si>
  <si>
    <t>被保険者の契約年齢</t>
    <rPh sb="0" eb="4">
      <t>ヒホケンシャ</t>
    </rPh>
    <rPh sb="5" eb="7">
      <t>ケイヤク</t>
    </rPh>
    <rPh sb="7" eb="9">
      <t>ネンレイ</t>
    </rPh>
    <phoneticPr fontId="5"/>
  </si>
  <si>
    <t>r</t>
    <phoneticPr fontId="5"/>
  </si>
  <si>
    <t>m</t>
    <phoneticPr fontId="4"/>
  </si>
  <si>
    <t>年金開始迄期間</t>
    <rPh sb="0" eb="2">
      <t>ネンキン</t>
    </rPh>
    <rPh sb="2" eb="4">
      <t>カイシ</t>
    </rPh>
    <rPh sb="4" eb="5">
      <t>マデ</t>
    </rPh>
    <rPh sb="5" eb="7">
      <t>キカン</t>
    </rPh>
    <phoneticPr fontId="5"/>
  </si>
  <si>
    <t>ボラティリティ</t>
    <phoneticPr fontId="5"/>
  </si>
  <si>
    <t>e</t>
    <phoneticPr fontId="5"/>
  </si>
  <si>
    <t>予定事業費率（人件費等）</t>
    <rPh sb="0" eb="2">
      <t>ヨテイ</t>
    </rPh>
    <rPh sb="2" eb="5">
      <t>ジギョウヒ</t>
    </rPh>
    <rPh sb="5" eb="6">
      <t>リツ</t>
    </rPh>
    <rPh sb="7" eb="10">
      <t>ジンケンヒ</t>
    </rPh>
    <rPh sb="10" eb="11">
      <t>トウ</t>
    </rPh>
    <phoneticPr fontId="5"/>
  </si>
  <si>
    <t>ε'</t>
    <phoneticPr fontId="5"/>
  </si>
  <si>
    <t>配当率（費用合計）</t>
    <rPh sb="0" eb="2">
      <t>ハイトウ</t>
    </rPh>
    <rPh sb="2" eb="3">
      <t>リツ</t>
    </rPh>
    <rPh sb="4" eb="6">
      <t>ヒヨウ</t>
    </rPh>
    <rPh sb="6" eb="8">
      <t>ゴウケイ</t>
    </rPh>
    <phoneticPr fontId="5"/>
  </si>
  <si>
    <t>RP</t>
    <phoneticPr fontId="5"/>
  </si>
  <si>
    <t>最低保証にかかる費用割合</t>
    <rPh sb="0" eb="4">
      <t>サイテイホショウ</t>
    </rPh>
    <rPh sb="8" eb="10">
      <t>ヒヨウ</t>
    </rPh>
    <rPh sb="10" eb="12">
      <t>ワリアイ</t>
    </rPh>
    <phoneticPr fontId="5"/>
  </si>
  <si>
    <t>(3) 年金開始までの期間（契約期間）を変化させた場合</t>
    <rPh sb="4" eb="6">
      <t>ネンキン</t>
    </rPh>
    <rPh sb="6" eb="8">
      <t>カイシ</t>
    </rPh>
    <rPh sb="11" eb="13">
      <t>キカン</t>
    </rPh>
    <rPh sb="14" eb="16">
      <t>ケイヤク</t>
    </rPh>
    <rPh sb="16" eb="18">
      <t>キカン</t>
    </rPh>
    <rPh sb="20" eb="22">
      <t>ヘンカ</t>
    </rPh>
    <rPh sb="25" eb="27">
      <t>バアイ</t>
    </rPh>
    <phoneticPr fontId="5"/>
  </si>
  <si>
    <r>
      <rPr>
        <i/>
        <sz val="11"/>
        <rFont val="Meiryo UI"/>
        <family val="3"/>
        <charset val="128"/>
      </rPr>
      <t>e</t>
    </r>
    <r>
      <rPr>
        <sz val="6"/>
        <rFont val="Meiryo UI"/>
        <family val="3"/>
        <charset val="128"/>
      </rPr>
      <t>2</t>
    </r>
    <phoneticPr fontId="5"/>
  </si>
  <si>
    <t>信託報酬率（運用コスト）</t>
    <rPh sb="0" eb="2">
      <t>シンタク</t>
    </rPh>
    <rPh sb="2" eb="4">
      <t>ホウシュウ</t>
    </rPh>
    <rPh sb="4" eb="5">
      <t>リツ</t>
    </rPh>
    <rPh sb="6" eb="8">
      <t>ウンヨウ</t>
    </rPh>
    <phoneticPr fontId="5"/>
  </si>
  <si>
    <t>費用合計</t>
    <rPh sb="0" eb="2">
      <t>ヒヨウ</t>
    </rPh>
    <rPh sb="2" eb="4">
      <t>ゴウケイ</t>
    </rPh>
    <phoneticPr fontId="4"/>
  </si>
  <si>
    <t>RP'</t>
    <phoneticPr fontId="5"/>
  </si>
  <si>
    <t>RPの連続複利</t>
    <rPh sb="3" eb="5">
      <t>レンゾク</t>
    </rPh>
    <rPh sb="5" eb="7">
      <t>フクリ</t>
    </rPh>
    <phoneticPr fontId="5"/>
  </si>
  <si>
    <t>◆ 表3 死亡率・生存率とオプション価格</t>
    <rPh sb="2" eb="3">
      <t>ヒョウ</t>
    </rPh>
    <rPh sb="5" eb="8">
      <t>シボウリツ</t>
    </rPh>
    <rPh sb="9" eb="11">
      <t>セイゾン</t>
    </rPh>
    <rPh sb="11" eb="12">
      <t>リツ</t>
    </rPh>
    <rPh sb="18" eb="20">
      <t>カカク</t>
    </rPh>
    <phoneticPr fontId="4"/>
  </si>
  <si>
    <t>①支出部分</t>
    <rPh sb="1" eb="3">
      <t>シシュツ</t>
    </rPh>
    <rPh sb="3" eb="5">
      <t>ブブン</t>
    </rPh>
    <phoneticPr fontId="5"/>
  </si>
  <si>
    <t>②収入部分</t>
    <rPh sb="1" eb="3">
      <t>シュウニュウ</t>
    </rPh>
    <rPh sb="3" eb="5">
      <t>ブブン</t>
    </rPh>
    <phoneticPr fontId="5"/>
  </si>
  <si>
    <t>年齢</t>
    <rPh sb="0" eb="2">
      <t>ネンレイ</t>
    </rPh>
    <phoneticPr fontId="5"/>
  </si>
  <si>
    <t>◆ 死亡保険金の最低保証にかかる部分</t>
    <rPh sb="2" eb="4">
      <t>シボウ</t>
    </rPh>
    <rPh sb="4" eb="7">
      <t>ホケンキン</t>
    </rPh>
    <rPh sb="8" eb="10">
      <t>サイテイ</t>
    </rPh>
    <rPh sb="10" eb="12">
      <t>ホショウ</t>
    </rPh>
    <rPh sb="16" eb="18">
      <t>ブブン</t>
    </rPh>
    <phoneticPr fontId="5"/>
  </si>
  <si>
    <t>◆ 年金原資の最低保証にかかる部分</t>
    <rPh sb="2" eb="4">
      <t>ネンキン</t>
    </rPh>
    <rPh sb="4" eb="6">
      <t>ゲンシ</t>
    </rPh>
    <rPh sb="7" eb="9">
      <t>サイテイ</t>
    </rPh>
    <rPh sb="9" eb="11">
      <t>ホショウ</t>
    </rPh>
    <rPh sb="15" eb="17">
      <t>ブブン</t>
    </rPh>
    <phoneticPr fontId="5"/>
  </si>
  <si>
    <t>◆ 死亡保険金・年金原資の最低保証にかかる部分</t>
    <rPh sb="2" eb="4">
      <t>シボウ</t>
    </rPh>
    <rPh sb="4" eb="7">
      <t>ホケンキン</t>
    </rPh>
    <rPh sb="8" eb="10">
      <t>ネンキン</t>
    </rPh>
    <rPh sb="10" eb="12">
      <t>ゲンシ</t>
    </rPh>
    <rPh sb="13" eb="15">
      <t>サイテイ</t>
    </rPh>
    <rPh sb="15" eb="17">
      <t>ホショウ</t>
    </rPh>
    <rPh sb="21" eb="23">
      <t>ブブン</t>
    </rPh>
    <phoneticPr fontId="5"/>
  </si>
  <si>
    <t>◆ グラフ作成用（削除しないでください）</t>
    <rPh sb="5" eb="7">
      <t>サクセイ</t>
    </rPh>
    <rPh sb="7" eb="8">
      <t>ヨウ</t>
    </rPh>
    <rPh sb="9" eb="11">
      <t>サクジョ</t>
    </rPh>
    <phoneticPr fontId="5"/>
  </si>
  <si>
    <t>歳</t>
    <rPh sb="0" eb="1">
      <t>サイ</t>
    </rPh>
    <phoneticPr fontId="5"/>
  </si>
  <si>
    <t>ヶ月</t>
    <rPh sb="1" eb="2">
      <t>ゲツ</t>
    </rPh>
    <phoneticPr fontId="5"/>
  </si>
  <si>
    <t>死亡率</t>
    <rPh sb="0" eb="2">
      <t>シボウ</t>
    </rPh>
    <rPh sb="2" eb="3">
      <t>リツ</t>
    </rPh>
    <phoneticPr fontId="5"/>
  </si>
  <si>
    <t>生存率</t>
    <rPh sb="0" eb="2">
      <t>セイゾン</t>
    </rPh>
    <rPh sb="2" eb="3">
      <t>リツ</t>
    </rPh>
    <phoneticPr fontId="5"/>
  </si>
  <si>
    <t>Put</t>
  </si>
  <si>
    <t>死亡事由に関する最低保証</t>
    <rPh sb="0" eb="2">
      <t>シボウ</t>
    </rPh>
    <rPh sb="2" eb="4">
      <t>ジユウ</t>
    </rPh>
    <rPh sb="5" eb="6">
      <t>カン</t>
    </rPh>
    <rPh sb="8" eb="10">
      <t>サイテイ</t>
    </rPh>
    <rPh sb="10" eb="12">
      <t>ホショウ</t>
    </rPh>
    <phoneticPr fontId="4"/>
  </si>
  <si>
    <t>合計</t>
    <rPh sb="0" eb="2">
      <t>ゴウケイ</t>
    </rPh>
    <phoneticPr fontId="5"/>
  </si>
  <si>
    <t>生存事由に関する最低保証</t>
    <rPh sb="0" eb="2">
      <t>セイゾン</t>
    </rPh>
    <rPh sb="2" eb="4">
      <t>ジユウ</t>
    </rPh>
    <rPh sb="5" eb="6">
      <t>カン</t>
    </rPh>
    <rPh sb="8" eb="10">
      <t>サイテイ</t>
    </rPh>
    <rPh sb="10" eb="12">
      <t>ホショウ</t>
    </rPh>
    <phoneticPr fontId="4"/>
  </si>
  <si>
    <t>全体合計</t>
    <rPh sb="0" eb="2">
      <t>ゼンタイ</t>
    </rPh>
    <rPh sb="2" eb="4">
      <t>ゴウケイ</t>
    </rPh>
    <phoneticPr fontId="5"/>
  </si>
  <si>
    <r>
      <t>E[a</t>
    </r>
    <r>
      <rPr>
        <sz val="8"/>
        <rFont val="Meiryo UI"/>
        <family val="3"/>
        <charset val="128"/>
      </rPr>
      <t>t</t>
    </r>
    <r>
      <rPr>
        <sz val="11"/>
        <rFont val="Meiryo UI"/>
        <family val="3"/>
        <charset val="128"/>
      </rPr>
      <t>]</t>
    </r>
    <phoneticPr fontId="5"/>
  </si>
  <si>
    <t>最低保証にかかる部分</t>
    <rPh sb="0" eb="2">
      <t>サイテイ</t>
    </rPh>
    <rPh sb="2" eb="4">
      <t>ホショウ</t>
    </rPh>
    <rPh sb="8" eb="10">
      <t>ブブン</t>
    </rPh>
    <phoneticPr fontId="4"/>
  </si>
  <si>
    <t>目的変数</t>
    <rPh sb="0" eb="2">
      <t>モクテキ</t>
    </rPh>
    <rPh sb="2" eb="4">
      <t>ヘンスウ</t>
    </rPh>
    <phoneticPr fontId="5"/>
  </si>
  <si>
    <r>
      <t>【Excel演習2-2】（所要時間：</t>
    </r>
    <r>
      <rPr>
        <b/>
        <sz val="11"/>
        <color rgb="FFFF0000"/>
        <rFont val="Meiryo UI"/>
        <family val="3"/>
        <charset val="128"/>
      </rPr>
      <t>10分</t>
    </r>
    <r>
      <rPr>
        <b/>
        <sz val="11"/>
        <color theme="1"/>
        <rFont val="Meiryo UI"/>
        <family val="3"/>
        <charset val="128"/>
      </rPr>
      <t>）</t>
    </r>
    <rPh sb="6" eb="8">
      <t>エンシュウ</t>
    </rPh>
    <rPh sb="13" eb="17">
      <t>ショヨウジカン</t>
    </rPh>
    <rPh sb="20" eb="21">
      <t>フン</t>
    </rPh>
    <phoneticPr fontId="8"/>
  </si>
  <si>
    <t>最低保証にかかる費用に関して、ボラティリティ・被保険者の年齢・契約期間・行使価格の変化した場合を考えます。</t>
    <rPh sb="31" eb="33">
      <t>ケイヤク</t>
    </rPh>
    <rPh sb="33" eb="35">
      <t>キカン</t>
    </rPh>
    <rPh sb="36" eb="38">
      <t>コウシ</t>
    </rPh>
    <rPh sb="38" eb="40">
      <t>カカク</t>
    </rPh>
    <rPh sb="45" eb="47">
      <t>バアイ</t>
    </rPh>
    <rPh sb="48" eb="49">
      <t>カンガ</t>
    </rPh>
    <phoneticPr fontId="8"/>
  </si>
  <si>
    <t>このとき、最低保証にかかる費用と各パラメータについて、演習2-1にて予想した関係性があるか確認しましょう。また、その理由を考察してみましょう。</t>
    <rPh sb="5" eb="9">
      <t>サイテイホショウ</t>
    </rPh>
    <rPh sb="13" eb="15">
      <t>ヒヨウ</t>
    </rPh>
    <rPh sb="16" eb="17">
      <t>カク</t>
    </rPh>
    <rPh sb="27" eb="29">
      <t>エンシュウ</t>
    </rPh>
    <rPh sb="34" eb="36">
      <t>ヨソウ</t>
    </rPh>
    <rPh sb="38" eb="41">
      <t>カンケイセイ</t>
    </rPh>
    <rPh sb="45" eb="47">
      <t>カクニン</t>
    </rPh>
    <rPh sb="58" eb="60">
      <t>リユウ</t>
    </rPh>
    <rPh sb="61" eb="63">
      <t>コウサツ</t>
    </rPh>
    <phoneticPr fontId="8"/>
  </si>
  <si>
    <t>◆</t>
    <phoneticPr fontId="4"/>
  </si>
  <si>
    <t>ボラティリティと最低保証にかかる費用の関係</t>
    <rPh sb="8" eb="12">
      <t>サイテイホショウ</t>
    </rPh>
    <rPh sb="16" eb="18">
      <t>ヒヨウ</t>
    </rPh>
    <phoneticPr fontId="8"/>
  </si>
  <si>
    <t>契約期間と最低保証にかかる費用の関係</t>
    <rPh sb="0" eb="2">
      <t>ケイヤク</t>
    </rPh>
    <rPh sb="2" eb="4">
      <t>キカン</t>
    </rPh>
    <rPh sb="5" eb="7">
      <t>サイテイ</t>
    </rPh>
    <rPh sb="7" eb="9">
      <t>ホショウ</t>
    </rPh>
    <rPh sb="13" eb="15">
      <t>ヒヨウ</t>
    </rPh>
    <phoneticPr fontId="8"/>
  </si>
  <si>
    <t>S0</t>
  </si>
  <si>
    <t>年齢と最低保証にかかる費用の関係</t>
    <rPh sb="0" eb="2">
      <t>ネンレイ</t>
    </rPh>
    <rPh sb="3" eb="5">
      <t>サイテイ</t>
    </rPh>
    <rPh sb="5" eb="7">
      <t>ホショウ</t>
    </rPh>
    <rPh sb="11" eb="13">
      <t>ヒヨウ</t>
    </rPh>
    <phoneticPr fontId="8"/>
  </si>
  <si>
    <t>行使価格と最低保証にかかる費用の関係</t>
    <rPh sb="0" eb="2">
      <t>コウシ</t>
    </rPh>
    <rPh sb="2" eb="4">
      <t>カカク</t>
    </rPh>
    <phoneticPr fontId="8"/>
  </si>
  <si>
    <t>年齢</t>
    <rPh sb="0" eb="2">
      <t>ネンレイ</t>
    </rPh>
    <phoneticPr fontId="4"/>
  </si>
  <si>
    <t>契約期間</t>
    <rPh sb="0" eb="2">
      <t>ケイヤク</t>
    </rPh>
    <rPh sb="2" eb="4">
      <t>キカン</t>
    </rPh>
    <phoneticPr fontId="4"/>
  </si>
  <si>
    <t>行使価格</t>
    <rPh sb="0" eb="2">
      <t>コウシ</t>
    </rPh>
    <rPh sb="2" eb="4">
      <t>カカク</t>
    </rPh>
    <phoneticPr fontId="8"/>
  </si>
  <si>
    <t>最低保証にかかる費用</t>
    <rPh sb="0" eb="4">
      <t>サイテイホショウ</t>
    </rPh>
    <rPh sb="8" eb="10">
      <t>ヒヨウ</t>
    </rPh>
    <phoneticPr fontId="4"/>
  </si>
  <si>
    <t>【Excel演習2+α】</t>
    <rPh sb="6" eb="8">
      <t>エンシュウ</t>
    </rPh>
    <phoneticPr fontId="8"/>
  </si>
  <si>
    <t>【Excel演習2-1】同様、最低保証付き変額年金保険に関するデータを用意しています。</t>
    <rPh sb="12" eb="14">
      <t>ドウヨウ</t>
    </rPh>
    <rPh sb="35" eb="37">
      <t>ヨウイ</t>
    </rPh>
    <phoneticPr fontId="8"/>
  </si>
  <si>
    <t>これまでは死亡保険金、年金原資ともに最低保証を考えていましたが、</t>
    <phoneticPr fontId="8"/>
  </si>
  <si>
    <t xml:space="preserve">最低保証をどちらか一方のみとした場合の最低保証にかかる費用を計算し、どのような影響があるか確認しましょう。
</t>
    <phoneticPr fontId="8"/>
  </si>
  <si>
    <t>最低保証の種類</t>
    <rPh sb="0" eb="2">
      <t>サイテイ</t>
    </rPh>
    <rPh sb="2" eb="4">
      <t>ホショウ</t>
    </rPh>
    <rPh sb="5" eb="7">
      <t>シュルイ</t>
    </rPh>
    <phoneticPr fontId="5"/>
  </si>
  <si>
    <t>X</t>
    <phoneticPr fontId="5"/>
  </si>
  <si>
    <t>m</t>
    <phoneticPr fontId="5"/>
  </si>
  <si>
    <t>最低保証オプションの価値</t>
    <rPh sb="0" eb="2">
      <t>サイテイ</t>
    </rPh>
    <rPh sb="2" eb="4">
      <t>ホショウ</t>
    </rPh>
    <rPh sb="10" eb="12">
      <t>カチ</t>
    </rPh>
    <phoneticPr fontId="4"/>
  </si>
  <si>
    <t>◆ 生保標準生命表２００７（年金開始後用）死亡率</t>
    <rPh sb="21" eb="24">
      <t>シボウリツ</t>
    </rPh>
    <phoneticPr fontId="4"/>
  </si>
  <si>
    <t>◆ 月次生存率に変換</t>
    <rPh sb="2" eb="4">
      <t>ゲツジ</t>
    </rPh>
    <rPh sb="4" eb="6">
      <t>セイゾン</t>
    </rPh>
    <rPh sb="6" eb="7">
      <t>リツ</t>
    </rPh>
    <rPh sb="8" eb="10">
      <t>ヘンカン</t>
    </rPh>
    <phoneticPr fontId="4"/>
  </si>
  <si>
    <t>年齢</t>
    <rPh sb="0" eb="2">
      <t>ネンレイ</t>
    </rPh>
    <phoneticPr fontId="0"/>
  </si>
  <si>
    <t>開始年齢</t>
    <rPh sb="0" eb="2">
      <t>カイシ</t>
    </rPh>
    <rPh sb="2" eb="4">
      <t>ネンレイ</t>
    </rPh>
    <phoneticPr fontId="0"/>
  </si>
  <si>
    <t>〇歳</t>
    <rPh sb="1" eb="2">
      <t>サイ</t>
    </rPh>
    <phoneticPr fontId="0"/>
  </si>
  <si>
    <t>〇ヶ月</t>
    <rPh sb="2" eb="3">
      <t>ゲツ</t>
    </rPh>
    <phoneticPr fontId="0"/>
  </si>
  <si>
    <t>補間用</t>
    <rPh sb="0" eb="2">
      <t>ホカン</t>
    </rPh>
    <rPh sb="2" eb="3">
      <t>ヨウ</t>
    </rPh>
    <phoneticPr fontId="0"/>
  </si>
  <si>
    <t>死亡率（月率）</t>
    <rPh sb="0" eb="2">
      <t>シボウ</t>
    </rPh>
    <rPh sb="2" eb="3">
      <t>リツ</t>
    </rPh>
    <rPh sb="4" eb="5">
      <t>ゲツ</t>
    </rPh>
    <rPh sb="5" eb="6">
      <t>リツ</t>
    </rPh>
    <phoneticPr fontId="0"/>
  </si>
  <si>
    <t>生存率（月率）</t>
    <rPh sb="0" eb="2">
      <t>セイゾン</t>
    </rPh>
    <rPh sb="2" eb="3">
      <t>リツ</t>
    </rPh>
    <rPh sb="4" eb="5">
      <t>ゲツ</t>
    </rPh>
    <rPh sb="5" eb="6">
      <t>リツ</t>
    </rPh>
    <phoneticPr fontId="0"/>
  </si>
  <si>
    <t>死亡率（年率）</t>
    <rPh sb="0" eb="3">
      <t>シボウリツ</t>
    </rPh>
    <rPh sb="4" eb="6">
      <t>ネンリツ</t>
    </rPh>
    <phoneticPr fontId="0"/>
  </si>
  <si>
    <t>死亡+生存</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</si>
</sst>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
    <numFmt numFmtId="177" formatCode="0.0000_ "/>
    <numFmt numFmtId="178" formatCode="0.000%"/>
    <numFmt numFmtId="179" formatCode="0.E+00"/>
    <numFmt numFmtId="180" formatCode="0.0%"/>
    <numFmt numFmtId="181" formatCode="0&quot;年&quot;"/>
    <numFmt numFmtId="182" formatCode="0&quot;歳&quot;"/>
    <numFmt numFmtId="183" formatCode="0_);[Red]\(0\)"/>
    <numFmt numFmtId="184" formatCode="0.0"/>
    <numFmt numFmtId="185" formatCode="0.0&quot;年&quot;"/>
    <numFmt numFmtId="186" formatCode="#,##0.0000;[Red]\-#,##0.0000"/>
  </numFmts>
  <fonts count="26" x14ac:knownFonts="1">
    <font>
      <sz val="11"/>
      <color theme="1"/>
      <name val="游ゴシック"/>
      <family val="2"/>
      <scheme val="minor"/>
    </font>
    <font>
      <sz val="11"/>
      <color theme="1"/>
      <name val="ＭＳ Ｐゴシック"/>
      <family val="2"/>
      <charset val="128"/>
    </font>
    <font>
      <sz val="11"/>
      <color theme="1"/>
      <name val="游ゴシック"/>
      <family val="2"/>
      <scheme val="minor"/>
    </font>
    <font>
      <sz val="11"/>
      <name val="ＭＳ Ｐゴシック"/>
      <family val="3"/>
      <charset val="128"/>
    </font>
    <font>
      <sz val="6"/>
      <name val="游ゴシック"/>
      <family val="3"/>
      <charset val="128"/>
      <scheme val="minor"/>
    </font>
    <font>
      <sz val="6"/>
      <name val="ＭＳ Ｐゴシック"/>
      <family val="3"/>
      <charset val="128"/>
    </font>
    <font>
      <sz val="11"/>
      <color theme="1"/>
      <name val="Meiryo UI"/>
      <family val="3"/>
      <charset val="128"/>
    </font>
    <font>
      <b/>
      <sz val="10"/>
      <color theme="1"/>
      <name val="Meiryo UI"/>
      <family val="3"/>
      <charset val="128"/>
    </font>
    <font>
      <sz val="6"/>
      <name val="ＭＳ Ｐゴシック"/>
      <family val="2"/>
      <charset val="128"/>
    </font>
    <font>
      <b/>
      <sz val="11"/>
      <color theme="1"/>
      <name val="Meiryo UI"/>
      <family val="3"/>
      <charset val="128"/>
    </font>
    <font>
      <b/>
      <sz val="11"/>
      <color theme="0"/>
      <name val="Meiryo UI"/>
      <family val="3"/>
      <charset val="128"/>
    </font>
    <font>
      <sz val="10"/>
      <name val="HGPｺﾞｼｯｸE"/>
      <family val="3"/>
      <charset val="128"/>
    </font>
    <font>
      <sz val="6"/>
      <name val="HGPｺﾞｼｯｸE"/>
      <family val="3"/>
      <charset val="128"/>
    </font>
    <font>
      <b/>
      <sz val="11"/>
      <name val="Meiryo UI"/>
      <family val="3"/>
      <charset val="128"/>
    </font>
    <font>
      <sz val="11"/>
      <name val="Meiryo UI"/>
      <family val="3"/>
      <charset val="128"/>
    </font>
    <font>
      <sz val="6"/>
      <name val="Meiryo UI"/>
      <family val="3"/>
      <charset val="128"/>
    </font>
    <font>
      <i/>
      <sz val="11"/>
      <name val="Meiryo UI"/>
      <family val="3"/>
      <charset val="128"/>
    </font>
    <font>
      <sz val="8"/>
      <color indexed="10"/>
      <name val="Meiryo UI"/>
      <family val="3"/>
      <charset val="128"/>
    </font>
    <font>
      <sz val="8"/>
      <color theme="1"/>
      <name val="Meiryo UI"/>
      <family val="3"/>
      <charset val="128"/>
    </font>
    <font>
      <i/>
      <sz val="8"/>
      <name val="Meiryo UI"/>
      <family val="3"/>
      <charset val="128"/>
    </font>
    <font>
      <b/>
      <sz val="11"/>
      <color rgb="FFFF0000"/>
      <name val="Meiryo UI"/>
      <family val="3"/>
      <charset val="128"/>
    </font>
    <font>
      <sz val="11"/>
      <color rgb="FFFF0000"/>
      <name val="Meiryo UI"/>
      <family val="3"/>
      <charset val="128"/>
    </font>
    <font>
      <sz val="9"/>
      <name val="Meiryo UI"/>
      <family val="3"/>
      <charset val="128"/>
    </font>
    <font>
      <sz val="8"/>
      <name val="Meiryo UI"/>
      <family val="3"/>
      <charset val="128"/>
    </font>
    <font>
      <sz val="9"/>
      <color theme="1"/>
      <name val="Meiryo UI"/>
      <family val="3"/>
      <charset val="128"/>
    </font>
    <font>
      <sz val="9"/>
      <color theme="1"/>
      <name val="游ゴシック"/>
      <family val="2"/>
      <scheme val="minor"/>
    </font>
  </fonts>
  <fills count="13">
    <fill>
      <patternFill patternType="none"/>
    </fill>
    <fill>
      <patternFill patternType="gray125"/>
    </fill>
    <fill>
      <patternFill patternType="solid">
        <fgColor theme="0"/>
        <bgColor indexed="64"/>
      </patternFill>
    </fill>
    <fill>
      <patternFill patternType="solid">
        <fgColor indexed="9"/>
        <bgColor indexed="64"/>
      </patternFill>
    </fill>
    <fill>
      <patternFill patternType="solid">
        <fgColor rgb="FF002060"/>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FFFFCC"/>
        <bgColor indexed="64"/>
      </patternFill>
    </fill>
    <fill>
      <patternFill patternType="solid">
        <fgColor indexed="44"/>
        <bgColor indexed="64"/>
      </patternFill>
    </fill>
    <fill>
      <patternFill patternType="solid">
        <fgColor rgb="FF99CCFF"/>
        <bgColor indexed="64"/>
      </patternFill>
    </fill>
    <fill>
      <patternFill patternType="solid">
        <fgColor theme="5" tint="0.79998168889431442"/>
        <bgColor indexed="64"/>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hair">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bottom/>
      <diagonal/>
    </border>
    <border>
      <left style="hair">
        <color indexed="64"/>
      </left>
      <right style="hair">
        <color indexed="64"/>
      </right>
      <top/>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right/>
      <top style="hair">
        <color indexed="64"/>
      </top>
      <bottom style="hair">
        <color indexed="64"/>
      </bottom>
      <diagonal/>
    </border>
    <border>
      <left/>
      <right/>
      <top/>
      <bottom style="hair">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right/>
      <top style="thin">
        <color indexed="64"/>
      </top>
      <bottom/>
      <diagonal/>
    </border>
    <border>
      <left style="hair">
        <color indexed="64"/>
      </left>
      <right style="hair">
        <color indexed="64"/>
      </right>
      <top style="thin">
        <color indexed="64"/>
      </top>
      <bottom style="thin">
        <color indexed="64"/>
      </bottom>
      <diagonal/>
    </border>
    <border>
      <left/>
      <right/>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s>
  <cellStyleXfs count="11">
    <xf numFmtId="0" fontId="0" fillId="0" borderId="0"/>
    <xf numFmtId="9" fontId="2" fillId="0" borderId="0" applyFont="0" applyFill="0" applyBorder="0" applyAlignment="0" applyProtection="0">
      <alignment vertical="center"/>
    </xf>
    <xf numFmtId="0" fontId="3" fillId="0" borderId="0"/>
    <xf numFmtId="38" fontId="2" fillId="0" borderId="0" applyFont="0" applyFill="0" applyBorder="0" applyAlignment="0" applyProtection="0">
      <alignment vertical="center"/>
    </xf>
    <xf numFmtId="0" fontId="1" fillId="0" borderId="0">
      <alignment vertical="center"/>
    </xf>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3" fillId="0" borderId="0"/>
    <xf numFmtId="9" fontId="3" fillId="0" borderId="0" applyFont="0" applyFill="0" applyBorder="0" applyAlignment="0" applyProtection="0"/>
    <xf numFmtId="38" fontId="3" fillId="0" borderId="0" applyFont="0" applyFill="0" applyBorder="0" applyAlignment="0" applyProtection="0"/>
    <xf numFmtId="0" fontId="11" fillId="0" borderId="0">
      <alignment vertical="center"/>
    </xf>
  </cellStyleXfs>
  <cellXfs count="260">
    <xf numFmtId="0" fontId="0" fillId="0" borderId="0" xfId="0"/>
    <xf numFmtId="0" fontId="0" fillId="2" borderId="0" xfId="0" applyFill="1"/>
    <xf numFmtId="0" fontId="3" fillId="3" borderId="0" xfId="2" applyFill="1"/>
    <xf numFmtId="0" fontId="9" fillId="2" borderId="0" xfId="0" applyFont="1" applyFill="1"/>
    <xf numFmtId="0" fontId="6" fillId="2" borderId="0" xfId="0" applyFont="1" applyFill="1"/>
    <xf numFmtId="0" fontId="13" fillId="3" borderId="0" xfId="10" applyFont="1" applyFill="1">
      <alignment vertical="center"/>
    </xf>
    <xf numFmtId="0" fontId="9" fillId="7" borderId="1" xfId="0" applyFont="1" applyFill="1" applyBorder="1" applyAlignment="1">
      <alignment vertical="center"/>
    </xf>
    <xf numFmtId="0" fontId="6" fillId="7" borderId="2" xfId="0" applyFont="1" applyFill="1" applyBorder="1" applyAlignment="1">
      <alignment vertical="center"/>
    </xf>
    <xf numFmtId="0" fontId="6" fillId="7" borderId="9" xfId="0" applyFont="1" applyFill="1" applyBorder="1" applyAlignment="1">
      <alignment vertical="center"/>
    </xf>
    <xf numFmtId="0" fontId="6" fillId="7" borderId="3" xfId="0" applyFont="1" applyFill="1" applyBorder="1" applyAlignment="1">
      <alignment vertical="center"/>
    </xf>
    <xf numFmtId="0" fontId="6" fillId="7" borderId="0" xfId="0" applyFont="1" applyFill="1" applyAlignment="1">
      <alignment vertical="center"/>
    </xf>
    <xf numFmtId="0" fontId="6" fillId="7" borderId="7" xfId="0" applyFont="1" applyFill="1" applyBorder="1" applyAlignment="1">
      <alignment vertical="center"/>
    </xf>
    <xf numFmtId="0" fontId="6" fillId="7" borderId="5" xfId="0" applyFont="1" applyFill="1" applyBorder="1" applyAlignment="1">
      <alignment vertical="center"/>
    </xf>
    <xf numFmtId="0" fontId="6" fillId="7" borderId="6" xfId="0" applyFont="1" applyFill="1" applyBorder="1" applyAlignment="1">
      <alignment vertical="center"/>
    </xf>
    <xf numFmtId="0" fontId="6" fillId="7" borderId="8" xfId="0" applyFont="1" applyFill="1" applyBorder="1" applyAlignment="1">
      <alignment vertical="center"/>
    </xf>
    <xf numFmtId="0" fontId="6" fillId="2" borderId="0" xfId="0" applyFont="1" applyFill="1" applyAlignment="1">
      <alignment vertical="center"/>
    </xf>
    <xf numFmtId="0" fontId="9" fillId="2" borderId="1" xfId="0" applyFont="1" applyFill="1" applyBorder="1"/>
    <xf numFmtId="0" fontId="9" fillId="2" borderId="2" xfId="0" applyFont="1" applyFill="1" applyBorder="1"/>
    <xf numFmtId="0" fontId="6" fillId="2" borderId="2" xfId="0" applyFont="1" applyFill="1" applyBorder="1"/>
    <xf numFmtId="0" fontId="6" fillId="2" borderId="9" xfId="0" applyFont="1" applyFill="1" applyBorder="1"/>
    <xf numFmtId="0" fontId="9" fillId="2" borderId="3" xfId="0" applyFont="1" applyFill="1" applyBorder="1"/>
    <xf numFmtId="0" fontId="6" fillId="2" borderId="7" xfId="0" applyFont="1" applyFill="1" applyBorder="1"/>
    <xf numFmtId="0" fontId="6" fillId="2" borderId="3" xfId="0" applyFont="1" applyFill="1" applyBorder="1"/>
    <xf numFmtId="0" fontId="14" fillId="2" borderId="0" xfId="0" applyFont="1" applyFill="1"/>
    <xf numFmtId="0" fontId="14" fillId="3" borderId="0" xfId="0" applyFont="1" applyFill="1"/>
    <xf numFmtId="0" fontId="10" fillId="4" borderId="1" xfId="0" applyFont="1" applyFill="1" applyBorder="1" applyAlignment="1">
      <alignment horizontal="center" vertical="center" shrinkToFit="1"/>
    </xf>
    <xf numFmtId="0" fontId="10" fillId="4" borderId="9" xfId="0" applyFont="1" applyFill="1" applyBorder="1" applyAlignment="1">
      <alignment horizontal="center" vertical="center" shrinkToFit="1"/>
    </xf>
    <xf numFmtId="0" fontId="6" fillId="2" borderId="5" xfId="0" applyFont="1" applyFill="1" applyBorder="1"/>
    <xf numFmtId="0" fontId="6" fillId="2" borderId="6" xfId="0" applyFont="1" applyFill="1" applyBorder="1"/>
    <xf numFmtId="0" fontId="6" fillId="2" borderId="8" xfId="0" applyFont="1" applyFill="1" applyBorder="1"/>
    <xf numFmtId="0" fontId="6" fillId="2" borderId="1" xfId="0" applyFont="1" applyFill="1" applyBorder="1"/>
    <xf numFmtId="0" fontId="17" fillId="3" borderId="0" xfId="0" applyFont="1" applyFill="1" applyAlignment="1">
      <alignment horizontal="center"/>
    </xf>
    <xf numFmtId="0" fontId="14" fillId="2" borderId="0" xfId="1" applyNumberFormat="1" applyFont="1" applyFill="1" applyBorder="1" applyAlignment="1"/>
    <xf numFmtId="0" fontId="9" fillId="7" borderId="10" xfId="0" applyFont="1" applyFill="1" applyBorder="1" applyAlignment="1">
      <alignment horizontal="centerContinuous"/>
    </xf>
    <xf numFmtId="0" fontId="6" fillId="7" borderId="11" xfId="0" applyFont="1" applyFill="1" applyBorder="1" applyAlignment="1">
      <alignment horizontal="centerContinuous"/>
    </xf>
    <xf numFmtId="0" fontId="6" fillId="7" borderId="12" xfId="0" applyFont="1" applyFill="1" applyBorder="1" applyAlignment="1">
      <alignment horizontal="centerContinuous"/>
    </xf>
    <xf numFmtId="0" fontId="9" fillId="8" borderId="10" xfId="0" applyFont="1" applyFill="1" applyBorder="1" applyAlignment="1">
      <alignment horizontal="centerContinuous"/>
    </xf>
    <xf numFmtId="0" fontId="6" fillId="8" borderId="11" xfId="0" applyFont="1" applyFill="1" applyBorder="1" applyAlignment="1">
      <alignment horizontal="centerContinuous"/>
    </xf>
    <xf numFmtId="0" fontId="6" fillId="8" borderId="12" xfId="0" applyFont="1" applyFill="1" applyBorder="1" applyAlignment="1">
      <alignment horizontal="centerContinuous"/>
    </xf>
    <xf numFmtId="10" fontId="6" fillId="2" borderId="0" xfId="1" applyNumberFormat="1" applyFont="1" applyFill="1" applyBorder="1" applyAlignment="1"/>
    <xf numFmtId="182" fontId="6" fillId="2" borderId="0" xfId="0" applyNumberFormat="1" applyFont="1" applyFill="1"/>
    <xf numFmtId="10" fontId="6" fillId="2" borderId="6" xfId="1" applyNumberFormat="1" applyFont="1" applyFill="1" applyBorder="1" applyAlignment="1"/>
    <xf numFmtId="10" fontId="6" fillId="2" borderId="8" xfId="1" applyNumberFormat="1" applyFont="1" applyFill="1" applyBorder="1" applyAlignment="1"/>
    <xf numFmtId="0" fontId="10" fillId="4" borderId="2" xfId="0" applyFont="1" applyFill="1" applyBorder="1" applyAlignment="1">
      <alignment horizontal="center" vertical="center" shrinkToFit="1"/>
    </xf>
    <xf numFmtId="0" fontId="7" fillId="2" borderId="0" xfId="0" applyFont="1" applyFill="1"/>
    <xf numFmtId="0" fontId="10" fillId="4" borderId="9" xfId="0" applyFont="1" applyFill="1" applyBorder="1"/>
    <xf numFmtId="0" fontId="10" fillId="4" borderId="1" xfId="0" applyFont="1" applyFill="1" applyBorder="1"/>
    <xf numFmtId="10" fontId="6" fillId="5" borderId="7" xfId="1" applyNumberFormat="1" applyFont="1" applyFill="1" applyBorder="1" applyAlignment="1"/>
    <xf numFmtId="10" fontId="6" fillId="5" borderId="8" xfId="1" applyNumberFormat="1" applyFont="1" applyFill="1" applyBorder="1" applyAlignment="1"/>
    <xf numFmtId="0" fontId="10" fillId="4" borderId="3" xfId="0" applyFont="1" applyFill="1" applyBorder="1"/>
    <xf numFmtId="0" fontId="10" fillId="4" borderId="5" xfId="0" applyFont="1" applyFill="1" applyBorder="1"/>
    <xf numFmtId="10" fontId="6" fillId="2" borderId="7" xfId="1" applyNumberFormat="1" applyFont="1" applyFill="1" applyBorder="1" applyAlignment="1"/>
    <xf numFmtId="176" fontId="6" fillId="2" borderId="0" xfId="0" applyNumberFormat="1" applyFont="1" applyFill="1"/>
    <xf numFmtId="176" fontId="6" fillId="2" borderId="6" xfId="0" applyNumberFormat="1" applyFont="1" applyFill="1" applyBorder="1"/>
    <xf numFmtId="177" fontId="6" fillId="2" borderId="6" xfId="0" applyNumberFormat="1" applyFont="1" applyFill="1" applyBorder="1"/>
    <xf numFmtId="0" fontId="10" fillId="4" borderId="10" xfId="0" applyFont="1" applyFill="1" applyBorder="1"/>
    <xf numFmtId="182" fontId="6" fillId="5" borderId="12" xfId="0" applyNumberFormat="1" applyFont="1" applyFill="1" applyBorder="1"/>
    <xf numFmtId="0" fontId="6" fillId="10" borderId="14" xfId="0" applyFont="1" applyFill="1" applyBorder="1" applyAlignment="1">
      <alignment horizontal="centerContinuous" vertical="center"/>
    </xf>
    <xf numFmtId="0" fontId="6" fillId="10" borderId="14" xfId="0" applyFont="1" applyFill="1" applyBorder="1" applyAlignment="1">
      <alignment horizontal="centerContinuous" vertical="center" shrinkToFit="1"/>
    </xf>
    <xf numFmtId="0" fontId="6" fillId="10" borderId="16" xfId="0" applyFont="1" applyFill="1" applyBorder="1" applyAlignment="1">
      <alignment horizontal="centerContinuous" vertical="center" shrinkToFit="1"/>
    </xf>
    <xf numFmtId="0" fontId="6" fillId="10" borderId="16" xfId="0" applyFont="1" applyFill="1" applyBorder="1" applyAlignment="1">
      <alignment horizontal="centerContinuous" vertical="center"/>
    </xf>
    <xf numFmtId="0" fontId="6" fillId="10" borderId="17" xfId="0" applyFont="1" applyFill="1" applyBorder="1" applyAlignment="1">
      <alignment horizontal="centerContinuous" vertical="center" shrinkToFit="1"/>
    </xf>
    <xf numFmtId="0" fontId="14" fillId="11" borderId="16" xfId="0" applyFont="1" applyFill="1" applyBorder="1" applyAlignment="1">
      <alignment horizontal="center" vertical="center" shrinkToFit="1"/>
    </xf>
    <xf numFmtId="0" fontId="14" fillId="11" borderId="16" xfId="0" applyFont="1" applyFill="1" applyBorder="1" applyAlignment="1">
      <alignment horizontal="center" vertical="center"/>
    </xf>
    <xf numFmtId="0" fontId="14" fillId="11" borderId="18" xfId="0" applyFont="1" applyFill="1" applyBorder="1" applyAlignment="1">
      <alignment horizontal="center" shrinkToFit="1"/>
    </xf>
    <xf numFmtId="0" fontId="14" fillId="11" borderId="17" xfId="0" applyFont="1" applyFill="1" applyBorder="1" applyAlignment="1">
      <alignment horizontal="center" shrinkToFit="1"/>
    </xf>
    <xf numFmtId="0" fontId="14" fillId="11" borderId="19" xfId="0" applyFont="1" applyFill="1" applyBorder="1" applyAlignment="1">
      <alignment horizontal="center" shrinkToFit="1"/>
    </xf>
    <xf numFmtId="0" fontId="14" fillId="11" borderId="17" xfId="0" applyFont="1" applyFill="1" applyBorder="1" applyAlignment="1">
      <alignment horizontal="center" vertical="center" shrinkToFit="1"/>
    </xf>
    <xf numFmtId="176" fontId="6" fillId="5" borderId="18" xfId="0" applyNumberFormat="1" applyFont="1" applyFill="1" applyBorder="1" applyAlignment="1">
      <alignment horizontal="right" vertical="center"/>
    </xf>
    <xf numFmtId="176" fontId="6" fillId="5" borderId="17" xfId="0" applyNumberFormat="1" applyFont="1" applyFill="1" applyBorder="1" applyAlignment="1">
      <alignment horizontal="right" vertical="center"/>
    </xf>
    <xf numFmtId="176" fontId="6" fillId="5" borderId="19" xfId="0" applyNumberFormat="1" applyFont="1" applyFill="1" applyBorder="1" applyAlignment="1">
      <alignment horizontal="right" vertical="center"/>
    </xf>
    <xf numFmtId="0" fontId="16" fillId="11" borderId="15" xfId="0" applyFont="1" applyFill="1" applyBorder="1" applyAlignment="1">
      <alignment horizontal="center" vertical="center" shrinkToFit="1"/>
    </xf>
    <xf numFmtId="10" fontId="14" fillId="5" borderId="18" xfId="1" applyNumberFormat="1" applyFont="1" applyFill="1" applyBorder="1" applyAlignment="1"/>
    <xf numFmtId="10" fontId="14" fillId="5" borderId="17" xfId="1" applyNumberFormat="1" applyFont="1" applyFill="1" applyBorder="1" applyAlignment="1"/>
    <xf numFmtId="10" fontId="14" fillId="5" borderId="19" xfId="1" applyNumberFormat="1" applyFont="1" applyFill="1" applyBorder="1" applyAlignment="1"/>
    <xf numFmtId="0" fontId="6" fillId="10" borderId="20" xfId="0" applyFont="1" applyFill="1" applyBorder="1" applyAlignment="1">
      <alignment horizontal="left" vertical="center"/>
    </xf>
    <xf numFmtId="0" fontId="6" fillId="10" borderId="21" xfId="0" applyFont="1" applyFill="1" applyBorder="1" applyAlignment="1">
      <alignment horizontal="centerContinuous" vertical="center" shrinkToFit="1"/>
    </xf>
    <xf numFmtId="0" fontId="6" fillId="10" borderId="13" xfId="0" applyFont="1" applyFill="1" applyBorder="1" applyAlignment="1">
      <alignment horizontal="left" vertical="center"/>
    </xf>
    <xf numFmtId="10" fontId="14" fillId="9" borderId="4" xfId="1" applyNumberFormat="1" applyFont="1" applyFill="1" applyBorder="1" applyAlignment="1"/>
    <xf numFmtId="0" fontId="6" fillId="10" borderId="23" xfId="0" applyFont="1" applyFill="1" applyBorder="1" applyAlignment="1">
      <alignment horizontal="left" vertical="center"/>
    </xf>
    <xf numFmtId="0" fontId="6" fillId="10" borderId="24" xfId="0" applyFont="1" applyFill="1" applyBorder="1" applyAlignment="1">
      <alignment horizontal="centerContinuous" vertical="center" shrinkToFit="1"/>
    </xf>
    <xf numFmtId="38" fontId="14" fillId="9" borderId="25" xfId="3" applyFont="1" applyFill="1" applyBorder="1" applyAlignment="1"/>
    <xf numFmtId="38" fontId="14" fillId="5" borderId="22" xfId="3" applyFont="1" applyFill="1" applyBorder="1" applyAlignment="1"/>
    <xf numFmtId="10" fontId="14" fillId="5" borderId="4" xfId="1" applyNumberFormat="1" applyFont="1" applyFill="1" applyBorder="1" applyAlignment="1"/>
    <xf numFmtId="38" fontId="14" fillId="5" borderId="4" xfId="3" applyFont="1" applyFill="1" applyBorder="1" applyAlignment="1"/>
    <xf numFmtId="181" fontId="14" fillId="5" borderId="25" xfId="3" applyNumberFormat="1" applyFont="1" applyFill="1" applyBorder="1" applyAlignment="1"/>
    <xf numFmtId="0" fontId="20" fillId="2" borderId="0" xfId="0" applyFont="1" applyFill="1"/>
    <xf numFmtId="0" fontId="21" fillId="2" borderId="0" xfId="0" applyFont="1" applyFill="1"/>
    <xf numFmtId="0" fontId="20" fillId="3" borderId="0" xfId="10" applyFont="1" applyFill="1">
      <alignment vertical="center"/>
    </xf>
    <xf numFmtId="10" fontId="14" fillId="5" borderId="14" xfId="1" applyNumberFormat="1" applyFont="1" applyFill="1" applyBorder="1" applyAlignment="1"/>
    <xf numFmtId="38" fontId="14" fillId="5" borderId="24" xfId="3" applyFont="1" applyFill="1" applyBorder="1" applyAlignment="1"/>
    <xf numFmtId="0" fontId="14" fillId="5" borderId="14" xfId="1" applyNumberFormat="1" applyFont="1" applyFill="1" applyBorder="1" applyAlignment="1"/>
    <xf numFmtId="0" fontId="14" fillId="9" borderId="4" xfId="1" applyNumberFormat="1" applyFont="1" applyFill="1" applyBorder="1" applyAlignment="1"/>
    <xf numFmtId="183" fontId="14" fillId="5" borderId="19" xfId="0" applyNumberFormat="1" applyFont="1" applyFill="1" applyBorder="1"/>
    <xf numFmtId="183" fontId="14" fillId="5" borderId="18" xfId="0" applyNumberFormat="1" applyFont="1" applyFill="1" applyBorder="1"/>
    <xf numFmtId="0" fontId="6" fillId="10" borderId="21" xfId="0" applyFont="1" applyFill="1" applyBorder="1" applyAlignment="1">
      <alignment horizontal="centerContinuous" vertical="center"/>
    </xf>
    <xf numFmtId="10" fontId="14" fillId="5" borderId="21" xfId="1" applyNumberFormat="1" applyFont="1" applyFill="1" applyBorder="1" applyAlignment="1"/>
    <xf numFmtId="10" fontId="14" fillId="9" borderId="22" xfId="1" applyNumberFormat="1" applyFont="1" applyFill="1" applyBorder="1" applyAlignment="1"/>
    <xf numFmtId="0" fontId="16" fillId="11" borderId="16" xfId="0" applyFont="1" applyFill="1" applyBorder="1" applyAlignment="1">
      <alignment horizontal="center" vertical="center" shrinkToFit="1"/>
    </xf>
    <xf numFmtId="184" fontId="14" fillId="5" borderId="19" xfId="0" applyNumberFormat="1" applyFont="1" applyFill="1" applyBorder="1"/>
    <xf numFmtId="184" fontId="14" fillId="5" borderId="18" xfId="0" applyNumberFormat="1" applyFont="1" applyFill="1" applyBorder="1"/>
    <xf numFmtId="184" fontId="14" fillId="5" borderId="17" xfId="0" applyNumberFormat="1" applyFont="1" applyFill="1" applyBorder="1"/>
    <xf numFmtId="0" fontId="14" fillId="11" borderId="4" xfId="0" applyFont="1" applyFill="1" applyBorder="1" applyAlignment="1">
      <alignment horizontal="centerContinuous" shrinkToFit="1"/>
    </xf>
    <xf numFmtId="0" fontId="16" fillId="11" borderId="20" xfId="0" applyFont="1" applyFill="1" applyBorder="1"/>
    <xf numFmtId="0" fontId="14" fillId="11" borderId="21" xfId="0" applyFont="1" applyFill="1" applyBorder="1" applyAlignment="1">
      <alignment horizontal="centerContinuous" shrinkToFit="1"/>
    </xf>
    <xf numFmtId="38" fontId="14" fillId="9" borderId="26" xfId="3" applyFont="1" applyFill="1" applyBorder="1" applyAlignment="1"/>
    <xf numFmtId="0" fontId="16" fillId="11" borderId="13" xfId="0" applyFont="1" applyFill="1" applyBorder="1"/>
    <xf numFmtId="0" fontId="14" fillId="11" borderId="14" xfId="0" applyFont="1" applyFill="1" applyBorder="1" applyAlignment="1">
      <alignment horizontal="centerContinuous" shrinkToFit="1"/>
    </xf>
    <xf numFmtId="10" fontId="14" fillId="9" borderId="0" xfId="1" applyNumberFormat="1" applyFont="1" applyFill="1" applyBorder="1" applyAlignment="1"/>
    <xf numFmtId="0" fontId="16" fillId="11" borderId="23" xfId="0" applyFont="1" applyFill="1" applyBorder="1"/>
    <xf numFmtId="0" fontId="14" fillId="11" borderId="24" xfId="0" applyFont="1" applyFill="1" applyBorder="1" applyAlignment="1">
      <alignment horizontal="centerContinuous" shrinkToFit="1"/>
    </xf>
    <xf numFmtId="38" fontId="14" fillId="9" borderId="28" xfId="3" applyFont="1" applyFill="1" applyBorder="1" applyAlignment="1"/>
    <xf numFmtId="182" fontId="14" fillId="9" borderId="22" xfId="3" applyNumberFormat="1" applyFont="1" applyFill="1" applyBorder="1" applyAlignment="1"/>
    <xf numFmtId="0" fontId="14" fillId="11" borderId="13" xfId="0" applyFont="1" applyFill="1" applyBorder="1"/>
    <xf numFmtId="0" fontId="14" fillId="11" borderId="26" xfId="0" applyFont="1" applyFill="1" applyBorder="1" applyAlignment="1">
      <alignment horizontal="center" shrinkToFit="1"/>
    </xf>
    <xf numFmtId="0" fontId="14" fillId="11" borderId="26" xfId="0" applyFont="1" applyFill="1" applyBorder="1" applyAlignment="1">
      <alignment horizontal="centerContinuous"/>
    </xf>
    <xf numFmtId="0" fontId="14" fillId="11" borderId="26" xfId="0" applyFont="1" applyFill="1" applyBorder="1"/>
    <xf numFmtId="0" fontId="14" fillId="11" borderId="15" xfId="0" applyFont="1" applyFill="1" applyBorder="1" applyAlignment="1">
      <alignment horizontal="center"/>
    </xf>
    <xf numFmtId="0" fontId="14" fillId="11" borderId="15" xfId="0" applyFont="1" applyFill="1" applyBorder="1" applyAlignment="1">
      <alignment horizontal="center" shrinkToFit="1"/>
    </xf>
    <xf numFmtId="0" fontId="14" fillId="11" borderId="20" xfId="0" applyFont="1" applyFill="1" applyBorder="1" applyAlignment="1">
      <alignment horizontal="center" shrinkToFit="1"/>
    </xf>
    <xf numFmtId="0" fontId="14" fillId="11" borderId="13" xfId="0" applyFont="1" applyFill="1" applyBorder="1" applyAlignment="1">
      <alignment horizontal="center" shrinkToFit="1"/>
    </xf>
    <xf numFmtId="0" fontId="14" fillId="11" borderId="23" xfId="0" applyFont="1" applyFill="1" applyBorder="1" applyAlignment="1">
      <alignment horizontal="center" shrinkToFit="1"/>
    </xf>
    <xf numFmtId="176" fontId="6" fillId="5" borderId="4" xfId="0" applyNumberFormat="1" applyFont="1" applyFill="1" applyBorder="1" applyAlignment="1">
      <alignment horizontal="right" vertical="center"/>
    </xf>
    <xf numFmtId="178" fontId="14" fillId="5" borderId="24" xfId="1" applyNumberFormat="1" applyFont="1" applyFill="1" applyBorder="1" applyAlignment="1"/>
    <xf numFmtId="180" fontId="14" fillId="5" borderId="24" xfId="1" applyNumberFormat="1" applyFont="1" applyFill="1" applyBorder="1" applyAlignment="1"/>
    <xf numFmtId="176" fontId="6" fillId="9" borderId="13" xfId="0" applyNumberFormat="1" applyFont="1" applyFill="1" applyBorder="1" applyAlignment="1">
      <alignment horizontal="right" vertical="center"/>
    </xf>
    <xf numFmtId="178" fontId="6" fillId="9" borderId="14" xfId="1" applyNumberFormat="1" applyFont="1" applyFill="1" applyBorder="1" applyAlignment="1">
      <alignment horizontal="right" vertical="center"/>
    </xf>
    <xf numFmtId="0" fontId="16" fillId="11" borderId="30" xfId="0" applyFont="1" applyFill="1" applyBorder="1" applyAlignment="1">
      <alignment horizontal="center" vertical="center" shrinkToFit="1"/>
    </xf>
    <xf numFmtId="0" fontId="14" fillId="11" borderId="27" xfId="0" applyFont="1" applyFill="1" applyBorder="1" applyAlignment="1">
      <alignment horizontal="center"/>
    </xf>
    <xf numFmtId="0" fontId="14" fillId="11" borderId="29" xfId="0" applyFont="1" applyFill="1" applyBorder="1" applyAlignment="1">
      <alignment horizontal="centerContinuous" shrinkToFit="1"/>
    </xf>
    <xf numFmtId="176" fontId="6" fillId="5" borderId="13" xfId="0" applyNumberFormat="1" applyFont="1" applyFill="1" applyBorder="1" applyAlignment="1">
      <alignment horizontal="right" vertical="center"/>
    </xf>
    <xf numFmtId="176" fontId="6" fillId="5" borderId="14" xfId="0" applyNumberFormat="1" applyFont="1" applyFill="1" applyBorder="1" applyAlignment="1">
      <alignment horizontal="right" vertical="center"/>
    </xf>
    <xf numFmtId="0" fontId="6" fillId="9" borderId="25" xfId="1" applyNumberFormat="1" applyFont="1" applyFill="1" applyBorder="1" applyAlignment="1">
      <alignment horizontal="right" vertical="center"/>
    </xf>
    <xf numFmtId="185" fontId="14" fillId="9" borderId="17" xfId="0" applyNumberFormat="1" applyFont="1" applyFill="1" applyBorder="1"/>
    <xf numFmtId="10" fontId="14" fillId="9" borderId="17" xfId="1" applyNumberFormat="1" applyFont="1" applyFill="1" applyBorder="1" applyAlignment="1"/>
    <xf numFmtId="176" fontId="6" fillId="9" borderId="15" xfId="0" applyNumberFormat="1" applyFont="1" applyFill="1" applyBorder="1" applyAlignment="1">
      <alignment horizontal="right" vertical="center" shrinkToFit="1"/>
    </xf>
    <xf numFmtId="0" fontId="14" fillId="11" borderId="25" xfId="0" applyFont="1" applyFill="1" applyBorder="1" applyAlignment="1">
      <alignment horizontal="centerContinuous" shrinkToFit="1"/>
    </xf>
    <xf numFmtId="0" fontId="14" fillId="11" borderId="21" xfId="0" applyFont="1" applyFill="1" applyBorder="1" applyAlignment="1">
      <alignment horizontal="centerContinuous"/>
    </xf>
    <xf numFmtId="0" fontId="22" fillId="11" borderId="21" xfId="0" applyFont="1" applyFill="1" applyBorder="1" applyAlignment="1">
      <alignment horizontal="centerContinuous"/>
    </xf>
    <xf numFmtId="0" fontId="22" fillId="11" borderId="22" xfId="0" applyFont="1" applyFill="1" applyBorder="1" applyAlignment="1">
      <alignment horizontal="centerContinuous"/>
    </xf>
    <xf numFmtId="0" fontId="14" fillId="11" borderId="15" xfId="0" applyFont="1" applyFill="1" applyBorder="1" applyAlignment="1">
      <alignment horizontal="center" vertical="center" shrinkToFit="1"/>
    </xf>
    <xf numFmtId="0" fontId="0" fillId="0" borderId="6" xfId="0" applyBorder="1"/>
    <xf numFmtId="0" fontId="14" fillId="11" borderId="30" xfId="0" applyFont="1" applyFill="1" applyBorder="1" applyAlignment="1">
      <alignment horizontal="center"/>
    </xf>
    <xf numFmtId="179" fontId="6" fillId="9" borderId="29" xfId="0" applyNumberFormat="1" applyFont="1" applyFill="1" applyBorder="1" applyAlignment="1">
      <alignment horizontal="right" vertical="center"/>
    </xf>
    <xf numFmtId="0" fontId="6" fillId="5" borderId="28" xfId="0" applyFont="1" applyFill="1" applyBorder="1" applyAlignment="1">
      <alignment horizontal="right" vertical="center"/>
    </xf>
    <xf numFmtId="38" fontId="14" fillId="5" borderId="26" xfId="3" applyFont="1" applyFill="1" applyBorder="1" applyAlignment="1"/>
    <xf numFmtId="10" fontId="14" fillId="5" borderId="0" xfId="1" applyNumberFormat="1" applyFont="1" applyFill="1" applyBorder="1" applyAlignment="1"/>
    <xf numFmtId="38" fontId="14" fillId="5" borderId="28" xfId="3" applyFont="1" applyFill="1" applyBorder="1" applyAlignment="1"/>
    <xf numFmtId="182" fontId="14" fillId="5" borderId="22" xfId="3" applyNumberFormat="1" applyFont="1" applyFill="1" applyBorder="1" applyAlignment="1"/>
    <xf numFmtId="181" fontId="14" fillId="5" borderId="4" xfId="1" applyNumberFormat="1" applyFont="1" applyFill="1" applyBorder="1" applyAlignment="1"/>
    <xf numFmtId="178" fontId="14" fillId="5" borderId="4" xfId="1" applyNumberFormat="1" applyFont="1" applyFill="1" applyBorder="1" applyAlignment="1"/>
    <xf numFmtId="178" fontId="14" fillId="5" borderId="25" xfId="1" applyNumberFormat="1" applyFont="1" applyFill="1" applyBorder="1" applyAlignment="1">
      <alignment horizontal="center"/>
    </xf>
    <xf numFmtId="10" fontId="6" fillId="2" borderId="25" xfId="1" applyNumberFormat="1" applyFont="1" applyFill="1" applyBorder="1" applyAlignment="1"/>
    <xf numFmtId="10" fontId="6" fillId="9" borderId="29" xfId="1" applyNumberFormat="1" applyFont="1" applyFill="1" applyBorder="1" applyAlignment="1"/>
    <xf numFmtId="10" fontId="6" fillId="9" borderId="15" xfId="1" applyNumberFormat="1" applyFont="1" applyFill="1" applyBorder="1" applyAlignment="1"/>
    <xf numFmtId="10" fontId="6" fillId="2" borderId="28" xfId="1" applyNumberFormat="1" applyFont="1" applyFill="1" applyBorder="1" applyAlignment="1"/>
    <xf numFmtId="182" fontId="6" fillId="9" borderId="15" xfId="1" applyNumberFormat="1" applyFont="1" applyFill="1" applyBorder="1" applyAlignment="1"/>
    <xf numFmtId="10" fontId="6" fillId="2" borderId="15" xfId="1" applyNumberFormat="1" applyFont="1" applyFill="1" applyBorder="1" applyAlignment="1"/>
    <xf numFmtId="0" fontId="14" fillId="11" borderId="30" xfId="0" applyFont="1" applyFill="1" applyBorder="1" applyAlignment="1">
      <alignment shrinkToFit="1"/>
    </xf>
    <xf numFmtId="0" fontId="14" fillId="11" borderId="30" xfId="0" applyFont="1" applyFill="1" applyBorder="1" applyAlignment="1">
      <alignment vertical="center" shrinkToFit="1"/>
    </xf>
    <xf numFmtId="0" fontId="14" fillId="11" borderId="23" xfId="0" applyFont="1" applyFill="1" applyBorder="1" applyAlignment="1">
      <alignment vertical="center" shrinkToFit="1"/>
    </xf>
    <xf numFmtId="38" fontId="14" fillId="5" borderId="21" xfId="3" applyFont="1" applyFill="1" applyBorder="1" applyAlignment="1">
      <alignment horizontal="center"/>
    </xf>
    <xf numFmtId="0" fontId="14" fillId="5" borderId="21" xfId="0" applyFont="1" applyFill="1" applyBorder="1" applyAlignment="1">
      <alignment horizontal="center"/>
    </xf>
    <xf numFmtId="0" fontId="6" fillId="5" borderId="21" xfId="0" applyFont="1" applyFill="1" applyBorder="1" applyAlignment="1">
      <alignment horizontal="center"/>
    </xf>
    <xf numFmtId="178" fontId="14" fillId="5" borderId="21" xfId="1" applyNumberFormat="1" applyFont="1" applyFill="1" applyBorder="1" applyAlignment="1">
      <alignment horizontal="center"/>
    </xf>
    <xf numFmtId="180" fontId="14" fillId="5" borderId="21" xfId="1" applyNumberFormat="1" applyFont="1" applyFill="1" applyBorder="1" applyAlignment="1">
      <alignment horizontal="center"/>
    </xf>
    <xf numFmtId="176" fontId="6" fillId="5" borderId="22" xfId="0" applyNumberFormat="1" applyFont="1" applyFill="1" applyBorder="1" applyAlignment="1">
      <alignment horizontal="center" vertical="center"/>
    </xf>
    <xf numFmtId="38" fontId="14" fillId="5" borderId="14" xfId="3" applyFont="1" applyFill="1" applyBorder="1" applyAlignment="1">
      <alignment horizontal="center"/>
    </xf>
    <xf numFmtId="0" fontId="14" fillId="5" borderId="14" xfId="0" applyFont="1" applyFill="1" applyBorder="1" applyAlignment="1">
      <alignment horizontal="center"/>
    </xf>
    <xf numFmtId="178" fontId="14" fillId="5" borderId="14" xfId="1" applyNumberFormat="1" applyFont="1" applyFill="1" applyBorder="1" applyAlignment="1">
      <alignment horizontal="center"/>
    </xf>
    <xf numFmtId="180" fontId="14" fillId="5" borderId="14" xfId="1" applyNumberFormat="1" applyFont="1" applyFill="1" applyBorder="1" applyAlignment="1">
      <alignment horizontal="center"/>
    </xf>
    <xf numFmtId="176" fontId="6" fillId="5" borderId="4" xfId="0" applyNumberFormat="1" applyFont="1" applyFill="1" applyBorder="1" applyAlignment="1">
      <alignment horizontal="center" vertical="center"/>
    </xf>
    <xf numFmtId="38" fontId="14" fillId="5" borderId="24" xfId="3" applyFont="1" applyFill="1" applyBorder="1" applyAlignment="1">
      <alignment horizontal="center"/>
    </xf>
    <xf numFmtId="0" fontId="14" fillId="5" borderId="24" xfId="0" applyFont="1" applyFill="1" applyBorder="1" applyAlignment="1">
      <alignment horizontal="center"/>
    </xf>
    <xf numFmtId="178" fontId="14" fillId="5" borderId="24" xfId="1" applyNumberFormat="1" applyFont="1" applyFill="1" applyBorder="1" applyAlignment="1">
      <alignment horizontal="center"/>
    </xf>
    <xf numFmtId="180" fontId="14" fillId="5" borderId="24" xfId="1" applyNumberFormat="1" applyFont="1" applyFill="1" applyBorder="1" applyAlignment="1">
      <alignment horizontal="center"/>
    </xf>
    <xf numFmtId="176" fontId="6" fillId="5" borderId="25" xfId="0" applyNumberFormat="1" applyFont="1" applyFill="1" applyBorder="1" applyAlignment="1">
      <alignment horizontal="center" vertical="center"/>
    </xf>
    <xf numFmtId="176" fontId="6" fillId="5" borderId="23" xfId="0" applyNumberFormat="1" applyFont="1" applyFill="1" applyBorder="1" applyAlignment="1">
      <alignment horizontal="center" vertical="center"/>
    </xf>
    <xf numFmtId="0" fontId="6" fillId="6" borderId="0" xfId="0" applyFont="1" applyFill="1" applyAlignment="1">
      <alignment horizontal="center"/>
    </xf>
    <xf numFmtId="178" fontId="6" fillId="6" borderId="0" xfId="0" applyNumberFormat="1" applyFont="1" applyFill="1" applyAlignment="1">
      <alignment horizontal="center"/>
    </xf>
    <xf numFmtId="176" fontId="6" fillId="5" borderId="13" xfId="0" applyNumberFormat="1" applyFont="1" applyFill="1" applyBorder="1" applyAlignment="1">
      <alignment horizontal="center" vertical="center"/>
    </xf>
    <xf numFmtId="178" fontId="6" fillId="5" borderId="14" xfId="1" applyNumberFormat="1" applyFont="1" applyFill="1" applyBorder="1" applyAlignment="1">
      <alignment horizontal="center" vertical="center"/>
    </xf>
    <xf numFmtId="180" fontId="6" fillId="5" borderId="24" xfId="1" applyNumberFormat="1" applyFont="1" applyFill="1" applyBorder="1" applyAlignment="1">
      <alignment horizontal="center" vertical="center"/>
    </xf>
    <xf numFmtId="0" fontId="0" fillId="5" borderId="13" xfId="0" applyFill="1" applyBorder="1"/>
    <xf numFmtId="0" fontId="0" fillId="5" borderId="14" xfId="0" applyFill="1" applyBorder="1"/>
    <xf numFmtId="0" fontId="0" fillId="5" borderId="4" xfId="0" applyFill="1" applyBorder="1"/>
    <xf numFmtId="0" fontId="0" fillId="5" borderId="23" xfId="0" applyFill="1" applyBorder="1"/>
    <xf numFmtId="0" fontId="0" fillId="5" borderId="24" xfId="0" applyFill="1" applyBorder="1"/>
    <xf numFmtId="176" fontId="6" fillId="5" borderId="20" xfId="0" applyNumberFormat="1" applyFont="1" applyFill="1" applyBorder="1" applyAlignment="1">
      <alignment horizontal="center" vertical="center"/>
    </xf>
    <xf numFmtId="176" fontId="6" fillId="5" borderId="21" xfId="0" applyNumberFormat="1" applyFont="1" applyFill="1" applyBorder="1" applyAlignment="1">
      <alignment horizontal="center" vertical="center"/>
    </xf>
    <xf numFmtId="0" fontId="6" fillId="5" borderId="22" xfId="1" applyNumberFormat="1" applyFont="1" applyFill="1" applyBorder="1" applyAlignment="1">
      <alignment horizontal="right" vertical="center"/>
    </xf>
    <xf numFmtId="0" fontId="0" fillId="5" borderId="25" xfId="0" applyFill="1" applyBorder="1"/>
    <xf numFmtId="184" fontId="14" fillId="5" borderId="14" xfId="0" applyNumberFormat="1" applyFont="1" applyFill="1" applyBorder="1" applyAlignment="1">
      <alignment horizontal="center"/>
    </xf>
    <xf numFmtId="184" fontId="14" fillId="5" borderId="24" xfId="0" applyNumberFormat="1" applyFont="1" applyFill="1" applyBorder="1" applyAlignment="1">
      <alignment horizontal="center"/>
    </xf>
    <xf numFmtId="181" fontId="6" fillId="9" borderId="15" xfId="1" applyNumberFormat="1" applyFont="1" applyFill="1" applyBorder="1" applyAlignment="1"/>
    <xf numFmtId="180" fontId="14" fillId="9" borderId="4" xfId="1" applyNumberFormat="1" applyFont="1" applyFill="1" applyBorder="1" applyAlignment="1"/>
    <xf numFmtId="178" fontId="6" fillId="5" borderId="4" xfId="1" applyNumberFormat="1" applyFont="1" applyFill="1" applyBorder="1" applyAlignment="1">
      <alignment horizontal="center" vertical="center"/>
    </xf>
    <xf numFmtId="180" fontId="6" fillId="5" borderId="25" xfId="1" applyNumberFormat="1" applyFont="1" applyFill="1" applyBorder="1" applyAlignment="1">
      <alignment horizontal="center" vertical="center"/>
    </xf>
    <xf numFmtId="186" fontId="6" fillId="2" borderId="0" xfId="3" applyNumberFormat="1" applyFont="1" applyFill="1" applyAlignment="1"/>
    <xf numFmtId="186" fontId="6" fillId="2" borderId="2" xfId="3" applyNumberFormat="1" applyFont="1" applyFill="1" applyBorder="1" applyAlignment="1"/>
    <xf numFmtId="186" fontId="6" fillId="2" borderId="0" xfId="3" applyNumberFormat="1" applyFont="1" applyFill="1" applyBorder="1" applyAlignment="1"/>
    <xf numFmtId="186" fontId="6" fillId="8" borderId="11" xfId="3" applyNumberFormat="1" applyFont="1" applyFill="1" applyBorder="1" applyAlignment="1">
      <alignment horizontal="centerContinuous"/>
    </xf>
    <xf numFmtId="186" fontId="14" fillId="11" borderId="15" xfId="3" applyNumberFormat="1" applyFont="1" applyFill="1" applyBorder="1" applyAlignment="1">
      <alignment horizontal="centerContinuous" shrinkToFit="1"/>
    </xf>
    <xf numFmtId="186" fontId="6" fillId="5" borderId="4" xfId="3" applyNumberFormat="1" applyFont="1" applyFill="1" applyBorder="1" applyAlignment="1">
      <alignment horizontal="right" vertical="center"/>
    </xf>
    <xf numFmtId="186" fontId="6" fillId="5" borderId="4" xfId="3" applyNumberFormat="1" applyFont="1" applyFill="1" applyBorder="1" applyAlignment="1">
      <alignment horizontal="center" vertical="center"/>
    </xf>
    <xf numFmtId="186" fontId="0" fillId="0" borderId="6" xfId="3" applyNumberFormat="1" applyFont="1" applyBorder="1" applyAlignment="1"/>
    <xf numFmtId="186" fontId="0" fillId="0" borderId="0" xfId="3" applyNumberFormat="1" applyFont="1" applyAlignment="1"/>
    <xf numFmtId="186" fontId="6" fillId="7" borderId="11" xfId="3" applyNumberFormat="1" applyFont="1" applyFill="1" applyBorder="1" applyAlignment="1">
      <alignment horizontal="centerContinuous"/>
    </xf>
    <xf numFmtId="186" fontId="14" fillId="11" borderId="29" xfId="3" applyNumberFormat="1" applyFont="1" applyFill="1" applyBorder="1" applyAlignment="1">
      <alignment horizontal="centerContinuous" shrinkToFit="1"/>
    </xf>
    <xf numFmtId="186" fontId="6" fillId="9" borderId="4" xfId="3" applyNumberFormat="1" applyFont="1" applyFill="1" applyBorder="1" applyAlignment="1">
      <alignment horizontal="right" vertical="center"/>
    </xf>
    <xf numFmtId="186" fontId="6" fillId="5" borderId="25" xfId="3" applyNumberFormat="1" applyFont="1" applyFill="1" applyBorder="1" applyAlignment="1">
      <alignment horizontal="right" vertical="center"/>
    </xf>
    <xf numFmtId="186" fontId="6" fillId="2" borderId="6" xfId="3" applyNumberFormat="1" applyFont="1" applyFill="1" applyBorder="1" applyAlignment="1"/>
    <xf numFmtId="186" fontId="6" fillId="9" borderId="25" xfId="3" applyNumberFormat="1" applyFont="1" applyFill="1" applyBorder="1" applyAlignment="1">
      <alignment horizontal="right" vertical="center"/>
    </xf>
    <xf numFmtId="186" fontId="6" fillId="7" borderId="2" xfId="3" applyNumberFormat="1" applyFont="1" applyFill="1" applyBorder="1" applyAlignment="1">
      <alignment vertical="center"/>
    </xf>
    <xf numFmtId="0" fontId="6" fillId="7" borderId="9" xfId="0" applyFont="1" applyFill="1" applyBorder="1"/>
    <xf numFmtId="186" fontId="6" fillId="7" borderId="0" xfId="3" applyNumberFormat="1" applyFont="1" applyFill="1" applyBorder="1" applyAlignment="1">
      <alignment vertical="center"/>
    </xf>
    <xf numFmtId="0" fontId="6" fillId="7" borderId="7" xfId="0" applyFont="1" applyFill="1" applyBorder="1"/>
    <xf numFmtId="186" fontId="6" fillId="7" borderId="6" xfId="3" applyNumberFormat="1" applyFont="1" applyFill="1" applyBorder="1" applyAlignment="1">
      <alignment vertical="center"/>
    </xf>
    <xf numFmtId="0" fontId="6" fillId="7" borderId="8" xfId="0" applyFont="1" applyFill="1" applyBorder="1"/>
    <xf numFmtId="0" fontId="6" fillId="10" borderId="22" xfId="0" applyFont="1" applyFill="1" applyBorder="1" applyAlignment="1">
      <alignment horizontal="centerContinuous" vertical="center" shrinkToFit="1"/>
    </xf>
    <xf numFmtId="0" fontId="6" fillId="10" borderId="4" xfId="0" applyFont="1" applyFill="1" applyBorder="1" applyAlignment="1">
      <alignment horizontal="centerContinuous" vertical="center"/>
    </xf>
    <xf numFmtId="0" fontId="6" fillId="10" borderId="4" xfId="0" applyFont="1" applyFill="1" applyBorder="1" applyAlignment="1">
      <alignment horizontal="centerContinuous" vertical="center" shrinkToFit="1"/>
    </xf>
    <xf numFmtId="0" fontId="6" fillId="10" borderId="25" xfId="0" applyFont="1" applyFill="1" applyBorder="1" applyAlignment="1">
      <alignment horizontal="centerContinuous" vertical="center" shrinkToFit="1"/>
    </xf>
    <xf numFmtId="0" fontId="6" fillId="10" borderId="16" xfId="0" applyFont="1" applyFill="1" applyBorder="1" applyAlignment="1">
      <alignment horizontal="center" vertical="center"/>
    </xf>
    <xf numFmtId="183" fontId="6" fillId="2" borderId="0" xfId="3" applyNumberFormat="1" applyFont="1" applyFill="1" applyBorder="1" applyAlignment="1"/>
    <xf numFmtId="181" fontId="14" fillId="9" borderId="4" xfId="1" applyNumberFormat="1" applyFont="1" applyFill="1" applyBorder="1" applyAlignment="1"/>
    <xf numFmtId="0" fontId="19" fillId="11" borderId="20" xfId="0" applyFont="1" applyFill="1" applyBorder="1"/>
    <xf numFmtId="182" fontId="14" fillId="9" borderId="4" xfId="1" applyNumberFormat="1" applyFont="1" applyFill="1" applyBorder="1" applyAlignment="1"/>
    <xf numFmtId="186" fontId="6" fillId="6" borderId="0" xfId="3" applyNumberFormat="1" applyFont="1" applyFill="1" applyBorder="1" applyAlignment="1"/>
    <xf numFmtId="0" fontId="6" fillId="6" borderId="0" xfId="0" applyFont="1" applyFill="1"/>
    <xf numFmtId="178" fontId="14" fillId="2" borderId="24" xfId="1" applyNumberFormat="1" applyFont="1" applyFill="1" applyBorder="1" applyAlignment="1"/>
    <xf numFmtId="180" fontId="14" fillId="2" borderId="24" xfId="1" applyNumberFormat="1" applyFont="1" applyFill="1" applyBorder="1" applyAlignment="1"/>
    <xf numFmtId="186" fontId="6" fillId="2" borderId="25" xfId="3" applyNumberFormat="1" applyFont="1" applyFill="1" applyBorder="1" applyAlignment="1">
      <alignment horizontal="right" vertical="center"/>
    </xf>
    <xf numFmtId="178" fontId="6" fillId="5" borderId="13" xfId="1" applyNumberFormat="1" applyFont="1" applyFill="1" applyBorder="1" applyAlignment="1">
      <alignment horizontal="right" vertical="center"/>
    </xf>
    <xf numFmtId="178" fontId="6" fillId="5" borderId="14" xfId="1" applyNumberFormat="1" applyFont="1" applyFill="1" applyBorder="1" applyAlignment="1">
      <alignment horizontal="right" vertical="center"/>
    </xf>
    <xf numFmtId="176" fontId="6" fillId="5" borderId="15" xfId="0" applyNumberFormat="1" applyFont="1" applyFill="1" applyBorder="1" applyAlignment="1">
      <alignment horizontal="right" vertical="center" shrinkToFit="1"/>
    </xf>
    <xf numFmtId="40" fontId="6" fillId="5" borderId="25" xfId="1" applyNumberFormat="1" applyFont="1" applyFill="1" applyBorder="1" applyAlignment="1">
      <alignment horizontal="right" vertical="center"/>
    </xf>
    <xf numFmtId="179" fontId="6" fillId="5" borderId="29" xfId="0" applyNumberFormat="1" applyFont="1" applyFill="1" applyBorder="1" applyAlignment="1">
      <alignment horizontal="right" vertical="center"/>
    </xf>
    <xf numFmtId="183" fontId="6" fillId="5" borderId="17" xfId="0" applyNumberFormat="1" applyFont="1" applyFill="1" applyBorder="1" applyAlignment="1">
      <alignment horizontal="right" vertical="center"/>
    </xf>
    <xf numFmtId="38" fontId="14" fillId="9" borderId="26" xfId="3" applyFont="1" applyFill="1" applyBorder="1" applyAlignment="1">
      <alignment horizontal="center" shrinkToFit="1"/>
    </xf>
    <xf numFmtId="38" fontId="6" fillId="9" borderId="15" xfId="3" applyFont="1" applyFill="1" applyBorder="1" applyAlignment="1"/>
    <xf numFmtId="180" fontId="14" fillId="12" borderId="4" xfId="1" applyNumberFormat="1" applyFont="1" applyFill="1" applyBorder="1" applyAlignment="1">
      <alignment horizontal="center"/>
    </xf>
    <xf numFmtId="0" fontId="24" fillId="9" borderId="1" xfId="0" applyFont="1" applyFill="1" applyBorder="1" applyAlignment="1">
      <alignment horizontal="left" vertical="top"/>
    </xf>
    <xf numFmtId="0" fontId="24" fillId="9" borderId="2" xfId="0" applyFont="1" applyFill="1" applyBorder="1" applyAlignment="1">
      <alignment horizontal="left" vertical="top"/>
    </xf>
    <xf numFmtId="0" fontId="24" fillId="9" borderId="9" xfId="0" applyFont="1" applyFill="1" applyBorder="1" applyAlignment="1">
      <alignment horizontal="left" vertical="top"/>
    </xf>
    <xf numFmtId="0" fontId="24" fillId="9" borderId="3" xfId="0" applyFont="1" applyFill="1" applyBorder="1" applyAlignment="1">
      <alignment horizontal="left" vertical="top"/>
    </xf>
    <xf numFmtId="0" fontId="24" fillId="9" borderId="0" xfId="0" applyFont="1" applyFill="1" applyAlignment="1">
      <alignment horizontal="left" vertical="top"/>
    </xf>
    <xf numFmtId="0" fontId="24" fillId="9" borderId="7" xfId="0" applyFont="1" applyFill="1" applyBorder="1" applyAlignment="1">
      <alignment horizontal="left" vertical="top"/>
    </xf>
    <xf numFmtId="0" fontId="24" fillId="9" borderId="5" xfId="0" applyFont="1" applyFill="1" applyBorder="1" applyAlignment="1">
      <alignment horizontal="left" vertical="top"/>
    </xf>
    <xf numFmtId="0" fontId="24" fillId="9" borderId="6" xfId="0" applyFont="1" applyFill="1" applyBorder="1" applyAlignment="1">
      <alignment horizontal="left" vertical="top"/>
    </xf>
    <xf numFmtId="0" fontId="24" fillId="9" borderId="8" xfId="0" applyFont="1" applyFill="1" applyBorder="1" applyAlignment="1">
      <alignment horizontal="left" vertical="top"/>
    </xf>
    <xf numFmtId="0" fontId="25" fillId="9" borderId="1" xfId="0" applyFont="1" applyFill="1" applyBorder="1" applyAlignment="1">
      <alignment horizontal="left" vertical="top"/>
    </xf>
    <xf numFmtId="0" fontId="25" fillId="9" borderId="2" xfId="0" applyFont="1" applyFill="1" applyBorder="1" applyAlignment="1">
      <alignment horizontal="left" vertical="top"/>
    </xf>
    <xf numFmtId="0" fontId="25" fillId="9" borderId="9" xfId="0" applyFont="1" applyFill="1" applyBorder="1" applyAlignment="1">
      <alignment horizontal="left" vertical="top"/>
    </xf>
    <xf numFmtId="0" fontId="25" fillId="9" borderId="3" xfId="0" applyFont="1" applyFill="1" applyBorder="1" applyAlignment="1">
      <alignment horizontal="left" vertical="top"/>
    </xf>
    <xf numFmtId="0" fontId="25" fillId="9" borderId="0" xfId="0" applyFont="1" applyFill="1" applyAlignment="1">
      <alignment horizontal="left" vertical="top"/>
    </xf>
    <xf numFmtId="0" fontId="25" fillId="9" borderId="7" xfId="0" applyFont="1" applyFill="1" applyBorder="1" applyAlignment="1">
      <alignment horizontal="left" vertical="top"/>
    </xf>
    <xf numFmtId="0" fontId="25" fillId="9" borderId="5" xfId="0" applyFont="1" applyFill="1" applyBorder="1" applyAlignment="1">
      <alignment horizontal="left" vertical="top"/>
    </xf>
    <xf numFmtId="0" fontId="25" fillId="9" borderId="6" xfId="0" applyFont="1" applyFill="1" applyBorder="1" applyAlignment="1">
      <alignment horizontal="left" vertical="top"/>
    </xf>
    <xf numFmtId="0" fontId="25" fillId="9" borderId="8" xfId="0" applyFont="1" applyFill="1" applyBorder="1" applyAlignment="1">
      <alignment horizontal="left" vertical="top"/>
    </xf>
  </cellXfs>
  <cellStyles count="11">
    <cellStyle name="パーセント" xfId="1" builtinId="5"/>
    <cellStyle name="パーセント 2" xfId="6" xr:uid="{00000000-0005-0000-0000-000001000000}"/>
    <cellStyle name="パーセント 3" xfId="8" xr:uid="{00000000-0005-0000-0000-000002000000}"/>
    <cellStyle name="桁区切り" xfId="3" builtinId="6"/>
    <cellStyle name="桁区切り 2" xfId="5" xr:uid="{00000000-0005-0000-0000-000004000000}"/>
    <cellStyle name="桁区切り 3" xfId="9" xr:uid="{00000000-0005-0000-0000-000005000000}"/>
    <cellStyle name="標準" xfId="0" builtinId="0"/>
    <cellStyle name="標準 2" xfId="4" xr:uid="{00000000-0005-0000-0000-000007000000}"/>
    <cellStyle name="標準 2 2" xfId="10" xr:uid="{00000000-0005-0000-0000-000008000000}"/>
    <cellStyle name="標準 3" xfId="7" xr:uid="{00000000-0005-0000-0000-000009000000}"/>
    <cellStyle name="標準_課題　スワップゼロレート　20090210 (2)" xfId="2" xr:uid="{00000000-0005-0000-0000-00000A000000}"/>
  </cellStyles>
  <dxfs count="10">
    <dxf>
      <fill>
        <patternFill>
          <bgColor theme="2" tint="-9.9948118533890809E-2"/>
        </patternFill>
      </fill>
    </dxf>
    <dxf>
      <fill>
        <patternFill>
          <bgColor theme="2" tint="-9.9948118533890809E-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theme="2" tint="-9.9948118533890809E-2"/>
        </patternFill>
      </fill>
    </dxf>
    <dxf>
      <fill>
        <patternFill>
          <bgColor theme="2" tint="-9.9948118533890809E-2"/>
        </patternFill>
      </fill>
    </dxf>
    <dxf>
      <font>
        <color theme="0" tint="-0.499984740745262"/>
      </font>
      <fill>
        <patternFill>
          <bgColor theme="0" tint="-0.499984740745262"/>
        </patternFill>
      </fill>
    </dxf>
    <dxf>
      <font>
        <color theme="0" tint="-0.499984740745262"/>
      </font>
      <fill>
        <patternFill>
          <bgColor theme="0" tint="-0.499984740745262"/>
        </patternFill>
      </fill>
    </dxf>
  </dxfs>
  <tableStyles count="0" defaultTableStyle="TableStyleMedium2" defaultPivotStyle="PivotStyleLight16"/>
  <colors>
    <mruColors>
      <color rgb="FFFFFFCC"/>
      <color rgb="FF99CCFF"/>
      <color rgb="FFFBBEAB"/>
      <color rgb="FFF99C7F"/>
      <color rgb="FF558ED5"/>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r>
              <a:rPr lang="ja-JP" altLang="en-US" b="1"/>
              <a:t>原資産価格とオプション価格の関係</a:t>
            </a:r>
            <a:endParaRPr lang="ja-JP" b="1"/>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endParaRPr lang="ja-JP"/>
        </a:p>
      </c:txPr>
    </c:title>
    <c:autoTitleDeleted val="0"/>
    <c:plotArea>
      <c:layout/>
      <c:lineChart>
        <c:grouping val="standard"/>
        <c:varyColors val="0"/>
        <c:ser>
          <c:idx val="4"/>
          <c:order val="0"/>
          <c:tx>
            <c:strRef>
              <c:f>'【演習1-1】 プットオプション価格'!$K$18</c:f>
              <c:strCache>
                <c:ptCount val="1"/>
                <c:pt idx="0">
                  <c:v>Aのオプション価格</c:v>
                </c:pt>
              </c:strCache>
            </c:strRef>
          </c:tx>
          <c:spPr>
            <a:ln w="28575" cap="rnd">
              <a:solidFill>
                <a:schemeClr val="accent2"/>
              </a:solidFill>
              <a:round/>
            </a:ln>
            <a:effectLst/>
          </c:spPr>
          <c:marker>
            <c:symbol val="none"/>
          </c:marker>
          <c:cat>
            <c:numRef>
              <c:f>'【演習1-1】 プットオプション価格'!$E$19:$E$139</c:f>
              <c:numCache>
                <c:formatCode>0_);[Red]\(0\)</c:formatCode>
                <c:ptCount val="121"/>
                <c:pt idx="0">
                  <c:v>700</c:v>
                </c:pt>
                <c:pt idx="1">
                  <c:v>705</c:v>
                </c:pt>
                <c:pt idx="2">
                  <c:v>710</c:v>
                </c:pt>
                <c:pt idx="3">
                  <c:v>715</c:v>
                </c:pt>
                <c:pt idx="4">
                  <c:v>720</c:v>
                </c:pt>
                <c:pt idx="5">
                  <c:v>725</c:v>
                </c:pt>
                <c:pt idx="6">
                  <c:v>730</c:v>
                </c:pt>
                <c:pt idx="7">
                  <c:v>735</c:v>
                </c:pt>
                <c:pt idx="8">
                  <c:v>740</c:v>
                </c:pt>
                <c:pt idx="9">
                  <c:v>745</c:v>
                </c:pt>
                <c:pt idx="10">
                  <c:v>750</c:v>
                </c:pt>
                <c:pt idx="11">
                  <c:v>755</c:v>
                </c:pt>
                <c:pt idx="12">
                  <c:v>760</c:v>
                </c:pt>
                <c:pt idx="13">
                  <c:v>765</c:v>
                </c:pt>
                <c:pt idx="14">
                  <c:v>770</c:v>
                </c:pt>
                <c:pt idx="15">
                  <c:v>775</c:v>
                </c:pt>
                <c:pt idx="16">
                  <c:v>780</c:v>
                </c:pt>
                <c:pt idx="17">
                  <c:v>785</c:v>
                </c:pt>
                <c:pt idx="18">
                  <c:v>790</c:v>
                </c:pt>
                <c:pt idx="19">
                  <c:v>795</c:v>
                </c:pt>
                <c:pt idx="20">
                  <c:v>800</c:v>
                </c:pt>
                <c:pt idx="21">
                  <c:v>805</c:v>
                </c:pt>
                <c:pt idx="22">
                  <c:v>810</c:v>
                </c:pt>
                <c:pt idx="23">
                  <c:v>815</c:v>
                </c:pt>
                <c:pt idx="24">
                  <c:v>820</c:v>
                </c:pt>
                <c:pt idx="25">
                  <c:v>825</c:v>
                </c:pt>
                <c:pt idx="26">
                  <c:v>830</c:v>
                </c:pt>
                <c:pt idx="27">
                  <c:v>835</c:v>
                </c:pt>
                <c:pt idx="28">
                  <c:v>840</c:v>
                </c:pt>
                <c:pt idx="29">
                  <c:v>845</c:v>
                </c:pt>
                <c:pt idx="30">
                  <c:v>850</c:v>
                </c:pt>
                <c:pt idx="31">
                  <c:v>855</c:v>
                </c:pt>
                <c:pt idx="32">
                  <c:v>860</c:v>
                </c:pt>
                <c:pt idx="33">
                  <c:v>865</c:v>
                </c:pt>
                <c:pt idx="34">
                  <c:v>870</c:v>
                </c:pt>
                <c:pt idx="35">
                  <c:v>875</c:v>
                </c:pt>
                <c:pt idx="36">
                  <c:v>880</c:v>
                </c:pt>
                <c:pt idx="37">
                  <c:v>885</c:v>
                </c:pt>
                <c:pt idx="38">
                  <c:v>890</c:v>
                </c:pt>
                <c:pt idx="39">
                  <c:v>895</c:v>
                </c:pt>
                <c:pt idx="40">
                  <c:v>900</c:v>
                </c:pt>
                <c:pt idx="41">
                  <c:v>905</c:v>
                </c:pt>
                <c:pt idx="42">
                  <c:v>910</c:v>
                </c:pt>
                <c:pt idx="43">
                  <c:v>915</c:v>
                </c:pt>
                <c:pt idx="44">
                  <c:v>920</c:v>
                </c:pt>
                <c:pt idx="45">
                  <c:v>925</c:v>
                </c:pt>
                <c:pt idx="46">
                  <c:v>930</c:v>
                </c:pt>
                <c:pt idx="47">
                  <c:v>935</c:v>
                </c:pt>
                <c:pt idx="48">
                  <c:v>940</c:v>
                </c:pt>
                <c:pt idx="49">
                  <c:v>945</c:v>
                </c:pt>
                <c:pt idx="50">
                  <c:v>950</c:v>
                </c:pt>
                <c:pt idx="51">
                  <c:v>955</c:v>
                </c:pt>
                <c:pt idx="52">
                  <c:v>960</c:v>
                </c:pt>
                <c:pt idx="53">
                  <c:v>965</c:v>
                </c:pt>
                <c:pt idx="54">
                  <c:v>970</c:v>
                </c:pt>
                <c:pt idx="55">
                  <c:v>975</c:v>
                </c:pt>
                <c:pt idx="56">
                  <c:v>980</c:v>
                </c:pt>
                <c:pt idx="57">
                  <c:v>985</c:v>
                </c:pt>
                <c:pt idx="58">
                  <c:v>990</c:v>
                </c:pt>
                <c:pt idx="59">
                  <c:v>995</c:v>
                </c:pt>
                <c:pt idx="60">
                  <c:v>1000</c:v>
                </c:pt>
                <c:pt idx="61">
                  <c:v>1005</c:v>
                </c:pt>
                <c:pt idx="62">
                  <c:v>1010</c:v>
                </c:pt>
                <c:pt idx="63">
                  <c:v>1015</c:v>
                </c:pt>
                <c:pt idx="64">
                  <c:v>1020</c:v>
                </c:pt>
                <c:pt idx="65">
                  <c:v>1025</c:v>
                </c:pt>
                <c:pt idx="66">
                  <c:v>1030</c:v>
                </c:pt>
                <c:pt idx="67">
                  <c:v>1035</c:v>
                </c:pt>
                <c:pt idx="68">
                  <c:v>1040</c:v>
                </c:pt>
                <c:pt idx="69">
                  <c:v>1045</c:v>
                </c:pt>
                <c:pt idx="70">
                  <c:v>1050</c:v>
                </c:pt>
                <c:pt idx="71">
                  <c:v>1055</c:v>
                </c:pt>
                <c:pt idx="72">
                  <c:v>1060</c:v>
                </c:pt>
                <c:pt idx="73">
                  <c:v>1065</c:v>
                </c:pt>
                <c:pt idx="74">
                  <c:v>1070</c:v>
                </c:pt>
                <c:pt idx="75">
                  <c:v>1075</c:v>
                </c:pt>
                <c:pt idx="76">
                  <c:v>1080</c:v>
                </c:pt>
                <c:pt idx="77">
                  <c:v>1085</c:v>
                </c:pt>
                <c:pt idx="78">
                  <c:v>1090</c:v>
                </c:pt>
                <c:pt idx="79">
                  <c:v>1095</c:v>
                </c:pt>
                <c:pt idx="80">
                  <c:v>1100</c:v>
                </c:pt>
                <c:pt idx="81">
                  <c:v>1105</c:v>
                </c:pt>
                <c:pt idx="82">
                  <c:v>1110</c:v>
                </c:pt>
                <c:pt idx="83">
                  <c:v>1115</c:v>
                </c:pt>
                <c:pt idx="84">
                  <c:v>1120</c:v>
                </c:pt>
                <c:pt idx="85">
                  <c:v>1125</c:v>
                </c:pt>
                <c:pt idx="86">
                  <c:v>1130</c:v>
                </c:pt>
                <c:pt idx="87">
                  <c:v>1135</c:v>
                </c:pt>
                <c:pt idx="88">
                  <c:v>1140</c:v>
                </c:pt>
                <c:pt idx="89">
                  <c:v>1145</c:v>
                </c:pt>
                <c:pt idx="90">
                  <c:v>1150</c:v>
                </c:pt>
                <c:pt idx="91">
                  <c:v>1155</c:v>
                </c:pt>
                <c:pt idx="92">
                  <c:v>1160</c:v>
                </c:pt>
                <c:pt idx="93">
                  <c:v>1165</c:v>
                </c:pt>
                <c:pt idx="94">
                  <c:v>1170</c:v>
                </c:pt>
                <c:pt idx="95">
                  <c:v>1175</c:v>
                </c:pt>
                <c:pt idx="96">
                  <c:v>1180</c:v>
                </c:pt>
                <c:pt idx="97">
                  <c:v>1185</c:v>
                </c:pt>
                <c:pt idx="98">
                  <c:v>1190</c:v>
                </c:pt>
                <c:pt idx="99">
                  <c:v>1195</c:v>
                </c:pt>
                <c:pt idx="100">
                  <c:v>1200</c:v>
                </c:pt>
                <c:pt idx="101">
                  <c:v>1205</c:v>
                </c:pt>
                <c:pt idx="102">
                  <c:v>1210</c:v>
                </c:pt>
                <c:pt idx="103">
                  <c:v>1215</c:v>
                </c:pt>
                <c:pt idx="104">
                  <c:v>1220</c:v>
                </c:pt>
                <c:pt idx="105">
                  <c:v>1225</c:v>
                </c:pt>
                <c:pt idx="106">
                  <c:v>1230</c:v>
                </c:pt>
                <c:pt idx="107">
                  <c:v>1235</c:v>
                </c:pt>
                <c:pt idx="108">
                  <c:v>1240</c:v>
                </c:pt>
                <c:pt idx="109">
                  <c:v>1245</c:v>
                </c:pt>
                <c:pt idx="110">
                  <c:v>1250</c:v>
                </c:pt>
                <c:pt idx="111">
                  <c:v>1255</c:v>
                </c:pt>
                <c:pt idx="112">
                  <c:v>1260</c:v>
                </c:pt>
                <c:pt idx="113">
                  <c:v>1265</c:v>
                </c:pt>
                <c:pt idx="114">
                  <c:v>1270</c:v>
                </c:pt>
                <c:pt idx="115">
                  <c:v>1275</c:v>
                </c:pt>
                <c:pt idx="116">
                  <c:v>1280</c:v>
                </c:pt>
                <c:pt idx="117">
                  <c:v>1285</c:v>
                </c:pt>
                <c:pt idx="118">
                  <c:v>1290</c:v>
                </c:pt>
                <c:pt idx="119">
                  <c:v>1295</c:v>
                </c:pt>
                <c:pt idx="120">
                  <c:v>1300</c:v>
                </c:pt>
              </c:numCache>
            </c:numRef>
          </c:cat>
          <c:val>
            <c:numRef>
              <c:f>'【演習1-1】 プットオプション価格'!$K$19:$K$139</c:f>
              <c:numCache>
                <c:formatCode>0.000</c:formatCode>
                <c:ptCount val="121"/>
                <c:pt idx="0">
                  <c:v>317.84614092118659</c:v>
                </c:pt>
                <c:pt idx="1">
                  <c:v>313.32282843474923</c:v>
                </c:pt>
                <c:pt idx="2">
                  <c:v>308.79975200124522</c:v>
                </c:pt>
                <c:pt idx="3">
                  <c:v>304.27696768935004</c:v>
                </c:pt>
                <c:pt idx="4">
                  <c:v>299.75454292347922</c:v>
                </c:pt>
                <c:pt idx="5">
                  <c:v>295.23255833383587</c:v>
                </c:pt>
                <c:pt idx="6">
                  <c:v>290.71110981681841</c:v>
                </c:pt>
                <c:pt idx="7">
                  <c:v>286.19031081339597</c:v>
                </c:pt>
                <c:pt idx="8">
                  <c:v>281.67029481043141</c:v>
                </c:pt>
                <c:pt idx="9">
                  <c:v>277.15121806683658</c:v>
                </c:pt>
                <c:pt idx="10">
                  <c:v>272.63326256286416</c:v>
                </c:pt>
                <c:pt idx="11">
                  <c:v>268.11663916681414</c:v>
                </c:pt>
                <c:pt idx="12">
                  <c:v>263.60159100900762</c:v>
                </c:pt>
                <c:pt idx="13">
                  <c:v>259.08839704809429</c:v>
                </c:pt>
                <c:pt idx="14">
                  <c:v>254.57737580970536</c:v>
                </c:pt>
                <c:pt idx="15">
                  <c:v>250.0688892722128</c:v>
                </c:pt>
                <c:pt idx="16">
                  <c:v>245.56334686901062</c:v>
                </c:pt>
                <c:pt idx="17">
                  <c:v>241.06120957141468</c:v>
                </c:pt>
                <c:pt idx="18">
                  <c:v>236.56299401108015</c:v>
                </c:pt>
                <c:pt idx="19">
                  <c:v>232.06927659591929</c:v>
                </c:pt>
                <c:pt idx="20">
                  <c:v>227.58069756895816</c:v>
                </c:pt>
                <c:pt idx="21">
                  <c:v>223.09796495555963</c:v>
                </c:pt>
                <c:pt idx="22">
                  <c:v>218.62185834106083</c:v>
                </c:pt>
                <c:pt idx="23">
                  <c:v>214.15323241825911</c:v>
                </c:pt>
                <c:pt idx="24">
                  <c:v>209.69302024243177</c:v>
                </c:pt>
                <c:pt idx="25">
                  <c:v>205.24223613077447</c:v>
                </c:pt>
                <c:pt idx="26">
                  <c:v>200.80197814338624</c:v>
                </c:pt>
                <c:pt idx="27">
                  <c:v>196.37343008424261</c:v>
                </c:pt>
                <c:pt idx="28">
                  <c:v>191.95786296303834</c:v>
                </c:pt>
                <c:pt idx="29">
                  <c:v>187.55663586234107</c:v>
                </c:pt>
                <c:pt idx="30">
                  <c:v>183.1711961591626</c:v>
                </c:pt>
                <c:pt idx="31">
                  <c:v>178.80307905579969</c:v>
                </c:pt>
                <c:pt idx="32">
                  <c:v>174.45390638151798</c:v>
                </c:pt>
                <c:pt idx="33">
                  <c:v>170.12538463431372</c:v>
                </c:pt>
                <c:pt idx="34">
                  <c:v>165.81930224042981</c:v>
                </c:pt>
                <c:pt idx="35">
                  <c:v>161.53752601841904</c:v>
                </c:pt>
                <c:pt idx="36">
                  <c:v>157.28199684419565</c:v>
                </c:pt>
                <c:pt idx="37">
                  <c:v>153.05472452351091</c:v>
                </c:pt>
                <c:pt idx="38">
                  <c:v>148.85778188848735</c:v>
                </c:pt>
                <c:pt idx="39">
                  <c:v>144.69329814506216</c:v>
                </c:pt>
                <c:pt idx="40">
                  <c:v>140.56345150823063</c:v>
                </c:pt>
                <c:pt idx="41">
                  <c:v>136.47046117170214</c:v>
                </c:pt>
                <c:pt idx="42">
                  <c:v>132.41657866777791</c:v>
                </c:pt>
                <c:pt idx="43">
                  <c:v>128.40407868180705</c:v>
                </c:pt>
                <c:pt idx="44">
                  <c:v>124.43524939329029</c:v>
                </c:pt>
                <c:pt idx="45">
                  <c:v>120.51238242249167</c:v>
                </c:pt>
                <c:pt idx="46">
                  <c:v>116.63776246712962</c:v>
                </c:pt>
                <c:pt idx="47">
                  <c:v>112.81365671830338</c:v>
                </c:pt>
                <c:pt idx="48">
                  <c:v>109.04230414816095</c:v>
                </c:pt>
                <c:pt idx="49">
                  <c:v>105.32590476391829</c:v>
                </c:pt>
                <c:pt idx="50">
                  <c:v>101.66660892364087</c:v>
                </c:pt>
                <c:pt idx="51">
                  <c:v>98.066506808743497</c:v>
                </c:pt>
                <c:pt idx="52">
                  <c:v>94.527618146422242</c:v>
                </c:pt>
                <c:pt idx="53">
                  <c:v>91.051882272303033</c:v>
                </c:pt>
                <c:pt idx="54">
                  <c:v>87.641148619508613</c:v>
                </c:pt>
                <c:pt idx="55">
                  <c:v>84.29716771520043</c:v>
                </c:pt>
                <c:pt idx="56">
                  <c:v>81.021582759552984</c:v>
                </c:pt>
                <c:pt idx="57">
                  <c:v>77.815921855176271</c:v>
                </c:pt>
                <c:pt idx="58">
                  <c:v>74.681590947328004</c:v>
                </c:pt>
                <c:pt idx="59">
                  <c:v>71.619867527013753</c:v>
                </c:pt>
                <c:pt idx="60">
                  <c:v>68.631895140360939</c:v>
                </c:pt>
                <c:pt idx="61">
                  <c:v>65.718678738641302</c:v>
                </c:pt>
                <c:pt idx="62">
                  <c:v>62.881080894126967</c:v>
                </c:pt>
                <c:pt idx="63">
                  <c:v>60.119818897744267</c:v>
                </c:pt>
                <c:pt idx="64">
                  <c:v>57.435462745360269</c:v>
                </c:pt>
                <c:pt idx="65">
                  <c:v>54.828434010621095</c:v>
                </c:pt>
                <c:pt idx="66">
                  <c:v>52.299005593692186</c:v>
                </c:pt>
                <c:pt idx="67">
                  <c:v>49.847302327096884</c:v>
                </c:pt>
                <c:pt idx="68">
                  <c:v>47.473302412236706</c:v>
                </c:pt>
                <c:pt idx="69">
                  <c:v>45.176839653163142</c:v>
                </c:pt>
                <c:pt idx="70">
                  <c:v>42.957606447826834</c:v>
                </c:pt>
                <c:pt idx="71">
                  <c:v>40.815157491406126</c:v>
                </c:pt>
                <c:pt idx="72">
                  <c:v>38.748914141452701</c:v>
                </c:pt>
                <c:pt idx="73">
                  <c:v>36.758169390508613</c:v>
                </c:pt>
                <c:pt idx="74">
                  <c:v>34.842093388558112</c:v>
                </c:pt>
                <c:pt idx="75">
                  <c:v>32.99973945517786</c:v>
                </c:pt>
                <c:pt idx="76">
                  <c:v>31.230050519529755</c:v>
                </c:pt>
                <c:pt idx="77">
                  <c:v>29.531865925370539</c:v>
                </c:pt>
                <c:pt idx="78">
                  <c:v>27.903928538012224</c:v>
                </c:pt>
                <c:pt idx="79">
                  <c:v>26.344892090599956</c:v>
                </c:pt>
                <c:pt idx="80">
                  <c:v>24.853328708148013</c:v>
                </c:pt>
                <c:pt idx="81">
                  <c:v>23.427736549421809</c:v>
                </c:pt>
                <c:pt idx="82">
                  <c:v>22.066547508929148</c:v>
                </c:pt>
                <c:pt idx="83">
                  <c:v>20.768134923918069</c:v>
                </c:pt>
                <c:pt idx="84">
                  <c:v>19.530821234311077</c:v>
                </c:pt>
                <c:pt idx="85">
                  <c:v>18.35288554687844</c:v>
                </c:pt>
                <c:pt idx="86">
                  <c:v>17.232571058594004</c:v>
                </c:pt>
                <c:pt idx="87">
                  <c:v>16.168092297968798</c:v>
                </c:pt>
                <c:pt idx="88">
                  <c:v>15.157642147166371</c:v>
                </c:pt>
                <c:pt idx="89">
                  <c:v>14.199398611794237</c:v>
                </c:pt>
                <c:pt idx="90">
                  <c:v>13.291531309412477</c:v>
                </c:pt>
                <c:pt idx="91">
                  <c:v>12.432207651917793</c:v>
                </c:pt>
                <c:pt idx="92">
                  <c:v>11.619598701040928</c:v>
                </c:pt>
                <c:pt idx="93">
                  <c:v>10.85188468016463</c:v>
                </c:pt>
                <c:pt idx="94">
                  <c:v>10.127260129512194</c:v>
                </c:pt>
                <c:pt idx="95">
                  <c:v>9.4439386954302904</c:v>
                </c:pt>
                <c:pt idx="96">
                  <c:v>8.8001575479773635</c:v>
                </c:pt>
                <c:pt idx="97">
                  <c:v>8.1941814242922533</c:v>
                </c:pt>
                <c:pt idx="98">
                  <c:v>7.6243062982619847</c:v>
                </c:pt>
                <c:pt idx="99">
                  <c:v>7.0888626797979413</c:v>
                </c:pt>
                <c:pt idx="100">
                  <c:v>6.5862185495688834</c:v>
                </c:pt>
                <c:pt idx="101">
                  <c:v>6.1147819373245369</c:v>
                </c:pt>
                <c:pt idx="102">
                  <c:v>5.6730031539626395</c:v>
                </c:pt>
                <c:pt idx="103">
                  <c:v>5.2593766892577491</c:v>
                </c:pt>
                <c:pt idx="104">
                  <c:v>4.8724427886806438</c:v>
                </c:pt>
                <c:pt idx="105">
                  <c:v>4.5107887240027509</c:v>
                </c:pt>
                <c:pt idx="106">
                  <c:v>4.1730497734081808</c:v>
                </c:pt>
                <c:pt idx="107">
                  <c:v>3.8579099276397102</c:v>
                </c:pt>
                <c:pt idx="108">
                  <c:v>3.5641023392963547</c:v>
                </c:pt>
                <c:pt idx="109">
                  <c:v>3.2904095327918697</c:v>
                </c:pt>
                <c:pt idx="110">
                  <c:v>3.0356633926948717</c:v>
                </c:pt>
                <c:pt idx="111">
                  <c:v>2.798744948209837</c:v>
                </c:pt>
                <c:pt idx="112">
                  <c:v>2.5785839714487793</c:v>
                </c:pt>
                <c:pt idx="113">
                  <c:v>2.3741584068952406</c:v>
                </c:pt>
                <c:pt idx="114">
                  <c:v>2.1844936490931346</c:v>
                </c:pt>
                <c:pt idx="115">
                  <c:v>2.0086616851200461</c:v>
                </c:pt>
                <c:pt idx="116">
                  <c:v>1.8457801178401496</c:v>
                </c:pt>
                <c:pt idx="117">
                  <c:v>1.6950110852920304</c:v>
                </c:pt>
                <c:pt idx="118">
                  <c:v>1.5555600908642973</c:v>
                </c:pt>
                <c:pt idx="119">
                  <c:v>1.4266747581611199</c:v>
                </c:pt>
                <c:pt idx="120">
                  <c:v>1.3076435236699098</c:v>
                </c:pt>
              </c:numCache>
            </c:numRef>
          </c:val>
          <c:smooth val="0"/>
          <c:extLst>
            <c:ext xmlns:c16="http://schemas.microsoft.com/office/drawing/2014/chart" uri="{C3380CC4-5D6E-409C-BE32-E72D297353CC}">
              <c16:uniqueId val="{00000004-0946-4021-AB04-03D28591097A}"/>
            </c:ext>
          </c:extLst>
        </c:ser>
        <c:ser>
          <c:idx val="5"/>
          <c:order val="1"/>
          <c:tx>
            <c:strRef>
              <c:f>'【演習1-1】 プットオプション価格'!$L$18</c:f>
              <c:strCache>
                <c:ptCount val="1"/>
                <c:pt idx="0">
                  <c:v>Bのオプション価格</c:v>
                </c:pt>
              </c:strCache>
            </c:strRef>
          </c:tx>
          <c:spPr>
            <a:ln w="28575" cap="rnd">
              <a:solidFill>
                <a:schemeClr val="accent5"/>
              </a:solidFill>
              <a:round/>
            </a:ln>
            <a:effectLst/>
          </c:spPr>
          <c:marker>
            <c:symbol val="none"/>
          </c:marker>
          <c:cat>
            <c:numRef>
              <c:f>'【演習1-1】 プットオプション価格'!$E$19:$E$139</c:f>
              <c:numCache>
                <c:formatCode>0_);[Red]\(0\)</c:formatCode>
                <c:ptCount val="121"/>
                <c:pt idx="0">
                  <c:v>700</c:v>
                </c:pt>
                <c:pt idx="1">
                  <c:v>705</c:v>
                </c:pt>
                <c:pt idx="2">
                  <c:v>710</c:v>
                </c:pt>
                <c:pt idx="3">
                  <c:v>715</c:v>
                </c:pt>
                <c:pt idx="4">
                  <c:v>720</c:v>
                </c:pt>
                <c:pt idx="5">
                  <c:v>725</c:v>
                </c:pt>
                <c:pt idx="6">
                  <c:v>730</c:v>
                </c:pt>
                <c:pt idx="7">
                  <c:v>735</c:v>
                </c:pt>
                <c:pt idx="8">
                  <c:v>740</c:v>
                </c:pt>
                <c:pt idx="9">
                  <c:v>745</c:v>
                </c:pt>
                <c:pt idx="10">
                  <c:v>750</c:v>
                </c:pt>
                <c:pt idx="11">
                  <c:v>755</c:v>
                </c:pt>
                <c:pt idx="12">
                  <c:v>760</c:v>
                </c:pt>
                <c:pt idx="13">
                  <c:v>765</c:v>
                </c:pt>
                <c:pt idx="14">
                  <c:v>770</c:v>
                </c:pt>
                <c:pt idx="15">
                  <c:v>775</c:v>
                </c:pt>
                <c:pt idx="16">
                  <c:v>780</c:v>
                </c:pt>
                <c:pt idx="17">
                  <c:v>785</c:v>
                </c:pt>
                <c:pt idx="18">
                  <c:v>790</c:v>
                </c:pt>
                <c:pt idx="19">
                  <c:v>795</c:v>
                </c:pt>
                <c:pt idx="20">
                  <c:v>800</c:v>
                </c:pt>
                <c:pt idx="21">
                  <c:v>805</c:v>
                </c:pt>
                <c:pt idx="22">
                  <c:v>810</c:v>
                </c:pt>
                <c:pt idx="23">
                  <c:v>815</c:v>
                </c:pt>
                <c:pt idx="24">
                  <c:v>820</c:v>
                </c:pt>
                <c:pt idx="25">
                  <c:v>825</c:v>
                </c:pt>
                <c:pt idx="26">
                  <c:v>830</c:v>
                </c:pt>
                <c:pt idx="27">
                  <c:v>835</c:v>
                </c:pt>
                <c:pt idx="28">
                  <c:v>840</c:v>
                </c:pt>
                <c:pt idx="29">
                  <c:v>845</c:v>
                </c:pt>
                <c:pt idx="30">
                  <c:v>850</c:v>
                </c:pt>
                <c:pt idx="31">
                  <c:v>855</c:v>
                </c:pt>
                <c:pt idx="32">
                  <c:v>860</c:v>
                </c:pt>
                <c:pt idx="33">
                  <c:v>865</c:v>
                </c:pt>
                <c:pt idx="34">
                  <c:v>870</c:v>
                </c:pt>
                <c:pt idx="35">
                  <c:v>875</c:v>
                </c:pt>
                <c:pt idx="36">
                  <c:v>880</c:v>
                </c:pt>
                <c:pt idx="37">
                  <c:v>885</c:v>
                </c:pt>
                <c:pt idx="38">
                  <c:v>890</c:v>
                </c:pt>
                <c:pt idx="39">
                  <c:v>895</c:v>
                </c:pt>
                <c:pt idx="40">
                  <c:v>900</c:v>
                </c:pt>
                <c:pt idx="41">
                  <c:v>905</c:v>
                </c:pt>
                <c:pt idx="42">
                  <c:v>910</c:v>
                </c:pt>
                <c:pt idx="43">
                  <c:v>915</c:v>
                </c:pt>
                <c:pt idx="44">
                  <c:v>920</c:v>
                </c:pt>
                <c:pt idx="45">
                  <c:v>925</c:v>
                </c:pt>
                <c:pt idx="46">
                  <c:v>930</c:v>
                </c:pt>
                <c:pt idx="47">
                  <c:v>935</c:v>
                </c:pt>
                <c:pt idx="48">
                  <c:v>940</c:v>
                </c:pt>
                <c:pt idx="49">
                  <c:v>945</c:v>
                </c:pt>
                <c:pt idx="50">
                  <c:v>950</c:v>
                </c:pt>
                <c:pt idx="51">
                  <c:v>955</c:v>
                </c:pt>
                <c:pt idx="52">
                  <c:v>960</c:v>
                </c:pt>
                <c:pt idx="53">
                  <c:v>965</c:v>
                </c:pt>
                <c:pt idx="54">
                  <c:v>970</c:v>
                </c:pt>
                <c:pt idx="55">
                  <c:v>975</c:v>
                </c:pt>
                <c:pt idx="56">
                  <c:v>980</c:v>
                </c:pt>
                <c:pt idx="57">
                  <c:v>985</c:v>
                </c:pt>
                <c:pt idx="58">
                  <c:v>990</c:v>
                </c:pt>
                <c:pt idx="59">
                  <c:v>995</c:v>
                </c:pt>
                <c:pt idx="60">
                  <c:v>1000</c:v>
                </c:pt>
                <c:pt idx="61">
                  <c:v>1005</c:v>
                </c:pt>
                <c:pt idx="62">
                  <c:v>1010</c:v>
                </c:pt>
                <c:pt idx="63">
                  <c:v>1015</c:v>
                </c:pt>
                <c:pt idx="64">
                  <c:v>1020</c:v>
                </c:pt>
                <c:pt idx="65">
                  <c:v>1025</c:v>
                </c:pt>
                <c:pt idx="66">
                  <c:v>1030</c:v>
                </c:pt>
                <c:pt idx="67">
                  <c:v>1035</c:v>
                </c:pt>
                <c:pt idx="68">
                  <c:v>1040</c:v>
                </c:pt>
                <c:pt idx="69">
                  <c:v>1045</c:v>
                </c:pt>
                <c:pt idx="70">
                  <c:v>1050</c:v>
                </c:pt>
                <c:pt idx="71">
                  <c:v>1055</c:v>
                </c:pt>
                <c:pt idx="72">
                  <c:v>1060</c:v>
                </c:pt>
                <c:pt idx="73">
                  <c:v>1065</c:v>
                </c:pt>
                <c:pt idx="74">
                  <c:v>1070</c:v>
                </c:pt>
                <c:pt idx="75">
                  <c:v>1075</c:v>
                </c:pt>
                <c:pt idx="76">
                  <c:v>1080</c:v>
                </c:pt>
                <c:pt idx="77">
                  <c:v>1085</c:v>
                </c:pt>
                <c:pt idx="78">
                  <c:v>1090</c:v>
                </c:pt>
                <c:pt idx="79">
                  <c:v>1095</c:v>
                </c:pt>
                <c:pt idx="80">
                  <c:v>1100</c:v>
                </c:pt>
                <c:pt idx="81">
                  <c:v>1105</c:v>
                </c:pt>
                <c:pt idx="82">
                  <c:v>1110</c:v>
                </c:pt>
                <c:pt idx="83">
                  <c:v>1115</c:v>
                </c:pt>
                <c:pt idx="84">
                  <c:v>1120</c:v>
                </c:pt>
                <c:pt idx="85">
                  <c:v>1125</c:v>
                </c:pt>
                <c:pt idx="86">
                  <c:v>1130</c:v>
                </c:pt>
                <c:pt idx="87">
                  <c:v>1135</c:v>
                </c:pt>
                <c:pt idx="88">
                  <c:v>1140</c:v>
                </c:pt>
                <c:pt idx="89">
                  <c:v>1145</c:v>
                </c:pt>
                <c:pt idx="90">
                  <c:v>1150</c:v>
                </c:pt>
                <c:pt idx="91">
                  <c:v>1155</c:v>
                </c:pt>
                <c:pt idx="92">
                  <c:v>1160</c:v>
                </c:pt>
                <c:pt idx="93">
                  <c:v>1165</c:v>
                </c:pt>
                <c:pt idx="94">
                  <c:v>1170</c:v>
                </c:pt>
                <c:pt idx="95">
                  <c:v>1175</c:v>
                </c:pt>
                <c:pt idx="96">
                  <c:v>1180</c:v>
                </c:pt>
                <c:pt idx="97">
                  <c:v>1185</c:v>
                </c:pt>
                <c:pt idx="98">
                  <c:v>1190</c:v>
                </c:pt>
                <c:pt idx="99">
                  <c:v>1195</c:v>
                </c:pt>
                <c:pt idx="100">
                  <c:v>1200</c:v>
                </c:pt>
                <c:pt idx="101">
                  <c:v>1205</c:v>
                </c:pt>
                <c:pt idx="102">
                  <c:v>1210</c:v>
                </c:pt>
                <c:pt idx="103">
                  <c:v>1215</c:v>
                </c:pt>
                <c:pt idx="104">
                  <c:v>1220</c:v>
                </c:pt>
                <c:pt idx="105">
                  <c:v>1225</c:v>
                </c:pt>
                <c:pt idx="106">
                  <c:v>1230</c:v>
                </c:pt>
                <c:pt idx="107">
                  <c:v>1235</c:v>
                </c:pt>
                <c:pt idx="108">
                  <c:v>1240</c:v>
                </c:pt>
                <c:pt idx="109">
                  <c:v>1245</c:v>
                </c:pt>
                <c:pt idx="110">
                  <c:v>1250</c:v>
                </c:pt>
                <c:pt idx="111">
                  <c:v>1255</c:v>
                </c:pt>
                <c:pt idx="112">
                  <c:v>1260</c:v>
                </c:pt>
                <c:pt idx="113">
                  <c:v>1265</c:v>
                </c:pt>
                <c:pt idx="114">
                  <c:v>1270</c:v>
                </c:pt>
                <c:pt idx="115">
                  <c:v>1275</c:v>
                </c:pt>
                <c:pt idx="116">
                  <c:v>1280</c:v>
                </c:pt>
                <c:pt idx="117">
                  <c:v>1285</c:v>
                </c:pt>
                <c:pt idx="118">
                  <c:v>1290</c:v>
                </c:pt>
                <c:pt idx="119">
                  <c:v>1295</c:v>
                </c:pt>
                <c:pt idx="120">
                  <c:v>1300</c:v>
                </c:pt>
              </c:numCache>
            </c:numRef>
          </c:cat>
          <c:val>
            <c:numRef>
              <c:f>'【演習1-1】 プットオプション価格'!$L$19:$L$139</c:f>
              <c:numCache>
                <c:formatCode>0.000</c:formatCode>
                <c:ptCount val="121"/>
                <c:pt idx="0">
                  <c:v>317.84614092118659</c:v>
                </c:pt>
                <c:pt idx="1">
                  <c:v>313.32282843474923</c:v>
                </c:pt>
                <c:pt idx="2">
                  <c:v>308.79975200124522</c:v>
                </c:pt>
                <c:pt idx="3">
                  <c:v>304.27696768935004</c:v>
                </c:pt>
                <c:pt idx="4">
                  <c:v>299.75454292347922</c:v>
                </c:pt>
                <c:pt idx="5">
                  <c:v>295.23255833383587</c:v>
                </c:pt>
                <c:pt idx="6">
                  <c:v>290.71110981681841</c:v>
                </c:pt>
                <c:pt idx="7">
                  <c:v>286.19031081339597</c:v>
                </c:pt>
                <c:pt idx="8">
                  <c:v>281.67029481043141</c:v>
                </c:pt>
                <c:pt idx="9">
                  <c:v>277.15121806683658</c:v>
                </c:pt>
                <c:pt idx="10">
                  <c:v>272.63326256286416</c:v>
                </c:pt>
                <c:pt idx="11">
                  <c:v>268.11663916681414</c:v>
                </c:pt>
                <c:pt idx="12">
                  <c:v>263.60159100900762</c:v>
                </c:pt>
                <c:pt idx="13">
                  <c:v>259.08839704809429</c:v>
                </c:pt>
                <c:pt idx="14">
                  <c:v>254.57737580970536</c:v>
                </c:pt>
                <c:pt idx="15">
                  <c:v>250.0688892722128</c:v>
                </c:pt>
                <c:pt idx="16">
                  <c:v>245.56334686901062</c:v>
                </c:pt>
                <c:pt idx="17">
                  <c:v>241.06120957141468</c:v>
                </c:pt>
                <c:pt idx="18">
                  <c:v>236.56299401108015</c:v>
                </c:pt>
                <c:pt idx="19">
                  <c:v>232.06927659591929</c:v>
                </c:pt>
                <c:pt idx="20">
                  <c:v>227.58069756895816</c:v>
                </c:pt>
                <c:pt idx="21">
                  <c:v>223.09796495555963</c:v>
                </c:pt>
                <c:pt idx="22">
                  <c:v>218.62185834106083</c:v>
                </c:pt>
                <c:pt idx="23">
                  <c:v>214.15323241825911</c:v>
                </c:pt>
                <c:pt idx="24">
                  <c:v>209.69302024243177</c:v>
                </c:pt>
                <c:pt idx="25">
                  <c:v>205.24223613077447</c:v>
                </c:pt>
                <c:pt idx="26">
                  <c:v>200.80197814338624</c:v>
                </c:pt>
                <c:pt idx="27">
                  <c:v>196.37343008424261</c:v>
                </c:pt>
                <c:pt idx="28">
                  <c:v>191.95786296303834</c:v>
                </c:pt>
                <c:pt idx="29">
                  <c:v>187.55663586234107</c:v>
                </c:pt>
                <c:pt idx="30">
                  <c:v>183.1711961591626</c:v>
                </c:pt>
                <c:pt idx="31">
                  <c:v>178.80307905579969</c:v>
                </c:pt>
                <c:pt idx="32">
                  <c:v>174.45390638151798</c:v>
                </c:pt>
                <c:pt idx="33">
                  <c:v>170.12538463431372</c:v>
                </c:pt>
                <c:pt idx="34">
                  <c:v>165.81930224042981</c:v>
                </c:pt>
                <c:pt idx="35">
                  <c:v>161.53752601841904</c:v>
                </c:pt>
                <c:pt idx="36">
                  <c:v>157.28199684419565</c:v>
                </c:pt>
                <c:pt idx="37">
                  <c:v>153.05472452351091</c:v>
                </c:pt>
                <c:pt idx="38">
                  <c:v>148.85778188848735</c:v>
                </c:pt>
                <c:pt idx="39">
                  <c:v>144.69329814506216</c:v>
                </c:pt>
                <c:pt idx="40">
                  <c:v>140.56345150823063</c:v>
                </c:pt>
                <c:pt idx="41">
                  <c:v>136.47046117170214</c:v>
                </c:pt>
                <c:pt idx="42">
                  <c:v>132.41657866777791</c:v>
                </c:pt>
                <c:pt idx="43">
                  <c:v>128.40407868180705</c:v>
                </c:pt>
                <c:pt idx="44">
                  <c:v>124.43524939329029</c:v>
                </c:pt>
                <c:pt idx="45">
                  <c:v>120.51238242249167</c:v>
                </c:pt>
                <c:pt idx="46">
                  <c:v>116.63776246712962</c:v>
                </c:pt>
                <c:pt idx="47">
                  <c:v>112.81365671830338</c:v>
                </c:pt>
                <c:pt idx="48">
                  <c:v>109.04230414816095</c:v>
                </c:pt>
                <c:pt idx="49">
                  <c:v>105.32590476391829</c:v>
                </c:pt>
                <c:pt idx="50">
                  <c:v>101.66660892364087</c:v>
                </c:pt>
                <c:pt idx="51">
                  <c:v>98.066506808743497</c:v>
                </c:pt>
                <c:pt idx="52">
                  <c:v>94.527618146422242</c:v>
                </c:pt>
                <c:pt idx="53">
                  <c:v>91.051882272303033</c:v>
                </c:pt>
                <c:pt idx="54">
                  <c:v>87.641148619508613</c:v>
                </c:pt>
                <c:pt idx="55">
                  <c:v>84.29716771520043</c:v>
                </c:pt>
                <c:pt idx="56">
                  <c:v>81.021582759552984</c:v>
                </c:pt>
                <c:pt idx="57">
                  <c:v>77.815921855176271</c:v>
                </c:pt>
                <c:pt idx="58">
                  <c:v>74.681590947328004</c:v>
                </c:pt>
                <c:pt idx="59">
                  <c:v>71.619867527013753</c:v>
                </c:pt>
                <c:pt idx="60">
                  <c:v>68.631895140360939</c:v>
                </c:pt>
                <c:pt idx="61">
                  <c:v>65.718678738641302</c:v>
                </c:pt>
                <c:pt idx="62">
                  <c:v>62.881080894126967</c:v>
                </c:pt>
                <c:pt idx="63">
                  <c:v>60.119818897744267</c:v>
                </c:pt>
                <c:pt idx="64">
                  <c:v>57.435462745360269</c:v>
                </c:pt>
                <c:pt idx="65">
                  <c:v>54.828434010621095</c:v>
                </c:pt>
                <c:pt idx="66">
                  <c:v>52.299005593692186</c:v>
                </c:pt>
                <c:pt idx="67">
                  <c:v>49.847302327096884</c:v>
                </c:pt>
                <c:pt idx="68">
                  <c:v>47.473302412236706</c:v>
                </c:pt>
                <c:pt idx="69">
                  <c:v>45.176839653163142</c:v>
                </c:pt>
                <c:pt idx="70">
                  <c:v>42.957606447826834</c:v>
                </c:pt>
                <c:pt idx="71">
                  <c:v>40.815157491406126</c:v>
                </c:pt>
                <c:pt idx="72">
                  <c:v>38.748914141452701</c:v>
                </c:pt>
                <c:pt idx="73">
                  <c:v>36.758169390508613</c:v>
                </c:pt>
                <c:pt idx="74">
                  <c:v>34.842093388558112</c:v>
                </c:pt>
                <c:pt idx="75">
                  <c:v>32.99973945517786</c:v>
                </c:pt>
                <c:pt idx="76">
                  <c:v>31.230050519529755</c:v>
                </c:pt>
                <c:pt idx="77">
                  <c:v>29.531865925370539</c:v>
                </c:pt>
                <c:pt idx="78">
                  <c:v>27.903928538012224</c:v>
                </c:pt>
                <c:pt idx="79">
                  <c:v>26.344892090599956</c:v>
                </c:pt>
                <c:pt idx="80">
                  <c:v>24.853328708148013</c:v>
                </c:pt>
                <c:pt idx="81">
                  <c:v>23.427736549421809</c:v>
                </c:pt>
                <c:pt idx="82">
                  <c:v>22.066547508929148</c:v>
                </c:pt>
                <c:pt idx="83">
                  <c:v>20.768134923918069</c:v>
                </c:pt>
                <c:pt idx="84">
                  <c:v>19.530821234311077</c:v>
                </c:pt>
                <c:pt idx="85">
                  <c:v>18.35288554687844</c:v>
                </c:pt>
                <c:pt idx="86">
                  <c:v>17.232571058594004</c:v>
                </c:pt>
                <c:pt idx="87">
                  <c:v>16.168092297968798</c:v>
                </c:pt>
                <c:pt idx="88">
                  <c:v>15.157642147166371</c:v>
                </c:pt>
                <c:pt idx="89">
                  <c:v>14.199398611794237</c:v>
                </c:pt>
                <c:pt idx="90">
                  <c:v>13.291531309412477</c:v>
                </c:pt>
                <c:pt idx="91">
                  <c:v>12.432207651917793</c:v>
                </c:pt>
                <c:pt idx="92">
                  <c:v>11.619598701040928</c:v>
                </c:pt>
                <c:pt idx="93">
                  <c:v>10.85188468016463</c:v>
                </c:pt>
                <c:pt idx="94">
                  <c:v>10.127260129512194</c:v>
                </c:pt>
                <c:pt idx="95">
                  <c:v>9.4439386954302904</c:v>
                </c:pt>
                <c:pt idx="96">
                  <c:v>8.8001575479773635</c:v>
                </c:pt>
                <c:pt idx="97">
                  <c:v>8.1941814242922533</c:v>
                </c:pt>
                <c:pt idx="98">
                  <c:v>7.6243062982619847</c:v>
                </c:pt>
                <c:pt idx="99">
                  <c:v>7.0888626797979413</c:v>
                </c:pt>
                <c:pt idx="100">
                  <c:v>6.5862185495688834</c:v>
                </c:pt>
                <c:pt idx="101">
                  <c:v>6.1147819373245369</c:v>
                </c:pt>
                <c:pt idx="102">
                  <c:v>5.6730031539626395</c:v>
                </c:pt>
                <c:pt idx="103">
                  <c:v>5.2593766892577491</c:v>
                </c:pt>
                <c:pt idx="104">
                  <c:v>4.8724427886806438</c:v>
                </c:pt>
                <c:pt idx="105">
                  <c:v>4.5107887240027509</c:v>
                </c:pt>
                <c:pt idx="106">
                  <c:v>4.1730497734081808</c:v>
                </c:pt>
                <c:pt idx="107">
                  <c:v>3.8579099276397102</c:v>
                </c:pt>
                <c:pt idx="108">
                  <c:v>3.5641023392963547</c:v>
                </c:pt>
                <c:pt idx="109">
                  <c:v>3.2904095327918697</c:v>
                </c:pt>
                <c:pt idx="110">
                  <c:v>3.0356633926948717</c:v>
                </c:pt>
                <c:pt idx="111">
                  <c:v>2.798744948209837</c:v>
                </c:pt>
                <c:pt idx="112">
                  <c:v>2.5785839714487793</c:v>
                </c:pt>
                <c:pt idx="113">
                  <c:v>2.3741584068952406</c:v>
                </c:pt>
                <c:pt idx="114">
                  <c:v>2.1844936490931346</c:v>
                </c:pt>
                <c:pt idx="115">
                  <c:v>2.0086616851200461</c:v>
                </c:pt>
                <c:pt idx="116">
                  <c:v>1.8457801178401496</c:v>
                </c:pt>
                <c:pt idx="117">
                  <c:v>1.6950110852920304</c:v>
                </c:pt>
                <c:pt idx="118">
                  <c:v>1.5555600908642973</c:v>
                </c:pt>
                <c:pt idx="119">
                  <c:v>1.4266747581611199</c:v>
                </c:pt>
                <c:pt idx="120">
                  <c:v>1.3076435236699098</c:v>
                </c:pt>
              </c:numCache>
            </c:numRef>
          </c:val>
          <c:smooth val="0"/>
          <c:extLst>
            <c:ext xmlns:c16="http://schemas.microsoft.com/office/drawing/2014/chart" uri="{C3380CC4-5D6E-409C-BE32-E72D297353CC}">
              <c16:uniqueId val="{00000005-0946-4021-AB04-03D28591097A}"/>
            </c:ext>
          </c:extLst>
        </c:ser>
        <c:dLbls>
          <c:showLegendKey val="0"/>
          <c:showVal val="0"/>
          <c:showCatName val="0"/>
          <c:showSerName val="0"/>
          <c:showPercent val="0"/>
          <c:showBubbleSize val="0"/>
        </c:dLbls>
        <c:smooth val="0"/>
        <c:axId val="1101613096"/>
        <c:axId val="1101618344"/>
      </c:lineChart>
      <c:catAx>
        <c:axId val="1101613096"/>
        <c:scaling>
          <c:orientation val="minMax"/>
        </c:scaling>
        <c:delete val="0"/>
        <c:axPos val="b"/>
        <c:title>
          <c:tx>
            <c:rich>
              <a:bodyPr rot="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r>
                  <a:rPr lang="ja-JP" altLang="en-US" b="1"/>
                  <a:t>原資産価格</a:t>
                </a:r>
                <a:endParaRPr lang="ja-JP" b="1"/>
              </a:p>
            </c:rich>
          </c:tx>
          <c:overlay val="0"/>
          <c:spPr>
            <a:noFill/>
            <a:ln>
              <a:noFill/>
            </a:ln>
            <a:effectLst/>
          </c:spPr>
          <c:txPr>
            <a:bodyPr rot="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0_);[Red]\(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1101618344"/>
        <c:crosses val="autoZero"/>
        <c:auto val="1"/>
        <c:lblAlgn val="ctr"/>
        <c:lblOffset val="100"/>
        <c:tickLblSkip val="10"/>
        <c:noMultiLvlLbl val="0"/>
      </c:catAx>
      <c:valAx>
        <c:axId val="1101618344"/>
        <c:scaling>
          <c:orientation val="minMax"/>
          <c:max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r>
                  <a:rPr lang="ja-JP" altLang="en-US" b="1"/>
                  <a:t>オプション価格</a:t>
                </a:r>
                <a:endParaRPr lang="ja-JP" b="1"/>
              </a:p>
            </c:rich>
          </c:tx>
          <c:layout>
            <c:manualLayout>
              <c:xMode val="edge"/>
              <c:yMode val="edge"/>
              <c:x val="2.40831964969896E-2"/>
              <c:y val="0.35568231322540417"/>
            </c:manualLayout>
          </c:layout>
          <c:overlay val="0"/>
          <c:spPr>
            <a:noFill/>
            <a:ln>
              <a:noFill/>
            </a:ln>
            <a:effectLst/>
          </c:spPr>
          <c:txPr>
            <a:bodyPr rot="-540000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0.0_);[Red]\(#,##0.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1101613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'【演習1-2】 プットオプション価格'!$D$16</c:f>
          <c:strCache>
            <c:ptCount val="1"/>
            <c:pt idx="0">
              <c:v>満期とオプション価格の関係</c:v>
            </c:pt>
          </c:strCache>
        </c:strRef>
      </c:tx>
      <c:overlay val="0"/>
      <c:spPr>
        <a:noFill/>
        <a:ln>
          <a:noFill/>
        </a:ln>
        <a:effectLst/>
      </c:spPr>
      <c:txPr>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endParaRPr lang="ja-JP"/>
        </a:p>
      </c:txPr>
    </c:title>
    <c:autoTitleDeleted val="0"/>
    <c:plotArea>
      <c:layout>
        <c:manualLayout>
          <c:layoutTarget val="inner"/>
          <c:xMode val="edge"/>
          <c:yMode val="edge"/>
          <c:x val="7.9247594050743664E-2"/>
          <c:y val="0.20106481481481481"/>
          <c:w val="0.86888079615048119"/>
          <c:h val="0.60482283464566933"/>
        </c:manualLayout>
      </c:layout>
      <c:lineChart>
        <c:grouping val="standard"/>
        <c:varyColors val="0"/>
        <c:ser>
          <c:idx val="0"/>
          <c:order val="0"/>
          <c:tx>
            <c:strRef>
              <c:f>'【演習1-2】 プットオプション価格'!$L$21</c:f>
              <c:strCache>
                <c:ptCount val="1"/>
                <c:pt idx="0">
                  <c:v>Put</c:v>
                </c:pt>
              </c:strCache>
            </c:strRef>
          </c:tx>
          <c:spPr>
            <a:ln w="28575" cap="rnd">
              <a:solidFill>
                <a:srgbClr val="0070C0"/>
              </a:solidFill>
              <a:round/>
            </a:ln>
            <a:effectLst/>
          </c:spPr>
          <c:marker>
            <c:symbol val="none"/>
          </c:marker>
          <c:cat>
            <c:numRef>
              <c:f>'【演習1-2】 プットオプション価格'!$E$22:$E$142</c:f>
              <c:numCache>
                <c:formatCode>0.0</c:formatCode>
                <c:ptCount val="1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numCache>
            </c:numRef>
          </c:cat>
          <c:val>
            <c:numRef>
              <c:f>'【演習1-2】 プットオプション価格'!$L$22:$L$142</c:f>
              <c:numCache>
                <c:formatCode>0.000</c:formatCode>
                <c:ptCount val="1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numCache>
            </c:numRef>
          </c:val>
          <c:smooth val="0"/>
          <c:extLst>
            <c:ext xmlns:c16="http://schemas.microsoft.com/office/drawing/2014/chart" uri="{C3380CC4-5D6E-409C-BE32-E72D297353CC}">
              <c16:uniqueId val="{00000000-88B0-400C-A107-4E03A4326A9C}"/>
            </c:ext>
          </c:extLst>
        </c:ser>
        <c:dLbls>
          <c:showLegendKey val="0"/>
          <c:showVal val="0"/>
          <c:showCatName val="0"/>
          <c:showSerName val="0"/>
          <c:showPercent val="0"/>
          <c:showBubbleSize val="0"/>
        </c:dLbls>
        <c:smooth val="0"/>
        <c:axId val="838961920"/>
        <c:axId val="838963888"/>
      </c:lineChart>
      <c:catAx>
        <c:axId val="838961920"/>
        <c:scaling>
          <c:orientation val="minMax"/>
        </c:scaling>
        <c:delete val="0"/>
        <c:axPos val="b"/>
        <c:title>
          <c:tx>
            <c:strRef>
              <c:f>'【演習1-2】 プットオプション価格'!$E$21</c:f>
              <c:strCache>
                <c:ptCount val="1"/>
                <c:pt idx="0">
                  <c:v>満期</c:v>
                </c:pt>
              </c:strCache>
            </c:strRef>
          </c:tx>
          <c:overlay val="0"/>
          <c:spPr>
            <a:noFill/>
            <a:ln>
              <a:noFill/>
            </a:ln>
            <a:effectLst/>
          </c:spPr>
          <c:txPr>
            <a:bodyPr rot="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0.0" sourceLinked="1"/>
        <c:majorTickMark val="out"/>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838963888"/>
        <c:crosses val="autoZero"/>
        <c:auto val="1"/>
        <c:lblAlgn val="ctr"/>
        <c:lblOffset val="100"/>
        <c:tickLblSkip val="10"/>
        <c:tickMarkSkip val="10"/>
        <c:noMultiLvlLbl val="0"/>
      </c:catAx>
      <c:valAx>
        <c:axId val="838963888"/>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838961920"/>
        <c:crosses val="autoZero"/>
        <c:crossBetween val="between"/>
      </c:valAx>
      <c:spPr>
        <a:solidFill>
          <a:schemeClr val="lt1"/>
        </a:solidFill>
        <a:ln w="12700" cap="flat" cmpd="sng" algn="ctr">
          <a:solidFill>
            <a:schemeClr val="dk1"/>
          </a:solidFill>
          <a:prstDash val="solid"/>
          <a:miter lim="800000"/>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'【演習1-2】 プットオプション価格'!$N$16</c:f>
          <c:strCache>
            <c:ptCount val="1"/>
            <c:pt idx="0">
              <c:v>ボラティリティとオプション価格の関係</c:v>
            </c:pt>
          </c:strCache>
        </c:strRef>
      </c:tx>
      <c:overlay val="0"/>
      <c:spPr>
        <a:noFill/>
        <a:ln>
          <a:noFill/>
        </a:ln>
        <a:effectLst/>
      </c:spPr>
      <c:txPr>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endParaRPr lang="ja-JP"/>
        </a:p>
      </c:txPr>
    </c:title>
    <c:autoTitleDeleted val="0"/>
    <c:plotArea>
      <c:layout>
        <c:manualLayout>
          <c:layoutTarget val="inner"/>
          <c:xMode val="edge"/>
          <c:yMode val="edge"/>
          <c:x val="8.2175459061769332E-2"/>
          <c:y val="0.20106475496533086"/>
          <c:w val="0.8757904636920385"/>
          <c:h val="0.60945246427529887"/>
        </c:manualLayout>
      </c:layout>
      <c:lineChart>
        <c:grouping val="standard"/>
        <c:varyColors val="0"/>
        <c:ser>
          <c:idx val="0"/>
          <c:order val="0"/>
          <c:tx>
            <c:strRef>
              <c:f>'【演習1-2】 プットオプション価格'!$L$21</c:f>
              <c:strCache>
                <c:ptCount val="1"/>
                <c:pt idx="0">
                  <c:v>Put</c:v>
                </c:pt>
              </c:strCache>
            </c:strRef>
          </c:tx>
          <c:spPr>
            <a:ln w="28575" cap="rnd">
              <a:solidFill>
                <a:srgbClr val="0070C0"/>
              </a:solidFill>
              <a:round/>
            </a:ln>
            <a:effectLst/>
          </c:spPr>
          <c:marker>
            <c:symbol val="none"/>
          </c:marker>
          <c:cat>
            <c:numRef>
              <c:f>'【演習1-2】 プットオプション価格'!$O$22:$O$142</c:f>
              <c:numCache>
                <c:formatCode>0.00%</c:formatCode>
                <c:ptCount val="1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numCache>
            </c:numRef>
          </c:cat>
          <c:val>
            <c:numRef>
              <c:f>'【演習1-2】 プットオプション価格'!$V$22:$V$142</c:f>
              <c:numCache>
                <c:formatCode>0.000</c:formatCode>
                <c:ptCount val="1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numCache>
            </c:numRef>
          </c:val>
          <c:smooth val="0"/>
          <c:extLst>
            <c:ext xmlns:c16="http://schemas.microsoft.com/office/drawing/2014/chart" uri="{C3380CC4-5D6E-409C-BE32-E72D297353CC}">
              <c16:uniqueId val="{00000000-85E2-4B30-8BEC-D38780E0601B}"/>
            </c:ext>
          </c:extLst>
        </c:ser>
        <c:dLbls>
          <c:showLegendKey val="0"/>
          <c:showVal val="0"/>
          <c:showCatName val="0"/>
          <c:showSerName val="0"/>
          <c:showPercent val="0"/>
          <c:showBubbleSize val="0"/>
        </c:dLbls>
        <c:smooth val="0"/>
        <c:axId val="838961920"/>
        <c:axId val="838963888"/>
      </c:lineChart>
      <c:catAx>
        <c:axId val="838961920"/>
        <c:scaling>
          <c:orientation val="minMax"/>
        </c:scaling>
        <c:delete val="0"/>
        <c:axPos val="b"/>
        <c:title>
          <c:tx>
            <c:strRef>
              <c:f>'【演習1-2】 プットオプション価格'!$O$21</c:f>
              <c:strCache>
                <c:ptCount val="1"/>
                <c:pt idx="0">
                  <c:v>ボラティリティ</c:v>
                </c:pt>
              </c:strCache>
            </c:strRef>
          </c:tx>
          <c:overlay val="0"/>
          <c:spPr>
            <a:noFill/>
            <a:ln>
              <a:noFill/>
            </a:ln>
            <a:effectLst/>
          </c:spPr>
          <c:txPr>
            <a:bodyPr rot="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838963888"/>
        <c:crosses val="autoZero"/>
        <c:auto val="1"/>
        <c:lblAlgn val="ctr"/>
        <c:lblOffset val="100"/>
        <c:tickLblSkip val="10"/>
        <c:tickMarkSkip val="10"/>
        <c:noMultiLvlLbl val="0"/>
      </c:catAx>
      <c:valAx>
        <c:axId val="838963888"/>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_);[Red]\(#,##0.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838961920"/>
        <c:crosses val="autoZero"/>
        <c:crossBetween val="between"/>
      </c:valAx>
      <c:spPr>
        <a:solidFill>
          <a:schemeClr val="lt1"/>
        </a:solidFill>
        <a:ln w="12700" cap="flat" cmpd="sng" algn="ctr">
          <a:solidFill>
            <a:schemeClr val="dk1"/>
          </a:solidFill>
          <a:prstDash val="solid"/>
          <a:miter lim="800000"/>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'【演習1-2】 プットオプション価格'!$X$16</c:f>
          <c:strCache>
            <c:ptCount val="1"/>
            <c:pt idx="0">
              <c:v>配当率とオプション価格の関係</c:v>
            </c:pt>
          </c:strCache>
        </c:strRef>
      </c:tx>
      <c:overlay val="0"/>
      <c:spPr>
        <a:noFill/>
        <a:ln>
          <a:noFill/>
        </a:ln>
        <a:effectLst/>
      </c:spPr>
      <c:txPr>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endParaRPr lang="ja-JP"/>
        </a:p>
      </c:txPr>
    </c:title>
    <c:autoTitleDeleted val="0"/>
    <c:plotArea>
      <c:layout>
        <c:manualLayout>
          <c:layoutTarget val="inner"/>
          <c:xMode val="edge"/>
          <c:yMode val="edge"/>
          <c:x val="6.6580927384076991E-2"/>
          <c:y val="0.20106481481481481"/>
          <c:w val="0.8821237970253718"/>
          <c:h val="0.61871172353455806"/>
        </c:manualLayout>
      </c:layout>
      <c:lineChart>
        <c:grouping val="standard"/>
        <c:varyColors val="0"/>
        <c:ser>
          <c:idx val="0"/>
          <c:order val="0"/>
          <c:tx>
            <c:strRef>
              <c:f>'【演習1-2】 プットオプション価格'!$L$21</c:f>
              <c:strCache>
                <c:ptCount val="1"/>
                <c:pt idx="0">
                  <c:v>Put</c:v>
                </c:pt>
              </c:strCache>
            </c:strRef>
          </c:tx>
          <c:spPr>
            <a:ln w="28575" cap="rnd">
              <a:solidFill>
                <a:srgbClr val="0070C0"/>
              </a:solidFill>
              <a:round/>
            </a:ln>
            <a:effectLst/>
          </c:spPr>
          <c:marker>
            <c:symbol val="none"/>
          </c:marker>
          <c:cat>
            <c:numRef>
              <c:f>'【演習1-2】 プットオプション価格'!$Y$22:$Y$142</c:f>
              <c:numCache>
                <c:formatCode>0.00%</c:formatCode>
                <c:ptCount val="1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numCache>
            </c:numRef>
          </c:cat>
          <c:val>
            <c:numRef>
              <c:f>'【演習1-2】 プットオプション価格'!$AF$22:$AF$142</c:f>
              <c:numCache>
                <c:formatCode>0.000</c:formatCode>
                <c:ptCount val="121"/>
                <c:pt idx="0">
                  <c:v>15.752143310149364</c:v>
                </c:pt>
                <c:pt idx="1">
                  <c:v>15.752143310149364</c:v>
                </c:pt>
                <c:pt idx="2">
                  <c:v>15.752143310149364</c:v>
                </c:pt>
                <c:pt idx="3">
                  <c:v>15.752143310149364</c:v>
                </c:pt>
                <c:pt idx="4">
                  <c:v>15.752143310149364</c:v>
                </c:pt>
                <c:pt idx="5">
                  <c:v>15.752143310149364</c:v>
                </c:pt>
                <c:pt idx="6">
                  <c:v>15.752143310149364</c:v>
                </c:pt>
                <c:pt idx="7">
                  <c:v>15.752143310149364</c:v>
                </c:pt>
                <c:pt idx="8">
                  <c:v>15.752143310149364</c:v>
                </c:pt>
                <c:pt idx="9">
                  <c:v>15.752143310149364</c:v>
                </c:pt>
                <c:pt idx="10">
                  <c:v>15.752143310149364</c:v>
                </c:pt>
                <c:pt idx="11">
                  <c:v>15.752143310149364</c:v>
                </c:pt>
                <c:pt idx="12">
                  <c:v>15.752143310149364</c:v>
                </c:pt>
                <c:pt idx="13">
                  <c:v>15.752143310149364</c:v>
                </c:pt>
                <c:pt idx="14">
                  <c:v>15.752143310149364</c:v>
                </c:pt>
                <c:pt idx="15">
                  <c:v>15.752143310149364</c:v>
                </c:pt>
                <c:pt idx="16">
                  <c:v>15.752143310149364</c:v>
                </c:pt>
                <c:pt idx="17">
                  <c:v>15.752143310149364</c:v>
                </c:pt>
                <c:pt idx="18">
                  <c:v>15.752143310149364</c:v>
                </c:pt>
                <c:pt idx="19">
                  <c:v>15.752143310149364</c:v>
                </c:pt>
                <c:pt idx="20">
                  <c:v>15.752143310149364</c:v>
                </c:pt>
                <c:pt idx="21">
                  <c:v>15.752143310149364</c:v>
                </c:pt>
                <c:pt idx="22">
                  <c:v>15.752143310149364</c:v>
                </c:pt>
                <c:pt idx="23">
                  <c:v>15.752143310149364</c:v>
                </c:pt>
                <c:pt idx="24">
                  <c:v>15.752143310149364</c:v>
                </c:pt>
                <c:pt idx="25">
                  <c:v>15.752143310149364</c:v>
                </c:pt>
                <c:pt idx="26">
                  <c:v>15.752143310149364</c:v>
                </c:pt>
                <c:pt idx="27">
                  <c:v>15.752143310149364</c:v>
                </c:pt>
                <c:pt idx="28">
                  <c:v>15.752143310149364</c:v>
                </c:pt>
                <c:pt idx="29">
                  <c:v>15.752143310149364</c:v>
                </c:pt>
                <c:pt idx="30">
                  <c:v>15.752143310149364</c:v>
                </c:pt>
                <c:pt idx="31">
                  <c:v>15.752143310149364</c:v>
                </c:pt>
                <c:pt idx="32">
                  <c:v>15.752143310149364</c:v>
                </c:pt>
                <c:pt idx="33">
                  <c:v>15.752143310149364</c:v>
                </c:pt>
                <c:pt idx="34">
                  <c:v>15.752143310149364</c:v>
                </c:pt>
                <c:pt idx="35">
                  <c:v>15.752143310149364</c:v>
                </c:pt>
                <c:pt idx="36">
                  <c:v>15.752143310149364</c:v>
                </c:pt>
                <c:pt idx="37">
                  <c:v>15.752143310149364</c:v>
                </c:pt>
                <c:pt idx="38">
                  <c:v>15.752143310149364</c:v>
                </c:pt>
                <c:pt idx="39">
                  <c:v>15.752143310149364</c:v>
                </c:pt>
                <c:pt idx="40">
                  <c:v>15.752143310149364</c:v>
                </c:pt>
                <c:pt idx="41">
                  <c:v>15.752143310149364</c:v>
                </c:pt>
                <c:pt idx="42">
                  <c:v>15.752143310149364</c:v>
                </c:pt>
                <c:pt idx="43">
                  <c:v>15.752143310149364</c:v>
                </c:pt>
                <c:pt idx="44">
                  <c:v>15.752143310149364</c:v>
                </c:pt>
                <c:pt idx="45">
                  <c:v>15.752143310149364</c:v>
                </c:pt>
                <c:pt idx="46">
                  <c:v>15.752143310149364</c:v>
                </c:pt>
                <c:pt idx="47">
                  <c:v>15.752143310149364</c:v>
                </c:pt>
                <c:pt idx="48">
                  <c:v>15.752143310149364</c:v>
                </c:pt>
                <c:pt idx="49">
                  <c:v>15.752143310149364</c:v>
                </c:pt>
                <c:pt idx="50">
                  <c:v>15.752143310149364</c:v>
                </c:pt>
                <c:pt idx="51">
                  <c:v>15.752143310149364</c:v>
                </c:pt>
                <c:pt idx="52">
                  <c:v>15.752143310149364</c:v>
                </c:pt>
                <c:pt idx="53">
                  <c:v>15.752143310149364</c:v>
                </c:pt>
                <c:pt idx="54">
                  <c:v>15.752143310149364</c:v>
                </c:pt>
                <c:pt idx="55">
                  <c:v>15.752143310149364</c:v>
                </c:pt>
                <c:pt idx="56">
                  <c:v>15.752143310149364</c:v>
                </c:pt>
                <c:pt idx="57">
                  <c:v>15.752143310149364</c:v>
                </c:pt>
                <c:pt idx="58">
                  <c:v>15.752143310149364</c:v>
                </c:pt>
                <c:pt idx="59">
                  <c:v>15.752143310149364</c:v>
                </c:pt>
                <c:pt idx="60">
                  <c:v>15.752143310149364</c:v>
                </c:pt>
                <c:pt idx="61">
                  <c:v>15.752143310149364</c:v>
                </c:pt>
                <c:pt idx="62">
                  <c:v>15.752143310149364</c:v>
                </c:pt>
                <c:pt idx="63">
                  <c:v>15.752143310149364</c:v>
                </c:pt>
                <c:pt idx="64">
                  <c:v>15.752143310149364</c:v>
                </c:pt>
                <c:pt idx="65">
                  <c:v>15.752143310149364</c:v>
                </c:pt>
                <c:pt idx="66">
                  <c:v>15.752143310149364</c:v>
                </c:pt>
                <c:pt idx="67">
                  <c:v>15.752143310149364</c:v>
                </c:pt>
                <c:pt idx="68">
                  <c:v>15.752143310149364</c:v>
                </c:pt>
                <c:pt idx="69">
                  <c:v>15.752143310149364</c:v>
                </c:pt>
                <c:pt idx="70">
                  <c:v>15.752143310149364</c:v>
                </c:pt>
                <c:pt idx="71">
                  <c:v>15.752143310149364</c:v>
                </c:pt>
                <c:pt idx="72">
                  <c:v>15.752143310149364</c:v>
                </c:pt>
                <c:pt idx="73">
                  <c:v>15.752143310149364</c:v>
                </c:pt>
                <c:pt idx="74">
                  <c:v>15.752143310149364</c:v>
                </c:pt>
                <c:pt idx="75">
                  <c:v>15.752143310149364</c:v>
                </c:pt>
                <c:pt idx="76">
                  <c:v>15.752143310149364</c:v>
                </c:pt>
                <c:pt idx="77">
                  <c:v>15.752143310149364</c:v>
                </c:pt>
                <c:pt idx="78">
                  <c:v>15.752143310149364</c:v>
                </c:pt>
                <c:pt idx="79">
                  <c:v>15.752143310149364</c:v>
                </c:pt>
                <c:pt idx="80">
                  <c:v>15.752143310149364</c:v>
                </c:pt>
                <c:pt idx="81">
                  <c:v>15.752143310149364</c:v>
                </c:pt>
                <c:pt idx="82">
                  <c:v>15.752143310149364</c:v>
                </c:pt>
                <c:pt idx="83">
                  <c:v>15.752143310149364</c:v>
                </c:pt>
                <c:pt idx="84">
                  <c:v>15.752143310149364</c:v>
                </c:pt>
                <c:pt idx="85">
                  <c:v>15.752143310149364</c:v>
                </c:pt>
                <c:pt idx="86">
                  <c:v>15.752143310149364</c:v>
                </c:pt>
                <c:pt idx="87">
                  <c:v>15.752143310149364</c:v>
                </c:pt>
                <c:pt idx="88">
                  <c:v>15.752143310149364</c:v>
                </c:pt>
                <c:pt idx="89">
                  <c:v>15.752143310149364</c:v>
                </c:pt>
                <c:pt idx="90">
                  <c:v>15.752143310149364</c:v>
                </c:pt>
                <c:pt idx="91">
                  <c:v>15.752143310149364</c:v>
                </c:pt>
                <c:pt idx="92">
                  <c:v>15.752143310149364</c:v>
                </c:pt>
                <c:pt idx="93">
                  <c:v>15.752143310149364</c:v>
                </c:pt>
                <c:pt idx="94">
                  <c:v>15.752143310149364</c:v>
                </c:pt>
                <c:pt idx="95">
                  <c:v>15.752143310149364</c:v>
                </c:pt>
                <c:pt idx="96">
                  <c:v>15.752143310149364</c:v>
                </c:pt>
                <c:pt idx="97">
                  <c:v>15.752143310149364</c:v>
                </c:pt>
                <c:pt idx="98">
                  <c:v>15.752143310149364</c:v>
                </c:pt>
                <c:pt idx="99">
                  <c:v>15.752143310149364</c:v>
                </c:pt>
                <c:pt idx="100">
                  <c:v>15.752143310149364</c:v>
                </c:pt>
                <c:pt idx="101">
                  <c:v>15.752143310149364</c:v>
                </c:pt>
                <c:pt idx="102">
                  <c:v>15.752143310149364</c:v>
                </c:pt>
                <c:pt idx="103">
                  <c:v>15.752143310149364</c:v>
                </c:pt>
                <c:pt idx="104">
                  <c:v>15.752143310149364</c:v>
                </c:pt>
                <c:pt idx="105">
                  <c:v>15.752143310149364</c:v>
                </c:pt>
                <c:pt idx="106">
                  <c:v>15.752143310149364</c:v>
                </c:pt>
                <c:pt idx="107">
                  <c:v>15.752143310149364</c:v>
                </c:pt>
                <c:pt idx="108">
                  <c:v>15.752143310149364</c:v>
                </c:pt>
                <c:pt idx="109">
                  <c:v>15.752143310149364</c:v>
                </c:pt>
                <c:pt idx="110">
                  <c:v>15.752143310149364</c:v>
                </c:pt>
                <c:pt idx="111">
                  <c:v>15.752143310149364</c:v>
                </c:pt>
                <c:pt idx="112">
                  <c:v>15.752143310149364</c:v>
                </c:pt>
                <c:pt idx="113">
                  <c:v>15.752143310149364</c:v>
                </c:pt>
                <c:pt idx="114">
                  <c:v>15.752143310149364</c:v>
                </c:pt>
                <c:pt idx="115">
                  <c:v>15.752143310149364</c:v>
                </c:pt>
                <c:pt idx="116">
                  <c:v>15.752143310149364</c:v>
                </c:pt>
                <c:pt idx="117">
                  <c:v>15.752143310149364</c:v>
                </c:pt>
                <c:pt idx="118">
                  <c:v>15.752143310149364</c:v>
                </c:pt>
                <c:pt idx="119">
                  <c:v>15.752143310149364</c:v>
                </c:pt>
                <c:pt idx="120">
                  <c:v>15.752143310149364</c:v>
                </c:pt>
              </c:numCache>
            </c:numRef>
          </c:val>
          <c:smooth val="0"/>
          <c:extLst>
            <c:ext xmlns:c16="http://schemas.microsoft.com/office/drawing/2014/chart" uri="{C3380CC4-5D6E-409C-BE32-E72D297353CC}">
              <c16:uniqueId val="{00000000-355A-4657-BE13-9FE191FD7F14}"/>
            </c:ext>
          </c:extLst>
        </c:ser>
        <c:dLbls>
          <c:showLegendKey val="0"/>
          <c:showVal val="0"/>
          <c:showCatName val="0"/>
          <c:showSerName val="0"/>
          <c:showPercent val="0"/>
          <c:showBubbleSize val="0"/>
        </c:dLbls>
        <c:smooth val="0"/>
        <c:axId val="838961920"/>
        <c:axId val="838963888"/>
      </c:lineChart>
      <c:catAx>
        <c:axId val="838961920"/>
        <c:scaling>
          <c:orientation val="minMax"/>
        </c:scaling>
        <c:delete val="0"/>
        <c:axPos val="b"/>
        <c:title>
          <c:tx>
            <c:strRef>
              <c:f>'【演習1-2】 プットオプション価格'!$Y$21</c:f>
              <c:strCache>
                <c:ptCount val="1"/>
                <c:pt idx="0">
                  <c:v>配当率</c:v>
                </c:pt>
              </c:strCache>
            </c:strRef>
          </c:tx>
          <c:overlay val="0"/>
          <c:spPr>
            <a:noFill/>
            <a:ln>
              <a:noFill/>
            </a:ln>
            <a:effectLst/>
          </c:spPr>
          <c:txPr>
            <a:bodyPr rot="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838963888"/>
        <c:crosses val="autoZero"/>
        <c:auto val="1"/>
        <c:lblAlgn val="ctr"/>
        <c:lblOffset val="100"/>
        <c:tickLblSkip val="10"/>
        <c:tickMarkSkip val="10"/>
        <c:noMultiLvlLbl val="0"/>
      </c:catAx>
      <c:valAx>
        <c:axId val="838963888"/>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838961920"/>
        <c:crosses val="autoZero"/>
        <c:crossBetween val="between"/>
      </c:valAx>
      <c:spPr>
        <a:solidFill>
          <a:schemeClr val="lt1"/>
        </a:solidFill>
        <a:ln w="12700" cap="flat" cmpd="sng" algn="ctr">
          <a:solidFill>
            <a:schemeClr val="dk1"/>
          </a:solidFill>
          <a:prstDash val="solid"/>
          <a:miter lim="800000"/>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r>
              <a:rPr lang="ja-JP" altLang="en-US" b="1"/>
              <a:t>最低保証と契約者の年齢</a:t>
            </a:r>
            <a:endParaRPr lang="ja-JP" b="1"/>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endParaRPr lang="ja-JP"/>
        </a:p>
      </c:txPr>
    </c:title>
    <c:autoTitleDeleted val="0"/>
    <c:plotArea>
      <c:layout>
        <c:manualLayout>
          <c:layoutTarget val="inner"/>
          <c:xMode val="edge"/>
          <c:yMode val="edge"/>
          <c:x val="0.1533939331029949"/>
          <c:y val="0.16931773879142301"/>
          <c:w val="0.7218122593432883"/>
          <c:h val="0.60270428935671316"/>
        </c:manualLayout>
      </c:layout>
      <c:barChart>
        <c:barDir val="col"/>
        <c:grouping val="clustered"/>
        <c:varyColors val="0"/>
        <c:ser>
          <c:idx val="0"/>
          <c:order val="1"/>
          <c:tx>
            <c:strRef>
              <c:f>'【演習2-1】 最低保証にかかる費用算出'!$T$23</c:f>
              <c:strCache>
                <c:ptCount val="1"/>
                <c:pt idx="0">
                  <c:v>生存事由に関する最低保証</c:v>
                </c:pt>
              </c:strCache>
            </c:strRef>
          </c:tx>
          <c:spPr>
            <a:solidFill>
              <a:schemeClr val="accent5"/>
            </a:solidFill>
            <a:ln w="57150" cap="sq">
              <a:solidFill>
                <a:schemeClr val="accent5"/>
              </a:solidFill>
            </a:ln>
            <a:effectLst/>
          </c:spPr>
          <c:invertIfNegative val="0"/>
          <c:cat>
            <c:numRef>
              <c:f>'【演習2-1】 最低保証にかかる費用算出'!Age</c:f>
              <c:numCache>
                <c:formatCode>0_);[Red]\(0\)</c:formatCode>
                <c:ptCount val="62"/>
                <c:pt idx="0">
                  <c:v>60</c:v>
                </c:pt>
                <c:pt idx="1">
                  <c:v>60.041666666666664</c:v>
                </c:pt>
                <c:pt idx="2">
                  <c:v>60.125</c:v>
                </c:pt>
                <c:pt idx="3">
                  <c:v>60.208333333333336</c:v>
                </c:pt>
                <c:pt idx="4">
                  <c:v>60.291666666666664</c:v>
                </c:pt>
                <c:pt idx="5">
                  <c:v>60.375</c:v>
                </c:pt>
                <c:pt idx="6">
                  <c:v>60.458333333333336</c:v>
                </c:pt>
                <c:pt idx="7">
                  <c:v>60.541666666666664</c:v>
                </c:pt>
                <c:pt idx="8">
                  <c:v>60.625</c:v>
                </c:pt>
                <c:pt idx="9">
                  <c:v>60.708333333333336</c:v>
                </c:pt>
                <c:pt idx="10">
                  <c:v>60.791666666666664</c:v>
                </c:pt>
                <c:pt idx="11">
                  <c:v>60.875</c:v>
                </c:pt>
                <c:pt idx="12">
                  <c:v>60.958333333333336</c:v>
                </c:pt>
                <c:pt idx="13">
                  <c:v>61.041666666666664</c:v>
                </c:pt>
                <c:pt idx="14">
                  <c:v>61.125</c:v>
                </c:pt>
                <c:pt idx="15">
                  <c:v>61.208333333333336</c:v>
                </c:pt>
                <c:pt idx="16">
                  <c:v>61.291666666666664</c:v>
                </c:pt>
                <c:pt idx="17">
                  <c:v>61.375</c:v>
                </c:pt>
                <c:pt idx="18">
                  <c:v>61.458333333333336</c:v>
                </c:pt>
                <c:pt idx="19">
                  <c:v>61.541666666666664</c:v>
                </c:pt>
                <c:pt idx="20">
                  <c:v>61.625</c:v>
                </c:pt>
                <c:pt idx="21">
                  <c:v>61.708333333333336</c:v>
                </c:pt>
                <c:pt idx="22">
                  <c:v>61.791666666666664</c:v>
                </c:pt>
                <c:pt idx="23">
                  <c:v>61.875</c:v>
                </c:pt>
                <c:pt idx="24">
                  <c:v>61.958333333333336</c:v>
                </c:pt>
                <c:pt idx="25">
                  <c:v>62.041666666666664</c:v>
                </c:pt>
                <c:pt idx="26">
                  <c:v>62.125</c:v>
                </c:pt>
                <c:pt idx="27">
                  <c:v>62.208333333333336</c:v>
                </c:pt>
                <c:pt idx="28">
                  <c:v>62.291666666666664</c:v>
                </c:pt>
                <c:pt idx="29">
                  <c:v>62.375</c:v>
                </c:pt>
                <c:pt idx="30">
                  <c:v>62.458333333333336</c:v>
                </c:pt>
                <c:pt idx="31">
                  <c:v>62.541666666666664</c:v>
                </c:pt>
                <c:pt idx="32">
                  <c:v>62.625</c:v>
                </c:pt>
                <c:pt idx="33">
                  <c:v>62.708333333333336</c:v>
                </c:pt>
                <c:pt idx="34">
                  <c:v>62.791666666666664</c:v>
                </c:pt>
                <c:pt idx="35">
                  <c:v>62.875</c:v>
                </c:pt>
                <c:pt idx="36">
                  <c:v>62.958333333333336</c:v>
                </c:pt>
                <c:pt idx="37">
                  <c:v>63.041666666666664</c:v>
                </c:pt>
                <c:pt idx="38">
                  <c:v>63.125</c:v>
                </c:pt>
                <c:pt idx="39">
                  <c:v>63.208333333333336</c:v>
                </c:pt>
                <c:pt idx="40">
                  <c:v>63.291666666666664</c:v>
                </c:pt>
                <c:pt idx="41">
                  <c:v>63.375</c:v>
                </c:pt>
                <c:pt idx="42">
                  <c:v>63.458333333333336</c:v>
                </c:pt>
                <c:pt idx="43">
                  <c:v>63.541666666666664</c:v>
                </c:pt>
                <c:pt idx="44">
                  <c:v>63.625</c:v>
                </c:pt>
                <c:pt idx="45">
                  <c:v>63.708333333333336</c:v>
                </c:pt>
                <c:pt idx="46">
                  <c:v>63.791666666666664</c:v>
                </c:pt>
                <c:pt idx="47">
                  <c:v>63.875</c:v>
                </c:pt>
                <c:pt idx="48">
                  <c:v>63.958333333333336</c:v>
                </c:pt>
                <c:pt idx="49">
                  <c:v>64.041666666666671</c:v>
                </c:pt>
                <c:pt idx="50">
                  <c:v>64.125</c:v>
                </c:pt>
                <c:pt idx="51">
                  <c:v>64.208333333333329</c:v>
                </c:pt>
                <c:pt idx="52">
                  <c:v>64.291666666666671</c:v>
                </c:pt>
                <c:pt idx="53">
                  <c:v>64.375</c:v>
                </c:pt>
                <c:pt idx="54">
                  <c:v>64.458333333333329</c:v>
                </c:pt>
                <c:pt idx="55">
                  <c:v>64.541666666666671</c:v>
                </c:pt>
                <c:pt idx="56">
                  <c:v>64.625</c:v>
                </c:pt>
                <c:pt idx="57">
                  <c:v>64.708333333333329</c:v>
                </c:pt>
                <c:pt idx="58">
                  <c:v>64.791666666666671</c:v>
                </c:pt>
                <c:pt idx="59">
                  <c:v>64.875</c:v>
                </c:pt>
                <c:pt idx="60">
                  <c:v>64.958333333333329</c:v>
                </c:pt>
                <c:pt idx="61">
                  <c:v>65</c:v>
                </c:pt>
              </c:numCache>
            </c:numRef>
          </c:cat>
          <c:val>
            <c:numRef>
              <c:f>[0]!guarantee_2</c:f>
              <c:numCache>
                <c:formatCode>General</c:formatCode>
                <c:ptCount val="62"/>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numCache>
            </c:numRef>
          </c:val>
          <c:extLst>
            <c:ext xmlns:c16="http://schemas.microsoft.com/office/drawing/2014/chart" uri="{C3380CC4-5D6E-409C-BE32-E72D297353CC}">
              <c16:uniqueId val="{00000006-A8D1-4DA5-985F-89E183432628}"/>
            </c:ext>
          </c:extLst>
        </c:ser>
        <c:dLbls>
          <c:showLegendKey val="0"/>
          <c:showVal val="0"/>
          <c:showCatName val="0"/>
          <c:showSerName val="0"/>
          <c:showPercent val="0"/>
          <c:showBubbleSize val="0"/>
        </c:dLbls>
        <c:gapWidth val="150"/>
        <c:axId val="593776024"/>
        <c:axId val="593774384"/>
      </c:barChart>
      <c:lineChart>
        <c:grouping val="standard"/>
        <c:varyColors val="0"/>
        <c:ser>
          <c:idx val="1"/>
          <c:order val="0"/>
          <c:tx>
            <c:strRef>
              <c:f>'【演習2-1】 最低保証にかかる費用算出'!$O$23</c:f>
              <c:strCache>
                <c:ptCount val="1"/>
                <c:pt idx="0">
                  <c:v>死亡事由に関する最低保証</c:v>
                </c:pt>
              </c:strCache>
            </c:strRef>
          </c:tx>
          <c:spPr>
            <a:ln w="28575" cap="rnd">
              <a:solidFill>
                <a:schemeClr val="accent2"/>
              </a:solidFill>
              <a:round/>
            </a:ln>
            <a:effectLst/>
          </c:spPr>
          <c:marker>
            <c:symbol val="none"/>
          </c:marker>
          <c:cat>
            <c:numRef>
              <c:f>'【演習2-1】 最低保証にかかる費用算出'!Age</c:f>
              <c:numCache>
                <c:formatCode>0_);[Red]\(0\)</c:formatCode>
                <c:ptCount val="62"/>
                <c:pt idx="0">
                  <c:v>60</c:v>
                </c:pt>
                <c:pt idx="1">
                  <c:v>60.041666666666664</c:v>
                </c:pt>
                <c:pt idx="2">
                  <c:v>60.125</c:v>
                </c:pt>
                <c:pt idx="3">
                  <c:v>60.208333333333336</c:v>
                </c:pt>
                <c:pt idx="4">
                  <c:v>60.291666666666664</c:v>
                </c:pt>
                <c:pt idx="5">
                  <c:v>60.375</c:v>
                </c:pt>
                <c:pt idx="6">
                  <c:v>60.458333333333336</c:v>
                </c:pt>
                <c:pt idx="7">
                  <c:v>60.541666666666664</c:v>
                </c:pt>
                <c:pt idx="8">
                  <c:v>60.625</c:v>
                </c:pt>
                <c:pt idx="9">
                  <c:v>60.708333333333336</c:v>
                </c:pt>
                <c:pt idx="10">
                  <c:v>60.791666666666664</c:v>
                </c:pt>
                <c:pt idx="11">
                  <c:v>60.875</c:v>
                </c:pt>
                <c:pt idx="12">
                  <c:v>60.958333333333336</c:v>
                </c:pt>
                <c:pt idx="13">
                  <c:v>61.041666666666664</c:v>
                </c:pt>
                <c:pt idx="14">
                  <c:v>61.125</c:v>
                </c:pt>
                <c:pt idx="15">
                  <c:v>61.208333333333336</c:v>
                </c:pt>
                <c:pt idx="16">
                  <c:v>61.291666666666664</c:v>
                </c:pt>
                <c:pt idx="17">
                  <c:v>61.375</c:v>
                </c:pt>
                <c:pt idx="18">
                  <c:v>61.458333333333336</c:v>
                </c:pt>
                <c:pt idx="19">
                  <c:v>61.541666666666664</c:v>
                </c:pt>
                <c:pt idx="20">
                  <c:v>61.625</c:v>
                </c:pt>
                <c:pt idx="21">
                  <c:v>61.708333333333336</c:v>
                </c:pt>
                <c:pt idx="22">
                  <c:v>61.791666666666664</c:v>
                </c:pt>
                <c:pt idx="23">
                  <c:v>61.875</c:v>
                </c:pt>
                <c:pt idx="24">
                  <c:v>61.958333333333336</c:v>
                </c:pt>
                <c:pt idx="25">
                  <c:v>62.041666666666664</c:v>
                </c:pt>
                <c:pt idx="26">
                  <c:v>62.125</c:v>
                </c:pt>
                <c:pt idx="27">
                  <c:v>62.208333333333336</c:v>
                </c:pt>
                <c:pt idx="28">
                  <c:v>62.291666666666664</c:v>
                </c:pt>
                <c:pt idx="29">
                  <c:v>62.375</c:v>
                </c:pt>
                <c:pt idx="30">
                  <c:v>62.458333333333336</c:v>
                </c:pt>
                <c:pt idx="31">
                  <c:v>62.541666666666664</c:v>
                </c:pt>
                <c:pt idx="32">
                  <c:v>62.625</c:v>
                </c:pt>
                <c:pt idx="33">
                  <c:v>62.708333333333336</c:v>
                </c:pt>
                <c:pt idx="34">
                  <c:v>62.791666666666664</c:v>
                </c:pt>
                <c:pt idx="35">
                  <c:v>62.875</c:v>
                </c:pt>
                <c:pt idx="36">
                  <c:v>62.958333333333336</c:v>
                </c:pt>
                <c:pt idx="37">
                  <c:v>63.041666666666664</c:v>
                </c:pt>
                <c:pt idx="38">
                  <c:v>63.125</c:v>
                </c:pt>
                <c:pt idx="39">
                  <c:v>63.208333333333336</c:v>
                </c:pt>
                <c:pt idx="40">
                  <c:v>63.291666666666664</c:v>
                </c:pt>
                <c:pt idx="41">
                  <c:v>63.375</c:v>
                </c:pt>
                <c:pt idx="42">
                  <c:v>63.458333333333336</c:v>
                </c:pt>
                <c:pt idx="43">
                  <c:v>63.541666666666664</c:v>
                </c:pt>
                <c:pt idx="44">
                  <c:v>63.625</c:v>
                </c:pt>
                <c:pt idx="45">
                  <c:v>63.708333333333336</c:v>
                </c:pt>
                <c:pt idx="46">
                  <c:v>63.791666666666664</c:v>
                </c:pt>
                <c:pt idx="47">
                  <c:v>63.875</c:v>
                </c:pt>
                <c:pt idx="48">
                  <c:v>63.958333333333336</c:v>
                </c:pt>
                <c:pt idx="49">
                  <c:v>64.041666666666671</c:v>
                </c:pt>
                <c:pt idx="50">
                  <c:v>64.125</c:v>
                </c:pt>
                <c:pt idx="51">
                  <c:v>64.208333333333329</c:v>
                </c:pt>
                <c:pt idx="52">
                  <c:v>64.291666666666671</c:v>
                </c:pt>
                <c:pt idx="53">
                  <c:v>64.375</c:v>
                </c:pt>
                <c:pt idx="54">
                  <c:v>64.458333333333329</c:v>
                </c:pt>
                <c:pt idx="55">
                  <c:v>64.541666666666671</c:v>
                </c:pt>
                <c:pt idx="56">
                  <c:v>64.625</c:v>
                </c:pt>
                <c:pt idx="57">
                  <c:v>64.708333333333329</c:v>
                </c:pt>
                <c:pt idx="58">
                  <c:v>64.791666666666671</c:v>
                </c:pt>
                <c:pt idx="59">
                  <c:v>64.875</c:v>
                </c:pt>
                <c:pt idx="60">
                  <c:v>64.958333333333329</c:v>
                </c:pt>
                <c:pt idx="61">
                  <c:v>65</c:v>
                </c:pt>
              </c:numCache>
            </c:numRef>
          </c:cat>
          <c:val>
            <c:numRef>
              <c:f>[0]!guarantee1</c:f>
              <c:numCache>
                <c:formatCode>#,##0.0000;[Red]\-#,##0.0000</c:formatCode>
                <c:ptCount val="61"/>
                <c:pt idx="1">
                  <c:v>2.3487578877831091E-3</c:v>
                </c:pt>
                <c:pt idx="2">
                  <c:v>4.2878236216880678E-3</c:v>
                </c:pt>
                <c:pt idx="3">
                  <c:v>5.7325214977305868E-3</c:v>
                </c:pt>
                <c:pt idx="4">
                  <c:v>6.9731651222333137E-3</c:v>
                </c:pt>
                <c:pt idx="5">
                  <c:v>8.0940178159840271E-3</c:v>
                </c:pt>
                <c:pt idx="6">
                  <c:v>9.133574155586386E-3</c:v>
                </c:pt>
                <c:pt idx="7">
                  <c:v>1.011323816235183E-2</c:v>
                </c:pt>
                <c:pt idx="8">
                  <c:v>1.1046357822469466E-2</c:v>
                </c:pt>
                <c:pt idx="9">
                  <c:v>1.1941915880835985E-2</c:v>
                </c:pt>
                <c:pt idx="10">
                  <c:v>1.2806296134756846E-2</c:v>
                </c:pt>
                <c:pt idx="11">
                  <c:v>1.3644225549149817E-2</c:v>
                </c:pt>
                <c:pt idx="12">
                  <c:v>1.445931840315619E-2</c:v>
                </c:pt>
                <c:pt idx="13">
                  <c:v>1.6006373002903754E-2</c:v>
                </c:pt>
                <c:pt idx="14">
                  <c:v>1.6822056625893377E-2</c:v>
                </c:pt>
                <c:pt idx="15">
                  <c:v>1.7621083126744989E-2</c:v>
                </c:pt>
                <c:pt idx="16">
                  <c:v>1.8405063282924017E-2</c:v>
                </c:pt>
                <c:pt idx="17">
                  <c:v>1.9175348381785032E-2</c:v>
                </c:pt>
                <c:pt idx="18">
                  <c:v>1.9933084862635096E-2</c:v>
                </c:pt>
                <c:pt idx="19">
                  <c:v>2.0679255032163068E-2</c:v>
                </c:pt>
                <c:pt idx="20">
                  <c:v>2.1414707956271872E-2</c:v>
                </c:pt>
                <c:pt idx="21">
                  <c:v>2.2140183276128451E-2</c:v>
                </c:pt>
                <c:pt idx="22">
                  <c:v>2.2856329831629885E-2</c:v>
                </c:pt>
                <c:pt idx="23">
                  <c:v>2.3563720410878911E-2</c:v>
                </c:pt>
                <c:pt idx="24">
                  <c:v>2.4262863566051576E-2</c:v>
                </c:pt>
                <c:pt idx="25">
                  <c:v>2.6941832451888449E-2</c:v>
                </c:pt>
                <c:pt idx="26">
                  <c:v>2.7680273648862462E-2</c:v>
                </c:pt>
                <c:pt idx="27">
                  <c:v>2.8411135796124001E-2</c:v>
                </c:pt>
                <c:pt idx="28">
                  <c:v>2.9134776847317041E-2</c:v>
                </c:pt>
                <c:pt idx="29">
                  <c:v>2.9851521733975706E-2</c:v>
                </c:pt>
                <c:pt idx="30">
                  <c:v>3.0561666438190676E-2</c:v>
                </c:pt>
                <c:pt idx="31">
                  <c:v>3.1265481445271477E-2</c:v>
                </c:pt>
                <c:pt idx="32">
                  <c:v>3.1963214687354406E-2</c:v>
                </c:pt>
                <c:pt idx="33">
                  <c:v>3.2655094066839488E-2</c:v>
                </c:pt>
                <c:pt idx="34">
                  <c:v>3.3341329630584587E-2</c:v>
                </c:pt>
                <c:pt idx="35">
                  <c:v>3.4022115451687353E-2</c:v>
                </c:pt>
                <c:pt idx="36">
                  <c:v>3.46976312658566E-2</c:v>
                </c:pt>
                <c:pt idx="37">
                  <c:v>3.8489503642316486E-2</c:v>
                </c:pt>
                <c:pt idx="38">
                  <c:v>3.9213699844291627E-2</c:v>
                </c:pt>
                <c:pt idx="39">
                  <c:v>3.9932668719945698E-2</c:v>
                </c:pt>
                <c:pt idx="40">
                  <c:v>4.0646557218504395E-2</c:v>
                </c:pt>
                <c:pt idx="41">
                  <c:v>4.135550279778661E-2</c:v>
                </c:pt>
                <c:pt idx="42">
                  <c:v>4.2059634256877219E-2</c:v>
                </c:pt>
                <c:pt idx="43">
                  <c:v>4.2759072478265478E-2</c:v>
                </c:pt>
                <c:pt idx="44">
                  <c:v>4.3453931090795032E-2</c:v>
                </c:pt>
                <c:pt idx="45">
                  <c:v>4.4144317063901532E-2</c:v>
                </c:pt>
                <c:pt idx="46">
                  <c:v>4.4830331241276791E-2</c:v>
                </c:pt>
                <c:pt idx="47">
                  <c:v>4.5512068821468202E-2</c:v>
                </c:pt>
                <c:pt idx="48">
                  <c:v>4.6189619791647533E-2</c:v>
                </c:pt>
                <c:pt idx="49">
                  <c:v>5.0971772682947718E-2</c:v>
                </c:pt>
                <c:pt idx="50">
                  <c:v>5.1699893411602624E-2</c:v>
                </c:pt>
                <c:pt idx="51">
                  <c:v>5.2423724164009901E-2</c:v>
                </c:pt>
                <c:pt idx="52">
                  <c:v>5.3143344034171668E-2</c:v>
                </c:pt>
                <c:pt idx="53">
                  <c:v>5.3858828224369278E-2</c:v>
                </c:pt>
                <c:pt idx="54">
                  <c:v>5.4570248311444899E-2</c:v>
                </c:pt>
                <c:pt idx="55">
                  <c:v>5.5277672490687046E-2</c:v>
                </c:pt>
                <c:pt idx="56">
                  <c:v>5.5981165799017941E-2</c:v>
                </c:pt>
                <c:pt idx="57">
                  <c:v>5.6680790320285487E-2</c:v>
                </c:pt>
                <c:pt idx="58">
                  <c:v>5.7376605373678169E-2</c:v>
                </c:pt>
                <c:pt idx="59">
                  <c:v>5.8068667687388414E-2</c:v>
                </c:pt>
                <c:pt idx="60">
                  <c:v>5.8757031558686876E-2</c:v>
                </c:pt>
              </c:numCache>
            </c:numRef>
          </c:val>
          <c:smooth val="0"/>
          <c:extLst>
            <c:ext xmlns:c16="http://schemas.microsoft.com/office/drawing/2014/chart" uri="{C3380CC4-5D6E-409C-BE32-E72D297353CC}">
              <c16:uniqueId val="{00000001-3953-4403-8231-7424A6829C24}"/>
            </c:ext>
          </c:extLst>
        </c:ser>
        <c:dLbls>
          <c:showLegendKey val="0"/>
          <c:showVal val="0"/>
          <c:showCatName val="0"/>
          <c:showSerName val="0"/>
          <c:showPercent val="0"/>
          <c:showBubbleSize val="0"/>
        </c:dLbls>
        <c:marker val="1"/>
        <c:smooth val="0"/>
        <c:axId val="775628880"/>
        <c:axId val="775631176"/>
      </c:lineChart>
      <c:catAx>
        <c:axId val="775628880"/>
        <c:scaling>
          <c:orientation val="minMax"/>
        </c:scaling>
        <c:delete val="0"/>
        <c:axPos val="b"/>
        <c:title>
          <c:tx>
            <c:rich>
              <a:bodyPr rot="0" spcFirstLastPara="1" vertOverflow="ellipsis" vert="horz" wrap="square" anchor="ctr" anchorCtr="1"/>
              <a:lstStyle/>
              <a:p>
                <a:pPr>
                  <a:defRPr lang="ja-JP" sz="1000" b="1" i="0" u="none" strike="noStrike" kern="1200" baseline="0">
                    <a:solidFill>
                      <a:sysClr val="windowText" lastClr="000000"/>
                    </a:solidFill>
                    <a:latin typeface="+mn-lt"/>
                    <a:ea typeface="+mn-ea"/>
                    <a:cs typeface="+mn-cs"/>
                  </a:defRPr>
                </a:pPr>
                <a:r>
                  <a:rPr lang="ja-JP" altLang="en-US" b="1"/>
                  <a:t>契約者の年齢</a:t>
                </a:r>
              </a:p>
            </c:rich>
          </c:tx>
          <c:overlay val="0"/>
          <c:spPr>
            <a:noFill/>
            <a:ln>
              <a:noFill/>
            </a:ln>
            <a:effectLst/>
          </c:spPr>
          <c:txPr>
            <a:bodyPr rot="0" spcFirstLastPara="1" vertOverflow="ellipsis" vert="horz" wrap="square" anchor="ctr" anchorCtr="1"/>
            <a:lstStyle/>
            <a:p>
              <a:pPr>
                <a:defRPr lang="ja-JP" sz="1000" b="1" i="0" u="none" strike="noStrike" kern="1200" baseline="0">
                  <a:solidFill>
                    <a:sysClr val="windowText" lastClr="000000"/>
                  </a:solidFill>
                  <a:latin typeface="+mn-lt"/>
                  <a:ea typeface="+mn-ea"/>
                  <a:cs typeface="+mn-cs"/>
                </a:defRPr>
              </a:pPr>
              <a:endParaRPr lang="ja-JP"/>
            </a:p>
          </c:txPr>
        </c:title>
        <c:numFmt formatCode="0_);[Red]\(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775631176"/>
        <c:crosses val="autoZero"/>
        <c:auto val="1"/>
        <c:lblAlgn val="ctr"/>
        <c:lblOffset val="100"/>
        <c:tickLblSkip val="12"/>
        <c:noMultiLvlLbl val="0"/>
      </c:catAx>
      <c:valAx>
        <c:axId val="775631176"/>
        <c:scaling>
          <c:orientation val="minMax"/>
          <c:max val="0.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1" i="0" u="none" strike="noStrike" kern="1200" baseline="0">
                    <a:solidFill>
                      <a:sysClr val="windowText" lastClr="000000"/>
                    </a:solidFill>
                    <a:latin typeface="+mn-lt"/>
                    <a:ea typeface="+mn-ea"/>
                    <a:cs typeface="+mn-cs"/>
                  </a:defRPr>
                </a:pPr>
                <a:r>
                  <a:rPr lang="ja-JP" altLang="en-US" b="1"/>
                  <a:t>死亡事由に関する最低保証</a:t>
                </a:r>
              </a:p>
            </c:rich>
          </c:tx>
          <c:overlay val="0"/>
          <c:spPr>
            <a:noFill/>
            <a:ln>
              <a:noFill/>
            </a:ln>
            <a:effectLst/>
          </c:spPr>
          <c:txPr>
            <a:bodyPr rot="-5400000" spcFirstLastPara="1" vertOverflow="ellipsis" vert="horz" wrap="square" anchor="ctr" anchorCtr="1"/>
            <a:lstStyle/>
            <a:p>
              <a:pPr>
                <a:defRPr lang="ja-JP" sz="1000" b="1" i="0" u="none" strike="noStrike" kern="1200" baseline="0">
                  <a:solidFill>
                    <a:sysClr val="windowText" lastClr="000000"/>
                  </a:solidFill>
                  <a:latin typeface="+mn-lt"/>
                  <a:ea typeface="+mn-ea"/>
                  <a:cs typeface="+mn-cs"/>
                </a:defRPr>
              </a:pPr>
              <a:endParaRPr lang="ja-JP"/>
            </a:p>
          </c:txPr>
        </c:title>
        <c:numFmt formatCode="#,##0.00_);[Red]\(#,##0.0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775628880"/>
        <c:crosses val="autoZero"/>
        <c:crossBetween val="between"/>
      </c:valAx>
      <c:valAx>
        <c:axId val="593774384"/>
        <c:scaling>
          <c:orientation val="minMax"/>
          <c:min val="0"/>
        </c:scaling>
        <c:delete val="0"/>
        <c:axPos val="r"/>
        <c:title>
          <c:tx>
            <c:rich>
              <a:bodyPr rot="-540000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r>
                  <a:rPr lang="ja-JP" altLang="en-US" b="1"/>
                  <a:t>生存事由に関する最低保証</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593776024"/>
        <c:crosses val="max"/>
        <c:crossBetween val="between"/>
      </c:valAx>
      <c:catAx>
        <c:axId val="593776024"/>
        <c:scaling>
          <c:orientation val="minMax"/>
        </c:scaling>
        <c:delete val="1"/>
        <c:axPos val="b"/>
        <c:numFmt formatCode="0_);[Red]\(0\)" sourceLinked="1"/>
        <c:majorTickMark val="out"/>
        <c:minorTickMark val="none"/>
        <c:tickLblPos val="nextTo"/>
        <c:crossAx val="5937743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r>
              <a:rPr lang="ja-JP" altLang="en-US" b="1"/>
              <a:t>契約の残存年数とオプション価格</a:t>
            </a:r>
            <a:endParaRPr lang="en-US" altLang="ja-JP" b="1"/>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endParaRPr lang="ja-JP"/>
        </a:p>
      </c:txPr>
    </c:title>
    <c:autoTitleDeleted val="0"/>
    <c:plotArea>
      <c:layout>
        <c:manualLayout>
          <c:layoutTarget val="inner"/>
          <c:xMode val="edge"/>
          <c:yMode val="edge"/>
          <c:x val="0.14706644720257425"/>
          <c:y val="0.16833333333333333"/>
          <c:w val="0.80672805729792252"/>
          <c:h val="0.68512238295794425"/>
        </c:manualLayout>
      </c:layout>
      <c:lineChart>
        <c:grouping val="standard"/>
        <c:varyColors val="0"/>
        <c:ser>
          <c:idx val="0"/>
          <c:order val="0"/>
          <c:tx>
            <c:strRef>
              <c:f>'【演習2-1】 最低保証にかかる費用算出'!$J$23</c:f>
              <c:strCache>
                <c:ptCount val="1"/>
                <c:pt idx="0">
                  <c:v>Put</c:v>
                </c:pt>
              </c:strCache>
            </c:strRef>
          </c:tx>
          <c:spPr>
            <a:ln w="28575" cap="rnd">
              <a:solidFill>
                <a:schemeClr val="accent5"/>
              </a:solidFill>
              <a:round/>
            </a:ln>
            <a:effectLst/>
          </c:spPr>
          <c:marker>
            <c:symbol val="none"/>
          </c:marker>
          <c:cat>
            <c:numRef>
              <c:f>'【演習2-1】 最低保証にかかる費用算出'!Age</c:f>
              <c:numCache>
                <c:formatCode>0_);[Red]\(0\)</c:formatCode>
                <c:ptCount val="62"/>
                <c:pt idx="0">
                  <c:v>60</c:v>
                </c:pt>
                <c:pt idx="1">
                  <c:v>60.041666666666664</c:v>
                </c:pt>
                <c:pt idx="2">
                  <c:v>60.125</c:v>
                </c:pt>
                <c:pt idx="3">
                  <c:v>60.208333333333336</c:v>
                </c:pt>
                <c:pt idx="4">
                  <c:v>60.291666666666664</c:v>
                </c:pt>
                <c:pt idx="5">
                  <c:v>60.375</c:v>
                </c:pt>
                <c:pt idx="6">
                  <c:v>60.458333333333336</c:v>
                </c:pt>
                <c:pt idx="7">
                  <c:v>60.541666666666664</c:v>
                </c:pt>
                <c:pt idx="8">
                  <c:v>60.625</c:v>
                </c:pt>
                <c:pt idx="9">
                  <c:v>60.708333333333336</c:v>
                </c:pt>
                <c:pt idx="10">
                  <c:v>60.791666666666664</c:v>
                </c:pt>
                <c:pt idx="11">
                  <c:v>60.875</c:v>
                </c:pt>
                <c:pt idx="12">
                  <c:v>60.958333333333336</c:v>
                </c:pt>
                <c:pt idx="13">
                  <c:v>61.041666666666664</c:v>
                </c:pt>
                <c:pt idx="14">
                  <c:v>61.125</c:v>
                </c:pt>
                <c:pt idx="15">
                  <c:v>61.208333333333336</c:v>
                </c:pt>
                <c:pt idx="16">
                  <c:v>61.291666666666664</c:v>
                </c:pt>
                <c:pt idx="17">
                  <c:v>61.375</c:v>
                </c:pt>
                <c:pt idx="18">
                  <c:v>61.458333333333336</c:v>
                </c:pt>
                <c:pt idx="19">
                  <c:v>61.541666666666664</c:v>
                </c:pt>
                <c:pt idx="20">
                  <c:v>61.625</c:v>
                </c:pt>
                <c:pt idx="21">
                  <c:v>61.708333333333336</c:v>
                </c:pt>
                <c:pt idx="22">
                  <c:v>61.791666666666664</c:v>
                </c:pt>
                <c:pt idx="23">
                  <c:v>61.875</c:v>
                </c:pt>
                <c:pt idx="24">
                  <c:v>61.958333333333336</c:v>
                </c:pt>
                <c:pt idx="25">
                  <c:v>62.041666666666664</c:v>
                </c:pt>
                <c:pt idx="26">
                  <c:v>62.125</c:v>
                </c:pt>
                <c:pt idx="27">
                  <c:v>62.208333333333336</c:v>
                </c:pt>
                <c:pt idx="28">
                  <c:v>62.291666666666664</c:v>
                </c:pt>
                <c:pt idx="29">
                  <c:v>62.375</c:v>
                </c:pt>
                <c:pt idx="30">
                  <c:v>62.458333333333336</c:v>
                </c:pt>
                <c:pt idx="31">
                  <c:v>62.541666666666664</c:v>
                </c:pt>
                <c:pt idx="32">
                  <c:v>62.625</c:v>
                </c:pt>
                <c:pt idx="33">
                  <c:v>62.708333333333336</c:v>
                </c:pt>
                <c:pt idx="34">
                  <c:v>62.791666666666664</c:v>
                </c:pt>
                <c:pt idx="35">
                  <c:v>62.875</c:v>
                </c:pt>
                <c:pt idx="36">
                  <c:v>62.958333333333336</c:v>
                </c:pt>
                <c:pt idx="37">
                  <c:v>63.041666666666664</c:v>
                </c:pt>
                <c:pt idx="38">
                  <c:v>63.125</c:v>
                </c:pt>
                <c:pt idx="39">
                  <c:v>63.208333333333336</c:v>
                </c:pt>
                <c:pt idx="40">
                  <c:v>63.291666666666664</c:v>
                </c:pt>
                <c:pt idx="41">
                  <c:v>63.375</c:v>
                </c:pt>
                <c:pt idx="42">
                  <c:v>63.458333333333336</c:v>
                </c:pt>
                <c:pt idx="43">
                  <c:v>63.541666666666664</c:v>
                </c:pt>
                <c:pt idx="44">
                  <c:v>63.625</c:v>
                </c:pt>
                <c:pt idx="45">
                  <c:v>63.708333333333336</c:v>
                </c:pt>
                <c:pt idx="46">
                  <c:v>63.791666666666664</c:v>
                </c:pt>
                <c:pt idx="47">
                  <c:v>63.875</c:v>
                </c:pt>
                <c:pt idx="48">
                  <c:v>63.958333333333336</c:v>
                </c:pt>
                <c:pt idx="49">
                  <c:v>64.041666666666671</c:v>
                </c:pt>
                <c:pt idx="50">
                  <c:v>64.125</c:v>
                </c:pt>
                <c:pt idx="51">
                  <c:v>64.208333333333329</c:v>
                </c:pt>
                <c:pt idx="52">
                  <c:v>64.291666666666671</c:v>
                </c:pt>
                <c:pt idx="53">
                  <c:v>64.375</c:v>
                </c:pt>
                <c:pt idx="54">
                  <c:v>64.458333333333329</c:v>
                </c:pt>
                <c:pt idx="55">
                  <c:v>64.541666666666671</c:v>
                </c:pt>
                <c:pt idx="56">
                  <c:v>64.625</c:v>
                </c:pt>
                <c:pt idx="57">
                  <c:v>64.708333333333329</c:v>
                </c:pt>
                <c:pt idx="58">
                  <c:v>64.791666666666671</c:v>
                </c:pt>
                <c:pt idx="59">
                  <c:v>64.875</c:v>
                </c:pt>
                <c:pt idx="60">
                  <c:v>64.958333333333329</c:v>
                </c:pt>
                <c:pt idx="61">
                  <c:v>65</c:v>
                </c:pt>
              </c:numCache>
            </c:numRef>
          </c:cat>
          <c:val>
            <c:numRef>
              <c:f>[0]!PutOption</c:f>
              <c:numCache>
                <c:formatCode>0.000</c:formatCode>
                <c:ptCount val="62"/>
                <c:pt idx="1">
                  <c:v>4.390201659407162</c:v>
                </c:pt>
                <c:pt idx="2">
                  <c:v>8.0146235919426925</c:v>
                </c:pt>
                <c:pt idx="3">
                  <c:v>10.714993453700766</c:v>
                </c:pt>
                <c:pt idx="4">
                  <c:v>13.033953499502687</c:v>
                </c:pt>
                <c:pt idx="5">
                  <c:v>15.129005263519758</c:v>
                </c:pt>
                <c:pt idx="6">
                  <c:v>17.07210122539664</c:v>
                </c:pt>
                <c:pt idx="7">
                  <c:v>18.903248901589972</c:v>
                </c:pt>
                <c:pt idx="8">
                  <c:v>20.647397799010193</c:v>
                </c:pt>
                <c:pt idx="9">
                  <c:v>22.321338095017897</c:v>
                </c:pt>
                <c:pt idx="10">
                  <c:v>23.937002121042973</c:v>
                </c:pt>
                <c:pt idx="11">
                  <c:v>25.503225325510662</c:v>
                </c:pt>
                <c:pt idx="12">
                  <c:v>27.026763370387815</c:v>
                </c:pt>
                <c:pt idx="13">
                  <c:v>28.512916646820184</c:v>
                </c:pt>
                <c:pt idx="14">
                  <c:v>29.965932839092151</c:v>
                </c:pt>
                <c:pt idx="15">
                  <c:v>31.389276904169531</c:v>
                </c:pt>
                <c:pt idx="16">
                  <c:v>32.78581819694373</c:v>
                </c:pt>
                <c:pt idx="17">
                  <c:v>34.157963830056232</c:v>
                </c:pt>
                <c:pt idx="18">
                  <c:v>35.507756010648173</c:v>
                </c:pt>
                <c:pt idx="19">
                  <c:v>36.836944568488661</c:v>
                </c:pt>
                <c:pt idx="20">
                  <c:v>38.147041985247256</c:v>
                </c:pt>
                <c:pt idx="21">
                  <c:v>39.439365819050664</c:v>
                </c:pt>
                <c:pt idx="22">
                  <c:v>40.715071879394216</c:v>
                </c:pt>
                <c:pt idx="23">
                  <c:v>41.975180501079983</c:v>
                </c:pt>
                <c:pt idx="24">
                  <c:v>43.220597592386092</c:v>
                </c:pt>
                <c:pt idx="25">
                  <c:v>44.45213167259562</c:v>
                </c:pt>
                <c:pt idx="26">
                  <c:v>45.670507793789355</c:v>
                </c:pt>
                <c:pt idx="27">
                  <c:v>46.876379015146583</c:v>
                </c:pt>
                <c:pt idx="28">
                  <c:v>48.070335935078027</c:v>
                </c:pt>
                <c:pt idx="29">
                  <c:v>49.252914667754283</c:v>
                </c:pt>
                <c:pt idx="30">
                  <c:v>50.424603562903641</c:v>
                </c:pt>
                <c:pt idx="31">
                  <c:v>51.585848902239029</c:v>
                </c:pt>
                <c:pt idx="32">
                  <c:v>52.737059756374094</c:v>
                </c:pt>
                <c:pt idx="33">
                  <c:v>53.878612148323413</c:v>
                </c:pt>
                <c:pt idx="34">
                  <c:v>55.010852640584766</c:v>
                </c:pt>
                <c:pt idx="35">
                  <c:v>56.134101440190896</c:v>
                </c:pt>
                <c:pt idx="36">
                  <c:v>57.248655098399475</c:v>
                </c:pt>
                <c:pt idx="37">
                  <c:v>58.354788867701082</c:v>
                </c:pt>
                <c:pt idx="38">
                  <c:v>59.452758767697091</c:v>
                </c:pt>
                <c:pt idx="39">
                  <c:v>60.542803402492403</c:v>
                </c:pt>
                <c:pt idx="40">
                  <c:v>61.625145565062461</c:v>
                </c:pt>
                <c:pt idx="41">
                  <c:v>62.699993658240103</c:v>
                </c:pt>
                <c:pt idx="42">
                  <c:v>63.76754295721269</c:v>
                </c:pt>
                <c:pt idx="43">
                  <c:v>64.82797673453544</c:v>
                </c:pt>
                <c:pt idx="44">
                  <c:v>65.881467265457374</c:v>
                </c:pt>
                <c:pt idx="45">
                  <c:v>66.928176728698134</c:v>
                </c:pt>
                <c:pt idx="46">
                  <c:v>67.968258015612165</c:v>
                </c:pt>
                <c:pt idx="47">
                  <c:v>69.00185545882546</c:v>
                </c:pt>
                <c:pt idx="48">
                  <c:v>70.029105489882014</c:v>
                </c:pt>
                <c:pt idx="49">
                  <c:v>71.050137234135889</c:v>
                </c:pt>
                <c:pt idx="50">
                  <c:v>72.065073050021169</c:v>
                </c:pt>
                <c:pt idx="51">
                  <c:v>73.07402901888959</c:v>
                </c:pt>
                <c:pt idx="52">
                  <c:v>74.077115390820254</c:v>
                </c:pt>
                <c:pt idx="53">
                  <c:v>75.074436991110943</c:v>
                </c:pt>
                <c:pt idx="54">
                  <c:v>76.066093591587659</c:v>
                </c:pt>
                <c:pt idx="55">
                  <c:v>77.05218025036136</c:v>
                </c:pt>
                <c:pt idx="56">
                  <c:v>78.032787623224877</c:v>
                </c:pt>
                <c:pt idx="57">
                  <c:v>79.008002249516721</c:v>
                </c:pt>
                <c:pt idx="58">
                  <c:v>79.977906814944447</c:v>
                </c:pt>
                <c:pt idx="59">
                  <c:v>80.942580393584649</c:v>
                </c:pt>
                <c:pt idx="60">
                  <c:v>81.902098671024234</c:v>
                </c:pt>
                <c:pt idx="61">
                  <c:v>82.379947348029219</c:v>
                </c:pt>
              </c:numCache>
            </c:numRef>
          </c:val>
          <c:smooth val="0"/>
          <c:extLst>
            <c:ext xmlns:c16="http://schemas.microsoft.com/office/drawing/2014/chart" uri="{C3380CC4-5D6E-409C-BE32-E72D297353CC}">
              <c16:uniqueId val="{00000000-D182-4195-9D70-4444CE805DC8}"/>
            </c:ext>
          </c:extLst>
        </c:ser>
        <c:dLbls>
          <c:showLegendKey val="0"/>
          <c:showVal val="0"/>
          <c:showCatName val="0"/>
          <c:showSerName val="0"/>
          <c:showPercent val="0"/>
          <c:showBubbleSize val="0"/>
        </c:dLbls>
        <c:smooth val="0"/>
        <c:axId val="1102884960"/>
        <c:axId val="1102885288"/>
      </c:lineChart>
      <c:catAx>
        <c:axId val="1102884960"/>
        <c:scaling>
          <c:orientation val="minMax"/>
        </c:scaling>
        <c:delete val="0"/>
        <c:axPos val="b"/>
        <c:title>
          <c:tx>
            <c:rich>
              <a:bodyPr rot="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r>
                  <a:rPr lang="ja-JP" altLang="en-US" b="1"/>
                  <a:t>契約者の年齢</a:t>
                </a:r>
              </a:p>
            </c:rich>
          </c:tx>
          <c:overlay val="0"/>
          <c:spPr>
            <a:noFill/>
            <a:ln>
              <a:noFill/>
            </a:ln>
            <a:effectLst/>
          </c:spPr>
          <c:txPr>
            <a:bodyPr rot="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1102885288"/>
        <c:crosses val="autoZero"/>
        <c:auto val="1"/>
        <c:lblAlgn val="ctr"/>
        <c:lblOffset val="100"/>
        <c:tickLblSkip val="12"/>
        <c:noMultiLvlLbl val="0"/>
      </c:catAx>
      <c:valAx>
        <c:axId val="1102885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r>
                  <a:rPr lang="ja-JP" altLang="en-US" b="1"/>
                  <a:t>オプション価格</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1102884960"/>
        <c:crosses val="autoZero"/>
        <c:crossBetween val="between"/>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'【演習2-2】 最低保証にかかる費用算出'!$T$16</c:f>
          <c:strCache>
            <c:ptCount val="1"/>
            <c:pt idx="0">
              <c:v>契約期間と最低保証にかかる費用の関係</c:v>
            </c:pt>
          </c:strCache>
        </c:strRef>
      </c:tx>
      <c:overlay val="0"/>
      <c:spPr>
        <a:noFill/>
        <a:ln>
          <a:noFill/>
        </a:ln>
        <a:effectLst/>
      </c:spPr>
      <c:txPr>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endParaRPr lang="ja-JP"/>
        </a:p>
      </c:txPr>
    </c:title>
    <c:autoTitleDeleted val="0"/>
    <c:plotArea>
      <c:layout>
        <c:manualLayout>
          <c:layoutTarget val="inner"/>
          <c:xMode val="edge"/>
          <c:yMode val="edge"/>
          <c:x val="0.11301571480780093"/>
          <c:y val="0.14814814814814814"/>
          <c:w val="0.8312619466870439"/>
          <c:h val="0.66662839020122489"/>
        </c:manualLayout>
      </c:layout>
      <c:scatterChart>
        <c:scatterStyle val="lineMarker"/>
        <c:varyColors val="0"/>
        <c:ser>
          <c:idx val="0"/>
          <c:order val="0"/>
          <c:tx>
            <c:strRef>
              <c:f>'【演習2-2】 最低保証にかかる費用算出'!$D$18</c:f>
              <c:strCache>
                <c:ptCount val="1"/>
                <c:pt idx="0">
                  <c:v>最低保証にかかる費用</c:v>
                </c:pt>
              </c:strCache>
            </c:strRef>
          </c:tx>
          <c:spPr>
            <a:ln w="19050" cap="rnd">
              <a:solidFill>
                <a:schemeClr val="accent1"/>
              </a:solidFill>
              <a:round/>
            </a:ln>
            <a:effectLst/>
          </c:spPr>
          <c:marker>
            <c:symbol val="circle"/>
            <c:size val="5"/>
            <c:spPr>
              <a:solidFill>
                <a:srgbClr val="0070C0"/>
              </a:solidFill>
              <a:ln w="9525">
                <a:solidFill>
                  <a:srgbClr val="0070C0"/>
                </a:solidFill>
              </a:ln>
              <a:effectLst/>
            </c:spPr>
          </c:marker>
          <c:xVal>
            <c:numRef>
              <c:f>'【演習2-2】 最低保証にかかる費用算出'!$U$17:$Y$17</c:f>
              <c:numCache>
                <c:formatCode>0"年"</c:formatCode>
                <c:ptCount val="5"/>
              </c:numCache>
            </c:numRef>
          </c:xVal>
          <c:yVal>
            <c:numRef>
              <c:f>'【演習2-2】 最低保証にかかる費用算出'!$U$18:$Y$18</c:f>
              <c:numCache>
                <c:formatCode>0.00%</c:formatCode>
                <c:ptCount val="5"/>
              </c:numCache>
            </c:numRef>
          </c:yVal>
          <c:smooth val="0"/>
          <c:extLst>
            <c:ext xmlns:c16="http://schemas.microsoft.com/office/drawing/2014/chart" uri="{C3380CC4-5D6E-409C-BE32-E72D297353CC}">
              <c16:uniqueId val="{00000000-BFE0-425C-AE70-E303F726295F}"/>
            </c:ext>
          </c:extLst>
        </c:ser>
        <c:dLbls>
          <c:showLegendKey val="0"/>
          <c:showVal val="0"/>
          <c:showCatName val="0"/>
          <c:showSerName val="0"/>
          <c:showPercent val="0"/>
          <c:showBubbleSize val="0"/>
        </c:dLbls>
        <c:axId val="1679349376"/>
        <c:axId val="1679351344"/>
      </c:scatterChart>
      <c:valAx>
        <c:axId val="1679349376"/>
        <c:scaling>
          <c:orientation val="minMax"/>
        </c:scaling>
        <c:delete val="0"/>
        <c:axPos val="b"/>
        <c:majorGridlines>
          <c:spPr>
            <a:ln w="9525" cap="flat" cmpd="sng" algn="ctr">
              <a:noFill/>
              <a:round/>
            </a:ln>
            <a:effectLst/>
          </c:spPr>
        </c:majorGridlines>
        <c:title>
          <c:tx>
            <c:strRef>
              <c:f>'【演習2-2】 最低保証にかかる費用算出'!$T$17</c:f>
              <c:strCache>
                <c:ptCount val="1"/>
                <c:pt idx="0">
                  <c:v>契約期間</c:v>
                </c:pt>
              </c:strCache>
            </c:strRef>
          </c:tx>
          <c:overlay val="0"/>
          <c:spPr>
            <a:noFill/>
            <a:ln>
              <a:noFill/>
            </a:ln>
            <a:effectLst/>
          </c:spPr>
          <c:txPr>
            <a:bodyPr rot="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0&quot;年&quot;" sourceLinked="1"/>
        <c:majorTickMark val="out"/>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1679351344"/>
        <c:crosses val="autoZero"/>
        <c:crossBetween val="midCat"/>
      </c:valAx>
      <c:valAx>
        <c:axId val="1679351344"/>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1679349376"/>
        <c:crosses val="autoZero"/>
        <c:crossBetween val="midCat"/>
      </c:valAx>
      <c:spPr>
        <a:solidFill>
          <a:schemeClr val="lt1"/>
        </a:solidFill>
        <a:ln w="12700" cap="flat" cmpd="sng" algn="ctr">
          <a:solidFill>
            <a:schemeClr val="dk1"/>
          </a:solidFill>
          <a:prstDash val="solid"/>
          <a:miter lim="800000"/>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'【演習2-2】 最低保証にかかる費用算出'!$L$16</c:f>
          <c:strCache>
            <c:ptCount val="1"/>
            <c:pt idx="0">
              <c:v>年齢と最低保証にかかる費用の関係</c:v>
            </c:pt>
          </c:strCache>
        </c:strRef>
      </c:tx>
      <c:overlay val="0"/>
      <c:spPr>
        <a:noFill/>
        <a:ln>
          <a:noFill/>
        </a:ln>
        <a:effectLst/>
      </c:spPr>
      <c:txPr>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endParaRPr lang="ja-JP"/>
        </a:p>
      </c:txPr>
    </c:title>
    <c:autoTitleDeleted val="0"/>
    <c:plotArea>
      <c:layout>
        <c:manualLayout>
          <c:layoutTarget val="inner"/>
          <c:xMode val="edge"/>
          <c:yMode val="edge"/>
          <c:x val="0.11301571480780093"/>
          <c:y val="0.14814814814814814"/>
          <c:w val="0.8312619466870439"/>
          <c:h val="0.66662839020122489"/>
        </c:manualLayout>
      </c:layout>
      <c:scatterChart>
        <c:scatterStyle val="lineMarker"/>
        <c:varyColors val="0"/>
        <c:ser>
          <c:idx val="0"/>
          <c:order val="0"/>
          <c:tx>
            <c:strRef>
              <c:f>'【演習2-2】 最低保証にかかる費用算出'!$D$18</c:f>
              <c:strCache>
                <c:ptCount val="1"/>
                <c:pt idx="0">
                  <c:v>最低保証にかかる費用</c:v>
                </c:pt>
              </c:strCache>
            </c:strRef>
          </c:tx>
          <c:spPr>
            <a:ln w="19050" cap="rnd">
              <a:solidFill>
                <a:schemeClr val="accent1"/>
              </a:solidFill>
              <a:round/>
            </a:ln>
            <a:effectLst/>
          </c:spPr>
          <c:marker>
            <c:symbol val="circle"/>
            <c:size val="5"/>
            <c:spPr>
              <a:solidFill>
                <a:srgbClr val="0070C0"/>
              </a:solidFill>
              <a:ln w="9525">
                <a:solidFill>
                  <a:srgbClr val="0070C0"/>
                </a:solidFill>
              </a:ln>
              <a:effectLst/>
            </c:spPr>
          </c:marker>
          <c:xVal>
            <c:numRef>
              <c:f>'【演習2-2】 最低保証にかかる費用算出'!$M$17:$Q$17</c:f>
              <c:numCache>
                <c:formatCode>0"歳"</c:formatCode>
                <c:ptCount val="5"/>
              </c:numCache>
            </c:numRef>
          </c:xVal>
          <c:yVal>
            <c:numRef>
              <c:f>'【演習2-2】 最低保証にかかる費用算出'!$M$18:$Q$18</c:f>
              <c:numCache>
                <c:formatCode>0.00%</c:formatCode>
                <c:ptCount val="5"/>
              </c:numCache>
            </c:numRef>
          </c:yVal>
          <c:smooth val="0"/>
          <c:extLst>
            <c:ext xmlns:c16="http://schemas.microsoft.com/office/drawing/2014/chart" uri="{C3380CC4-5D6E-409C-BE32-E72D297353CC}">
              <c16:uniqueId val="{00000000-BFE0-425C-AE70-E303F726295F}"/>
            </c:ext>
          </c:extLst>
        </c:ser>
        <c:dLbls>
          <c:showLegendKey val="0"/>
          <c:showVal val="0"/>
          <c:showCatName val="0"/>
          <c:showSerName val="0"/>
          <c:showPercent val="0"/>
          <c:showBubbleSize val="0"/>
        </c:dLbls>
        <c:axId val="1679349376"/>
        <c:axId val="1679351344"/>
      </c:scatterChart>
      <c:valAx>
        <c:axId val="1679349376"/>
        <c:scaling>
          <c:orientation val="minMax"/>
        </c:scaling>
        <c:delete val="0"/>
        <c:axPos val="b"/>
        <c:majorGridlines>
          <c:spPr>
            <a:ln w="9525" cap="flat" cmpd="sng" algn="ctr">
              <a:noFill/>
              <a:round/>
            </a:ln>
            <a:effectLst/>
          </c:spPr>
        </c:majorGridlines>
        <c:title>
          <c:tx>
            <c:strRef>
              <c:f>'【演習2-2】 最低保証にかかる費用算出'!$L$17</c:f>
              <c:strCache>
                <c:ptCount val="1"/>
                <c:pt idx="0">
                  <c:v>年齢</c:v>
                </c:pt>
              </c:strCache>
            </c:strRef>
          </c:tx>
          <c:overlay val="0"/>
          <c:spPr>
            <a:noFill/>
            <a:ln>
              <a:noFill/>
            </a:ln>
            <a:effectLst/>
          </c:spPr>
          <c:txPr>
            <a:bodyPr rot="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0&quot;歳&quot;" sourceLinked="1"/>
        <c:majorTickMark val="out"/>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1679351344"/>
        <c:crosses val="autoZero"/>
        <c:crossBetween val="midCat"/>
      </c:valAx>
      <c:valAx>
        <c:axId val="1679351344"/>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1679349376"/>
        <c:crosses val="autoZero"/>
        <c:crossBetween val="midCat"/>
      </c:valAx>
      <c:spPr>
        <a:solidFill>
          <a:schemeClr val="lt1"/>
        </a:solidFill>
        <a:ln w="12700" cap="flat" cmpd="sng" algn="ctr">
          <a:solidFill>
            <a:schemeClr val="dk1"/>
          </a:solidFill>
          <a:prstDash val="solid"/>
          <a:miter lim="800000"/>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'【演習2-2】 最低保証にかかる費用算出'!$AB$16</c:f>
          <c:strCache>
            <c:ptCount val="1"/>
            <c:pt idx="0">
              <c:v>行使価格と最低保証にかかる費用の関係</c:v>
            </c:pt>
          </c:strCache>
        </c:strRef>
      </c:tx>
      <c:overlay val="0"/>
      <c:spPr>
        <a:noFill/>
        <a:ln>
          <a:noFill/>
        </a:ln>
        <a:effectLst/>
      </c:spPr>
      <c:txPr>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endParaRPr lang="ja-JP"/>
        </a:p>
      </c:txPr>
    </c:title>
    <c:autoTitleDeleted val="0"/>
    <c:plotArea>
      <c:layout>
        <c:manualLayout>
          <c:layoutTarget val="inner"/>
          <c:xMode val="edge"/>
          <c:yMode val="edge"/>
          <c:x val="0.11934492563429572"/>
          <c:y val="0.14814814814814814"/>
          <c:w val="0.81900918635170616"/>
          <c:h val="0.66236913094196559"/>
        </c:manualLayout>
      </c:layout>
      <c:scatterChart>
        <c:scatterStyle val="lineMarker"/>
        <c:varyColors val="0"/>
        <c:ser>
          <c:idx val="0"/>
          <c:order val="0"/>
          <c:tx>
            <c:strRef>
              <c:f>'【演習2-2】 最低保証にかかる費用算出'!$D$18</c:f>
              <c:strCache>
                <c:ptCount val="1"/>
                <c:pt idx="0">
                  <c:v>最低保証にかかる費用</c:v>
                </c:pt>
              </c:strCache>
            </c:strRef>
          </c:tx>
          <c:spPr>
            <a:ln w="19050" cap="rnd">
              <a:solidFill>
                <a:schemeClr val="accent1"/>
              </a:solidFill>
              <a:round/>
            </a:ln>
            <a:effectLst/>
          </c:spPr>
          <c:marker>
            <c:symbol val="circle"/>
            <c:size val="5"/>
            <c:spPr>
              <a:solidFill>
                <a:srgbClr val="0070C0"/>
              </a:solidFill>
              <a:ln w="9525">
                <a:solidFill>
                  <a:srgbClr val="0070C0"/>
                </a:solidFill>
              </a:ln>
              <a:effectLst/>
            </c:spPr>
          </c:marker>
          <c:xVal>
            <c:numRef>
              <c:f>'【演習2-2】 最低保証にかかる費用算出'!$AC$17:$AG$17</c:f>
              <c:numCache>
                <c:formatCode>#,##0_);[Red]\(#,##0\)</c:formatCode>
                <c:ptCount val="5"/>
              </c:numCache>
            </c:numRef>
          </c:xVal>
          <c:yVal>
            <c:numRef>
              <c:f>'【演習2-2】 最低保証にかかる費用算出'!$AC$18:$AG$18</c:f>
              <c:numCache>
                <c:formatCode>0.00%</c:formatCode>
                <c:ptCount val="5"/>
              </c:numCache>
            </c:numRef>
          </c:yVal>
          <c:smooth val="0"/>
          <c:extLst>
            <c:ext xmlns:c16="http://schemas.microsoft.com/office/drawing/2014/chart" uri="{C3380CC4-5D6E-409C-BE32-E72D297353CC}">
              <c16:uniqueId val="{00000000-4D4F-47FD-8D32-CCECBF55B063}"/>
            </c:ext>
          </c:extLst>
        </c:ser>
        <c:dLbls>
          <c:showLegendKey val="0"/>
          <c:showVal val="0"/>
          <c:showCatName val="0"/>
          <c:showSerName val="0"/>
          <c:showPercent val="0"/>
          <c:showBubbleSize val="0"/>
        </c:dLbls>
        <c:axId val="1679349376"/>
        <c:axId val="1679351344"/>
      </c:scatterChart>
      <c:valAx>
        <c:axId val="1679349376"/>
        <c:scaling>
          <c:orientation val="minMax"/>
        </c:scaling>
        <c:delete val="0"/>
        <c:axPos val="b"/>
        <c:majorGridlines>
          <c:spPr>
            <a:ln w="9525" cap="flat" cmpd="sng" algn="ctr">
              <a:noFill/>
              <a:round/>
            </a:ln>
            <a:effectLst/>
          </c:spPr>
        </c:majorGridlines>
        <c:title>
          <c:tx>
            <c:strRef>
              <c:f>'【演習2-2】 最低保証にかかる費用算出'!$AB$17</c:f>
              <c:strCache>
                <c:ptCount val="1"/>
                <c:pt idx="0">
                  <c:v>行使価格</c:v>
                </c:pt>
              </c:strCache>
            </c:strRef>
          </c:tx>
          <c:overlay val="0"/>
          <c:spPr>
            <a:noFill/>
            <a:ln>
              <a:noFill/>
            </a:ln>
            <a:effectLst/>
          </c:spPr>
          <c:txPr>
            <a:bodyPr rot="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0_);[Red]\(#,##0\)" sourceLinked="1"/>
        <c:majorTickMark val="out"/>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1679351344"/>
        <c:crosses val="autoZero"/>
        <c:crossBetween val="midCat"/>
      </c:valAx>
      <c:valAx>
        <c:axId val="1679351344"/>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1679349376"/>
        <c:crosses val="autoZero"/>
        <c:crossBetween val="midCat"/>
      </c:valAx>
      <c:spPr>
        <a:solidFill>
          <a:schemeClr val="lt1"/>
        </a:solidFill>
        <a:ln w="12700" cap="flat" cmpd="sng" algn="ctr">
          <a:solidFill>
            <a:schemeClr val="dk1"/>
          </a:solidFill>
          <a:prstDash val="solid"/>
          <a:miter lim="800000"/>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'【演習2-2】 最低保証にかかる費用算出'!$D$16</c:f>
          <c:strCache>
            <c:ptCount val="1"/>
            <c:pt idx="0">
              <c:v>ボラティリティと最低保証にかかる費用の関係</c:v>
            </c:pt>
          </c:strCache>
        </c:strRef>
      </c:tx>
      <c:overlay val="0"/>
      <c:spPr>
        <a:noFill/>
        <a:ln>
          <a:noFill/>
        </a:ln>
        <a:effectLst/>
      </c:spPr>
      <c:txPr>
        <a:bodyPr rot="0" spcFirstLastPara="1" vertOverflow="ellipsis" vert="horz" wrap="square" anchor="ctr" anchorCtr="1"/>
        <a:lstStyle/>
        <a:p>
          <a:pPr>
            <a:defRPr lang="ja-JP" sz="1200" b="0" i="0" u="none" strike="noStrike" kern="1200" spc="0" baseline="0">
              <a:solidFill>
                <a:sysClr val="windowText" lastClr="000000"/>
              </a:solidFill>
              <a:latin typeface="+mn-lt"/>
              <a:ea typeface="+mn-ea"/>
              <a:cs typeface="+mn-cs"/>
            </a:defRPr>
          </a:pPr>
          <a:endParaRPr lang="ja-JP"/>
        </a:p>
      </c:txPr>
    </c:title>
    <c:autoTitleDeleted val="0"/>
    <c:plotArea>
      <c:layout>
        <c:manualLayout>
          <c:layoutTarget val="inner"/>
          <c:xMode val="edge"/>
          <c:yMode val="edge"/>
          <c:x val="0.116258627393798"/>
          <c:y val="0.15740740740740741"/>
          <c:w val="0.82364100320793232"/>
          <c:h val="0.66479950422863809"/>
        </c:manualLayout>
      </c:layout>
      <c:scatterChart>
        <c:scatterStyle val="lineMarker"/>
        <c:varyColors val="0"/>
        <c:ser>
          <c:idx val="0"/>
          <c:order val="0"/>
          <c:tx>
            <c:strRef>
              <c:f>'【演習2-2】 最低保証にかかる費用算出'!$D$18</c:f>
              <c:strCache>
                <c:ptCount val="1"/>
                <c:pt idx="0">
                  <c:v>最低保証にかかる費用</c:v>
                </c:pt>
              </c:strCache>
            </c:strRef>
          </c:tx>
          <c:spPr>
            <a:ln w="19050" cap="rnd">
              <a:solidFill>
                <a:srgbClr val="0070C0"/>
              </a:solidFill>
              <a:round/>
            </a:ln>
            <a:effectLst/>
          </c:spPr>
          <c:marker>
            <c:symbol val="circle"/>
            <c:size val="5"/>
            <c:spPr>
              <a:solidFill>
                <a:srgbClr val="0070C0"/>
              </a:solidFill>
              <a:ln w="9525">
                <a:solidFill>
                  <a:srgbClr val="0070C0"/>
                </a:solidFill>
              </a:ln>
              <a:effectLst/>
            </c:spPr>
          </c:marker>
          <c:xVal>
            <c:numRef>
              <c:f>'【演習2-2】 最低保証にかかる費用算出'!$E$17:$I$17</c:f>
              <c:numCache>
                <c:formatCode>0.00%</c:formatCode>
                <c:ptCount val="5"/>
              </c:numCache>
            </c:numRef>
          </c:xVal>
          <c:yVal>
            <c:numRef>
              <c:f>'【演習2-2】 最低保証にかかる費用算出'!$E$18:$I$18</c:f>
              <c:numCache>
                <c:formatCode>0.00%</c:formatCode>
                <c:ptCount val="5"/>
              </c:numCache>
            </c:numRef>
          </c:yVal>
          <c:smooth val="0"/>
          <c:extLst>
            <c:ext xmlns:c16="http://schemas.microsoft.com/office/drawing/2014/chart" uri="{C3380CC4-5D6E-409C-BE32-E72D297353CC}">
              <c16:uniqueId val="{00000000-FDDB-462E-A173-CEA284E86E95}"/>
            </c:ext>
          </c:extLst>
        </c:ser>
        <c:dLbls>
          <c:showLegendKey val="0"/>
          <c:showVal val="0"/>
          <c:showCatName val="0"/>
          <c:showSerName val="0"/>
          <c:showPercent val="0"/>
          <c:showBubbleSize val="0"/>
        </c:dLbls>
        <c:axId val="1679349376"/>
        <c:axId val="1679351344"/>
      </c:scatterChart>
      <c:valAx>
        <c:axId val="1679349376"/>
        <c:scaling>
          <c:orientation val="minMax"/>
        </c:scaling>
        <c:delete val="0"/>
        <c:axPos val="b"/>
        <c:majorGridlines>
          <c:spPr>
            <a:ln w="9525" cap="flat" cmpd="sng" algn="ctr">
              <a:noFill/>
              <a:round/>
            </a:ln>
            <a:effectLst/>
          </c:spPr>
        </c:majorGridlines>
        <c:title>
          <c:tx>
            <c:strRef>
              <c:f>'【演習2-2】 最低保証にかかる費用算出'!$D$17</c:f>
              <c:strCache>
                <c:ptCount val="1"/>
                <c:pt idx="0">
                  <c:v>ボラティリティ</c:v>
                </c:pt>
              </c:strCache>
            </c:strRef>
          </c:tx>
          <c:overlay val="0"/>
          <c:spPr>
            <a:noFill/>
            <a:ln>
              <a:noFill/>
            </a:ln>
            <a:effectLst/>
          </c:spPr>
          <c:txPr>
            <a:bodyPr rot="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0.00%" sourceLinked="1"/>
        <c:majorTickMark val="out"/>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1679351344"/>
        <c:crosses val="autoZero"/>
        <c:crossBetween val="midCat"/>
      </c:valAx>
      <c:valAx>
        <c:axId val="1679351344"/>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1679349376"/>
        <c:crosses val="autoZero"/>
        <c:crossBetween val="midCat"/>
      </c:valAx>
      <c:spPr>
        <a:solidFill>
          <a:schemeClr val="lt1"/>
        </a:solidFill>
        <a:ln w="12700" cap="flat" cmpd="sng" algn="ctr">
          <a:solidFill>
            <a:schemeClr val="dk1"/>
          </a:solidFill>
          <a:prstDash val="solid"/>
          <a:miter lim="800000"/>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r>
              <a:rPr lang="ja-JP" altLang="en-US" b="1"/>
              <a:t>最低保証と契約者の年齢</a:t>
            </a:r>
            <a:endParaRPr lang="ja-JP" b="1"/>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endParaRPr lang="ja-JP"/>
        </a:p>
      </c:txPr>
    </c:title>
    <c:autoTitleDeleted val="0"/>
    <c:plotArea>
      <c:layout>
        <c:manualLayout>
          <c:layoutTarget val="inner"/>
          <c:xMode val="edge"/>
          <c:yMode val="edge"/>
          <c:x val="0.1533939331029949"/>
          <c:y val="0.16931773879142301"/>
          <c:w val="0.7218122593432883"/>
          <c:h val="0.60270428935671316"/>
        </c:manualLayout>
      </c:layout>
      <c:barChart>
        <c:barDir val="col"/>
        <c:grouping val="clustered"/>
        <c:varyColors val="0"/>
        <c:ser>
          <c:idx val="0"/>
          <c:order val="1"/>
          <c:tx>
            <c:strRef>
              <c:f>'【演習2+α】 最低保証の内容'!$T$22</c:f>
              <c:strCache>
                <c:ptCount val="1"/>
                <c:pt idx="0">
                  <c:v>生存事由に関する最低保証</c:v>
                </c:pt>
              </c:strCache>
            </c:strRef>
          </c:tx>
          <c:spPr>
            <a:solidFill>
              <a:schemeClr val="accent5"/>
            </a:solidFill>
            <a:ln w="57150" cap="sq">
              <a:solidFill>
                <a:schemeClr val="accent5"/>
              </a:solidFill>
            </a:ln>
            <a:effectLst/>
          </c:spPr>
          <c:invertIfNegative val="0"/>
          <c:cat>
            <c:numRef>
              <c:f>'【演習2+α】 最低保証の内容'!$C$23:$C$144</c:f>
              <c:numCache>
                <c:formatCode>0_);[Red]\(0\)</c:formatCode>
                <c:ptCount val="122"/>
                <c:pt idx="0">
                  <c:v>60</c:v>
                </c:pt>
                <c:pt idx="1">
                  <c:v>60.041666666666664</c:v>
                </c:pt>
                <c:pt idx="2">
                  <c:v>60.125</c:v>
                </c:pt>
                <c:pt idx="3">
                  <c:v>60.208333333333336</c:v>
                </c:pt>
                <c:pt idx="4">
                  <c:v>60.291666666666664</c:v>
                </c:pt>
                <c:pt idx="5">
                  <c:v>60.375</c:v>
                </c:pt>
                <c:pt idx="6">
                  <c:v>60.458333333333336</c:v>
                </c:pt>
                <c:pt idx="7">
                  <c:v>60.541666666666664</c:v>
                </c:pt>
                <c:pt idx="8">
                  <c:v>60.625</c:v>
                </c:pt>
                <c:pt idx="9">
                  <c:v>60.708333333333336</c:v>
                </c:pt>
                <c:pt idx="10">
                  <c:v>60.791666666666664</c:v>
                </c:pt>
                <c:pt idx="11">
                  <c:v>60.875</c:v>
                </c:pt>
                <c:pt idx="12">
                  <c:v>60.958333333333336</c:v>
                </c:pt>
                <c:pt idx="13">
                  <c:v>61.041666666666664</c:v>
                </c:pt>
                <c:pt idx="14">
                  <c:v>61.125</c:v>
                </c:pt>
                <c:pt idx="15">
                  <c:v>61.208333333333336</c:v>
                </c:pt>
                <c:pt idx="16">
                  <c:v>61.291666666666664</c:v>
                </c:pt>
                <c:pt idx="17">
                  <c:v>61.375</c:v>
                </c:pt>
                <c:pt idx="18">
                  <c:v>61.458333333333336</c:v>
                </c:pt>
                <c:pt idx="19">
                  <c:v>61.541666666666664</c:v>
                </c:pt>
                <c:pt idx="20">
                  <c:v>61.625</c:v>
                </c:pt>
                <c:pt idx="21">
                  <c:v>61.708333333333336</c:v>
                </c:pt>
                <c:pt idx="22">
                  <c:v>61.791666666666664</c:v>
                </c:pt>
                <c:pt idx="23">
                  <c:v>61.875</c:v>
                </c:pt>
                <c:pt idx="24">
                  <c:v>61.958333333333336</c:v>
                </c:pt>
                <c:pt idx="25">
                  <c:v>62.041666666666664</c:v>
                </c:pt>
                <c:pt idx="26">
                  <c:v>62.125</c:v>
                </c:pt>
                <c:pt idx="27">
                  <c:v>62.208333333333336</c:v>
                </c:pt>
                <c:pt idx="28">
                  <c:v>62.291666666666664</c:v>
                </c:pt>
                <c:pt idx="29">
                  <c:v>62.375</c:v>
                </c:pt>
                <c:pt idx="30">
                  <c:v>62.458333333333336</c:v>
                </c:pt>
                <c:pt idx="31">
                  <c:v>62.541666666666664</c:v>
                </c:pt>
                <c:pt idx="32">
                  <c:v>62.625</c:v>
                </c:pt>
                <c:pt idx="33">
                  <c:v>62.708333333333336</c:v>
                </c:pt>
                <c:pt idx="34">
                  <c:v>62.791666666666664</c:v>
                </c:pt>
                <c:pt idx="35">
                  <c:v>62.875</c:v>
                </c:pt>
                <c:pt idx="36">
                  <c:v>62.958333333333336</c:v>
                </c:pt>
                <c:pt idx="37">
                  <c:v>63.041666666666664</c:v>
                </c:pt>
                <c:pt idx="38">
                  <c:v>63.125</c:v>
                </c:pt>
                <c:pt idx="39">
                  <c:v>63.208333333333336</c:v>
                </c:pt>
                <c:pt idx="40">
                  <c:v>63.291666666666664</c:v>
                </c:pt>
                <c:pt idx="41">
                  <c:v>63.375</c:v>
                </c:pt>
                <c:pt idx="42">
                  <c:v>63.458333333333336</c:v>
                </c:pt>
                <c:pt idx="43">
                  <c:v>63.541666666666664</c:v>
                </c:pt>
                <c:pt idx="44">
                  <c:v>63.625</c:v>
                </c:pt>
                <c:pt idx="45">
                  <c:v>63.708333333333336</c:v>
                </c:pt>
                <c:pt idx="46">
                  <c:v>63.791666666666664</c:v>
                </c:pt>
                <c:pt idx="47">
                  <c:v>63.875</c:v>
                </c:pt>
                <c:pt idx="48">
                  <c:v>63.958333333333336</c:v>
                </c:pt>
                <c:pt idx="49">
                  <c:v>64.041666666666671</c:v>
                </c:pt>
                <c:pt idx="50">
                  <c:v>64.125</c:v>
                </c:pt>
                <c:pt idx="51">
                  <c:v>64.208333333333329</c:v>
                </c:pt>
                <c:pt idx="52">
                  <c:v>64.291666666666671</c:v>
                </c:pt>
                <c:pt idx="53">
                  <c:v>64.375</c:v>
                </c:pt>
                <c:pt idx="54">
                  <c:v>64.458333333333329</c:v>
                </c:pt>
                <c:pt idx="55">
                  <c:v>64.541666666666671</c:v>
                </c:pt>
                <c:pt idx="56">
                  <c:v>64.625</c:v>
                </c:pt>
                <c:pt idx="57">
                  <c:v>64.708333333333329</c:v>
                </c:pt>
                <c:pt idx="58">
                  <c:v>64.791666666666671</c:v>
                </c:pt>
                <c:pt idx="59">
                  <c:v>64.875</c:v>
                </c:pt>
                <c:pt idx="60">
                  <c:v>64.958333333333329</c:v>
                </c:pt>
                <c:pt idx="61">
                  <c:v>65.041666666666671</c:v>
                </c:pt>
                <c:pt idx="62">
                  <c:v>65.125</c:v>
                </c:pt>
                <c:pt idx="63">
                  <c:v>65.208333333333329</c:v>
                </c:pt>
                <c:pt idx="64">
                  <c:v>65.291666666666671</c:v>
                </c:pt>
                <c:pt idx="65">
                  <c:v>65.375</c:v>
                </c:pt>
                <c:pt idx="66">
                  <c:v>65.458333333333329</c:v>
                </c:pt>
                <c:pt idx="67">
                  <c:v>65.541666666666671</c:v>
                </c:pt>
                <c:pt idx="68">
                  <c:v>65.625</c:v>
                </c:pt>
                <c:pt idx="69">
                  <c:v>65.708333333333329</c:v>
                </c:pt>
                <c:pt idx="70">
                  <c:v>65.791666666666671</c:v>
                </c:pt>
                <c:pt idx="71">
                  <c:v>65.875</c:v>
                </c:pt>
                <c:pt idx="72">
                  <c:v>65.958333333333329</c:v>
                </c:pt>
                <c:pt idx="73">
                  <c:v>66.041666666666671</c:v>
                </c:pt>
                <c:pt idx="74">
                  <c:v>66.125</c:v>
                </c:pt>
                <c:pt idx="75">
                  <c:v>66.208333333333329</c:v>
                </c:pt>
                <c:pt idx="76">
                  <c:v>66.291666666666671</c:v>
                </c:pt>
                <c:pt idx="77">
                  <c:v>66.375</c:v>
                </c:pt>
                <c:pt idx="78">
                  <c:v>66.458333333333329</c:v>
                </c:pt>
                <c:pt idx="79">
                  <c:v>66.541666666666671</c:v>
                </c:pt>
                <c:pt idx="80">
                  <c:v>66.625</c:v>
                </c:pt>
                <c:pt idx="81">
                  <c:v>66.708333333333329</c:v>
                </c:pt>
                <c:pt idx="82">
                  <c:v>66.791666666666671</c:v>
                </c:pt>
                <c:pt idx="83">
                  <c:v>66.875</c:v>
                </c:pt>
                <c:pt idx="84">
                  <c:v>66.958333333333329</c:v>
                </c:pt>
                <c:pt idx="85">
                  <c:v>67.041666666666671</c:v>
                </c:pt>
                <c:pt idx="86">
                  <c:v>67.125</c:v>
                </c:pt>
                <c:pt idx="87">
                  <c:v>67.208333333333329</c:v>
                </c:pt>
                <c:pt idx="88">
                  <c:v>67.291666666666671</c:v>
                </c:pt>
                <c:pt idx="89">
                  <c:v>67.375</c:v>
                </c:pt>
                <c:pt idx="90">
                  <c:v>67.458333333333329</c:v>
                </c:pt>
                <c:pt idx="91">
                  <c:v>67.541666666666671</c:v>
                </c:pt>
                <c:pt idx="92">
                  <c:v>67.625</c:v>
                </c:pt>
                <c:pt idx="93">
                  <c:v>67.708333333333329</c:v>
                </c:pt>
                <c:pt idx="94">
                  <c:v>67.791666666666671</c:v>
                </c:pt>
                <c:pt idx="95">
                  <c:v>67.875</c:v>
                </c:pt>
                <c:pt idx="96">
                  <c:v>67.958333333333329</c:v>
                </c:pt>
                <c:pt idx="97">
                  <c:v>68.041666666666671</c:v>
                </c:pt>
                <c:pt idx="98">
                  <c:v>68.125</c:v>
                </c:pt>
                <c:pt idx="99">
                  <c:v>68.208333333333329</c:v>
                </c:pt>
                <c:pt idx="100">
                  <c:v>68.291666666666671</c:v>
                </c:pt>
                <c:pt idx="101">
                  <c:v>68.375</c:v>
                </c:pt>
                <c:pt idx="102">
                  <c:v>68.458333333333329</c:v>
                </c:pt>
                <c:pt idx="103">
                  <c:v>68.541666666666671</c:v>
                </c:pt>
                <c:pt idx="104">
                  <c:v>68.625</c:v>
                </c:pt>
                <c:pt idx="105">
                  <c:v>68.708333333333329</c:v>
                </c:pt>
                <c:pt idx="106">
                  <c:v>68.791666666666671</c:v>
                </c:pt>
                <c:pt idx="107">
                  <c:v>68.875</c:v>
                </c:pt>
                <c:pt idx="108">
                  <c:v>68.958333333333329</c:v>
                </c:pt>
                <c:pt idx="109">
                  <c:v>69.041666666666671</c:v>
                </c:pt>
                <c:pt idx="110">
                  <c:v>69.125</c:v>
                </c:pt>
                <c:pt idx="111">
                  <c:v>69.208333333333329</c:v>
                </c:pt>
                <c:pt idx="112">
                  <c:v>69.291666666666671</c:v>
                </c:pt>
                <c:pt idx="113">
                  <c:v>69.375</c:v>
                </c:pt>
                <c:pt idx="114">
                  <c:v>69.458333333333329</c:v>
                </c:pt>
                <c:pt idx="115">
                  <c:v>69.541666666666671</c:v>
                </c:pt>
                <c:pt idx="116">
                  <c:v>69.625</c:v>
                </c:pt>
                <c:pt idx="117">
                  <c:v>69.708333333333329</c:v>
                </c:pt>
                <c:pt idx="118">
                  <c:v>69.791666666666671</c:v>
                </c:pt>
                <c:pt idx="119">
                  <c:v>69.875</c:v>
                </c:pt>
                <c:pt idx="120">
                  <c:v>69.958333333333329</c:v>
                </c:pt>
                <c:pt idx="121">
                  <c:v>70</c:v>
                </c:pt>
              </c:numCache>
            </c:numRef>
          </c:cat>
          <c:val>
            <c:numRef>
              <c:f>'【演習2+α】 最低保証の内容'!$AM$23:$AM$144</c:f>
              <c:numCache>
                <c:formatCode>General</c:formatCode>
                <c:ptCount val="122"/>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62.116778631763474</c:v>
                </c:pt>
              </c:numCache>
            </c:numRef>
          </c:val>
          <c:extLst>
            <c:ext xmlns:c16="http://schemas.microsoft.com/office/drawing/2014/chart" uri="{C3380CC4-5D6E-409C-BE32-E72D297353CC}">
              <c16:uniqueId val="{00000000-5C07-4F8D-81F7-93DBAB2923C3}"/>
            </c:ext>
          </c:extLst>
        </c:ser>
        <c:dLbls>
          <c:showLegendKey val="0"/>
          <c:showVal val="0"/>
          <c:showCatName val="0"/>
          <c:showSerName val="0"/>
          <c:showPercent val="0"/>
          <c:showBubbleSize val="0"/>
        </c:dLbls>
        <c:gapWidth val="150"/>
        <c:axId val="593776024"/>
        <c:axId val="593774384"/>
      </c:barChart>
      <c:lineChart>
        <c:grouping val="standard"/>
        <c:varyColors val="0"/>
        <c:ser>
          <c:idx val="1"/>
          <c:order val="0"/>
          <c:tx>
            <c:strRef>
              <c:f>'【演習2+α】 最低保証の内容'!$O$22</c:f>
              <c:strCache>
                <c:ptCount val="1"/>
                <c:pt idx="0">
                  <c:v>死亡事由に関する最低保証</c:v>
                </c:pt>
              </c:strCache>
            </c:strRef>
          </c:tx>
          <c:spPr>
            <a:ln w="28575" cap="rnd">
              <a:solidFill>
                <a:schemeClr val="accent2"/>
              </a:solidFill>
              <a:round/>
            </a:ln>
            <a:effectLst/>
          </c:spPr>
          <c:marker>
            <c:symbol val="none"/>
          </c:marker>
          <c:cat>
            <c:numRef>
              <c:f>'【演習2+α】 最低保証の内容'!$C$23:$C$144</c:f>
              <c:numCache>
                <c:formatCode>0_);[Red]\(0\)</c:formatCode>
                <c:ptCount val="122"/>
                <c:pt idx="0">
                  <c:v>60</c:v>
                </c:pt>
                <c:pt idx="1">
                  <c:v>60.041666666666664</c:v>
                </c:pt>
                <c:pt idx="2">
                  <c:v>60.125</c:v>
                </c:pt>
                <c:pt idx="3">
                  <c:v>60.208333333333336</c:v>
                </c:pt>
                <c:pt idx="4">
                  <c:v>60.291666666666664</c:v>
                </c:pt>
                <c:pt idx="5">
                  <c:v>60.375</c:v>
                </c:pt>
                <c:pt idx="6">
                  <c:v>60.458333333333336</c:v>
                </c:pt>
                <c:pt idx="7">
                  <c:v>60.541666666666664</c:v>
                </c:pt>
                <c:pt idx="8">
                  <c:v>60.625</c:v>
                </c:pt>
                <c:pt idx="9">
                  <c:v>60.708333333333336</c:v>
                </c:pt>
                <c:pt idx="10">
                  <c:v>60.791666666666664</c:v>
                </c:pt>
                <c:pt idx="11">
                  <c:v>60.875</c:v>
                </c:pt>
                <c:pt idx="12">
                  <c:v>60.958333333333336</c:v>
                </c:pt>
                <c:pt idx="13">
                  <c:v>61.041666666666664</c:v>
                </c:pt>
                <c:pt idx="14">
                  <c:v>61.125</c:v>
                </c:pt>
                <c:pt idx="15">
                  <c:v>61.208333333333336</c:v>
                </c:pt>
                <c:pt idx="16">
                  <c:v>61.291666666666664</c:v>
                </c:pt>
                <c:pt idx="17">
                  <c:v>61.375</c:v>
                </c:pt>
                <c:pt idx="18">
                  <c:v>61.458333333333336</c:v>
                </c:pt>
                <c:pt idx="19">
                  <c:v>61.541666666666664</c:v>
                </c:pt>
                <c:pt idx="20">
                  <c:v>61.625</c:v>
                </c:pt>
                <c:pt idx="21">
                  <c:v>61.708333333333336</c:v>
                </c:pt>
                <c:pt idx="22">
                  <c:v>61.791666666666664</c:v>
                </c:pt>
                <c:pt idx="23">
                  <c:v>61.875</c:v>
                </c:pt>
                <c:pt idx="24">
                  <c:v>61.958333333333336</c:v>
                </c:pt>
                <c:pt idx="25">
                  <c:v>62.041666666666664</c:v>
                </c:pt>
                <c:pt idx="26">
                  <c:v>62.125</c:v>
                </c:pt>
                <c:pt idx="27">
                  <c:v>62.208333333333336</c:v>
                </c:pt>
                <c:pt idx="28">
                  <c:v>62.291666666666664</c:v>
                </c:pt>
                <c:pt idx="29">
                  <c:v>62.375</c:v>
                </c:pt>
                <c:pt idx="30">
                  <c:v>62.458333333333336</c:v>
                </c:pt>
                <c:pt idx="31">
                  <c:v>62.541666666666664</c:v>
                </c:pt>
                <c:pt idx="32">
                  <c:v>62.625</c:v>
                </c:pt>
                <c:pt idx="33">
                  <c:v>62.708333333333336</c:v>
                </c:pt>
                <c:pt idx="34">
                  <c:v>62.791666666666664</c:v>
                </c:pt>
                <c:pt idx="35">
                  <c:v>62.875</c:v>
                </c:pt>
                <c:pt idx="36">
                  <c:v>62.958333333333336</c:v>
                </c:pt>
                <c:pt idx="37">
                  <c:v>63.041666666666664</c:v>
                </c:pt>
                <c:pt idx="38">
                  <c:v>63.125</c:v>
                </c:pt>
                <c:pt idx="39">
                  <c:v>63.208333333333336</c:v>
                </c:pt>
                <c:pt idx="40">
                  <c:v>63.291666666666664</c:v>
                </c:pt>
                <c:pt idx="41">
                  <c:v>63.375</c:v>
                </c:pt>
                <c:pt idx="42">
                  <c:v>63.458333333333336</c:v>
                </c:pt>
                <c:pt idx="43">
                  <c:v>63.541666666666664</c:v>
                </c:pt>
                <c:pt idx="44">
                  <c:v>63.625</c:v>
                </c:pt>
                <c:pt idx="45">
                  <c:v>63.708333333333336</c:v>
                </c:pt>
                <c:pt idx="46">
                  <c:v>63.791666666666664</c:v>
                </c:pt>
                <c:pt idx="47">
                  <c:v>63.875</c:v>
                </c:pt>
                <c:pt idx="48">
                  <c:v>63.958333333333336</c:v>
                </c:pt>
                <c:pt idx="49">
                  <c:v>64.041666666666671</c:v>
                </c:pt>
                <c:pt idx="50">
                  <c:v>64.125</c:v>
                </c:pt>
                <c:pt idx="51">
                  <c:v>64.208333333333329</c:v>
                </c:pt>
                <c:pt idx="52">
                  <c:v>64.291666666666671</c:v>
                </c:pt>
                <c:pt idx="53">
                  <c:v>64.375</c:v>
                </c:pt>
                <c:pt idx="54">
                  <c:v>64.458333333333329</c:v>
                </c:pt>
                <c:pt idx="55">
                  <c:v>64.541666666666671</c:v>
                </c:pt>
                <c:pt idx="56">
                  <c:v>64.625</c:v>
                </c:pt>
                <c:pt idx="57">
                  <c:v>64.708333333333329</c:v>
                </c:pt>
                <c:pt idx="58">
                  <c:v>64.791666666666671</c:v>
                </c:pt>
                <c:pt idx="59">
                  <c:v>64.875</c:v>
                </c:pt>
                <c:pt idx="60">
                  <c:v>64.958333333333329</c:v>
                </c:pt>
                <c:pt idx="61">
                  <c:v>65.041666666666671</c:v>
                </c:pt>
                <c:pt idx="62">
                  <c:v>65.125</c:v>
                </c:pt>
                <c:pt idx="63">
                  <c:v>65.208333333333329</c:v>
                </c:pt>
                <c:pt idx="64">
                  <c:v>65.291666666666671</c:v>
                </c:pt>
                <c:pt idx="65">
                  <c:v>65.375</c:v>
                </c:pt>
                <c:pt idx="66">
                  <c:v>65.458333333333329</c:v>
                </c:pt>
                <c:pt idx="67">
                  <c:v>65.541666666666671</c:v>
                </c:pt>
                <c:pt idx="68">
                  <c:v>65.625</c:v>
                </c:pt>
                <c:pt idx="69">
                  <c:v>65.708333333333329</c:v>
                </c:pt>
                <c:pt idx="70">
                  <c:v>65.791666666666671</c:v>
                </c:pt>
                <c:pt idx="71">
                  <c:v>65.875</c:v>
                </c:pt>
                <c:pt idx="72">
                  <c:v>65.958333333333329</c:v>
                </c:pt>
                <c:pt idx="73">
                  <c:v>66.041666666666671</c:v>
                </c:pt>
                <c:pt idx="74">
                  <c:v>66.125</c:v>
                </c:pt>
                <c:pt idx="75">
                  <c:v>66.208333333333329</c:v>
                </c:pt>
                <c:pt idx="76">
                  <c:v>66.291666666666671</c:v>
                </c:pt>
                <c:pt idx="77">
                  <c:v>66.375</c:v>
                </c:pt>
                <c:pt idx="78">
                  <c:v>66.458333333333329</c:v>
                </c:pt>
                <c:pt idx="79">
                  <c:v>66.541666666666671</c:v>
                </c:pt>
                <c:pt idx="80">
                  <c:v>66.625</c:v>
                </c:pt>
                <c:pt idx="81">
                  <c:v>66.708333333333329</c:v>
                </c:pt>
                <c:pt idx="82">
                  <c:v>66.791666666666671</c:v>
                </c:pt>
                <c:pt idx="83">
                  <c:v>66.875</c:v>
                </c:pt>
                <c:pt idx="84">
                  <c:v>66.958333333333329</c:v>
                </c:pt>
                <c:pt idx="85">
                  <c:v>67.041666666666671</c:v>
                </c:pt>
                <c:pt idx="86">
                  <c:v>67.125</c:v>
                </c:pt>
                <c:pt idx="87">
                  <c:v>67.208333333333329</c:v>
                </c:pt>
                <c:pt idx="88">
                  <c:v>67.291666666666671</c:v>
                </c:pt>
                <c:pt idx="89">
                  <c:v>67.375</c:v>
                </c:pt>
                <c:pt idx="90">
                  <c:v>67.458333333333329</c:v>
                </c:pt>
                <c:pt idx="91">
                  <c:v>67.541666666666671</c:v>
                </c:pt>
                <c:pt idx="92">
                  <c:v>67.625</c:v>
                </c:pt>
                <c:pt idx="93">
                  <c:v>67.708333333333329</c:v>
                </c:pt>
                <c:pt idx="94">
                  <c:v>67.791666666666671</c:v>
                </c:pt>
                <c:pt idx="95">
                  <c:v>67.875</c:v>
                </c:pt>
                <c:pt idx="96">
                  <c:v>67.958333333333329</c:v>
                </c:pt>
                <c:pt idx="97">
                  <c:v>68.041666666666671</c:v>
                </c:pt>
                <c:pt idx="98">
                  <c:v>68.125</c:v>
                </c:pt>
                <c:pt idx="99">
                  <c:v>68.208333333333329</c:v>
                </c:pt>
                <c:pt idx="100">
                  <c:v>68.291666666666671</c:v>
                </c:pt>
                <c:pt idx="101">
                  <c:v>68.375</c:v>
                </c:pt>
                <c:pt idx="102">
                  <c:v>68.458333333333329</c:v>
                </c:pt>
                <c:pt idx="103">
                  <c:v>68.541666666666671</c:v>
                </c:pt>
                <c:pt idx="104">
                  <c:v>68.625</c:v>
                </c:pt>
                <c:pt idx="105">
                  <c:v>68.708333333333329</c:v>
                </c:pt>
                <c:pt idx="106">
                  <c:v>68.791666666666671</c:v>
                </c:pt>
                <c:pt idx="107">
                  <c:v>68.875</c:v>
                </c:pt>
                <c:pt idx="108">
                  <c:v>68.958333333333329</c:v>
                </c:pt>
                <c:pt idx="109">
                  <c:v>69.041666666666671</c:v>
                </c:pt>
                <c:pt idx="110">
                  <c:v>69.125</c:v>
                </c:pt>
                <c:pt idx="111">
                  <c:v>69.208333333333329</c:v>
                </c:pt>
                <c:pt idx="112">
                  <c:v>69.291666666666671</c:v>
                </c:pt>
                <c:pt idx="113">
                  <c:v>69.375</c:v>
                </c:pt>
                <c:pt idx="114">
                  <c:v>69.458333333333329</c:v>
                </c:pt>
                <c:pt idx="115">
                  <c:v>69.541666666666671</c:v>
                </c:pt>
                <c:pt idx="116">
                  <c:v>69.625</c:v>
                </c:pt>
                <c:pt idx="117">
                  <c:v>69.708333333333329</c:v>
                </c:pt>
                <c:pt idx="118">
                  <c:v>69.791666666666671</c:v>
                </c:pt>
                <c:pt idx="119">
                  <c:v>69.875</c:v>
                </c:pt>
                <c:pt idx="120">
                  <c:v>69.958333333333329</c:v>
                </c:pt>
                <c:pt idx="121">
                  <c:v>70</c:v>
                </c:pt>
              </c:numCache>
            </c:numRef>
          </c:cat>
          <c:val>
            <c:numRef>
              <c:f>[0]!guarantee1alpha</c:f>
              <c:numCache>
                <c:formatCode>#,##0.0000;[Red]\-#,##0.0000</c:formatCode>
                <c:ptCount val="121"/>
                <c:pt idx="1">
                  <c:v>2.2055255192062872E-3</c:v>
                </c:pt>
                <c:pt idx="2">
                  <c:v>3.8524472064065292E-3</c:v>
                </c:pt>
                <c:pt idx="3">
                  <c:v>5.0008927372413485E-3</c:v>
                </c:pt>
                <c:pt idx="4">
                  <c:v>5.9425051131094895E-3</c:v>
                </c:pt>
                <c:pt idx="5">
                  <c:v>6.7622196230409442E-3</c:v>
                </c:pt>
                <c:pt idx="6">
                  <c:v>7.4989607394060857E-3</c:v>
                </c:pt>
                <c:pt idx="7">
                  <c:v>8.1744395532634285E-3</c:v>
                </c:pt>
                <c:pt idx="8">
                  <c:v>8.8022382918389423E-3</c:v>
                </c:pt>
                <c:pt idx="9">
                  <c:v>9.3915264215790467E-3</c:v>
                </c:pt>
                <c:pt idx="10">
                  <c:v>9.948841356471682E-3</c:v>
                </c:pt>
                <c:pt idx="11">
                  <c:v>1.0479039483348903E-2</c:v>
                </c:pt>
                <c:pt idx="12">
                  <c:v>1.098584616003433E-2</c:v>
                </c:pt>
                <c:pt idx="13">
                  <c:v>1.2037712974030159E-2</c:v>
                </c:pt>
                <c:pt idx="14">
                  <c:v>1.2529041632035134E-2</c:v>
                </c:pt>
                <c:pt idx="15">
                  <c:v>1.3003401734283498E-2</c:v>
                </c:pt>
                <c:pt idx="16">
                  <c:v>1.346247570535276E-2</c:v>
                </c:pt>
                <c:pt idx="17">
                  <c:v>1.3907679674655598E-2</c:v>
                </c:pt>
                <c:pt idx="18">
                  <c:v>1.4340219137581283E-2</c:v>
                </c:pt>
                <c:pt idx="19">
                  <c:v>1.4761130484999949E-2</c:v>
                </c:pt>
                <c:pt idx="20">
                  <c:v>1.5171312554689972E-2</c:v>
                </c:pt>
                <c:pt idx="21">
                  <c:v>1.5571550988394418E-2</c:v>
                </c:pt>
                <c:pt idx="22">
                  <c:v>1.5962537304000688E-2</c:v>
                </c:pt>
                <c:pt idx="23">
                  <c:v>1.6344884020849434E-2</c:v>
                </c:pt>
                <c:pt idx="24">
                  <c:v>1.6719136793214538E-2</c:v>
                </c:pt>
                <c:pt idx="25">
                  <c:v>1.8446678048546584E-2</c:v>
                </c:pt>
                <c:pt idx="26">
                  <c:v>1.883479277851182E-2</c:v>
                </c:pt>
                <c:pt idx="27">
                  <c:v>1.9215600025239216E-2</c:v>
                </c:pt>
                <c:pt idx="28">
                  <c:v>1.9589488987649898E-2</c:v>
                </c:pt>
                <c:pt idx="29">
                  <c:v>1.9956814116356861E-2</c:v>
                </c:pt>
                <c:pt idx="30">
                  <c:v>2.0317899331044637E-2</c:v>
                </c:pt>
                <c:pt idx="31">
                  <c:v>2.0673041600852492E-2</c:v>
                </c:pt>
                <c:pt idx="32">
                  <c:v>2.102251400136116E-2</c:v>
                </c:pt>
                <c:pt idx="33">
                  <c:v>2.1366568339003911E-2</c:v>
                </c:pt>
                <c:pt idx="34">
                  <c:v>2.1705437415529195E-2</c:v>
                </c:pt>
                <c:pt idx="35">
                  <c:v>2.2039336990896604E-2</c:v>
                </c:pt>
                <c:pt idx="36">
                  <c:v>2.2368467492625031E-2</c:v>
                </c:pt>
                <c:pt idx="37">
                  <c:v>2.4695821618250308E-2</c:v>
                </c:pt>
                <c:pt idx="38">
                  <c:v>2.5044215615478711E-2</c:v>
                </c:pt>
                <c:pt idx="39">
                  <c:v>2.5387989172529966E-2</c:v>
                </c:pt>
                <c:pt idx="40">
                  <c:v>2.5727308080039875E-2</c:v>
                </c:pt>
                <c:pt idx="41">
                  <c:v>2.6062327853697199E-2</c:v>
                </c:pt>
                <c:pt idx="42">
                  <c:v>2.6393194612094995E-2</c:v>
                </c:pt>
                <c:pt idx="43">
                  <c:v>2.6720045860301703E-2</c:v>
                </c:pt>
                <c:pt idx="44">
                  <c:v>2.7043011191028418E-2</c:v>
                </c:pt>
                <c:pt idx="45">
                  <c:v>2.7362212914027302E-2</c:v>
                </c:pt>
                <c:pt idx="46">
                  <c:v>2.7677766622295732E-2</c:v>
                </c:pt>
                <c:pt idx="47">
                  <c:v>2.7989781702788201E-2</c:v>
                </c:pt>
                <c:pt idx="48">
                  <c:v>2.8298361798117063E-2</c:v>
                </c:pt>
                <c:pt idx="49">
                  <c:v>3.1111416400838508E-2</c:v>
                </c:pt>
                <c:pt idx="50">
                  <c:v>3.1439894286090043E-2</c:v>
                </c:pt>
                <c:pt idx="51">
                  <c:v>3.1764941070924493E-2</c:v>
                </c:pt>
                <c:pt idx="52">
                  <c:v>3.2086648646833998E-2</c:v>
                </c:pt>
                <c:pt idx="53">
                  <c:v>3.2405104557112895E-2</c:v>
                </c:pt>
                <c:pt idx="54">
                  <c:v>3.2720392283195614E-2</c:v>
                </c:pt>
                <c:pt idx="55">
                  <c:v>3.3032591507251907E-2</c:v>
                </c:pt>
                <c:pt idx="56">
                  <c:v>3.3341778353079048E-2</c:v>
                </c:pt>
                <c:pt idx="57">
                  <c:v>3.364802560787078E-2</c:v>
                </c:pt>
                <c:pt idx="58">
                  <c:v>3.3951402926273015E-2</c:v>
                </c:pt>
                <c:pt idx="59">
                  <c:v>3.425197701871277E-2</c:v>
                </c:pt>
                <c:pt idx="60">
                  <c:v>3.4549811825329471E-2</c:v>
                </c:pt>
                <c:pt idx="61">
                  <c:v>3.7654638846216067E-2</c:v>
                </c:pt>
                <c:pt idx="62">
                  <c:v>3.7970764943532027E-2</c:v>
                </c:pt>
                <c:pt idx="63">
                  <c:v>3.828412187823365E-2</c:v>
                </c:pt>
                <c:pt idx="64">
                  <c:v>3.8594768387521426E-2</c:v>
                </c:pt>
                <c:pt idx="65">
                  <c:v>3.890276096689585E-2</c:v>
                </c:pt>
                <c:pt idx="66">
                  <c:v>3.9208153990128371E-2</c:v>
                </c:pt>
                <c:pt idx="67">
                  <c:v>3.9510999821218987E-2</c:v>
                </c:pt>
                <c:pt idx="68">
                  <c:v>3.9811348918614535E-2</c:v>
                </c:pt>
                <c:pt idx="69">
                  <c:v>4.0109249932805929E-2</c:v>
                </c:pt>
                <c:pt idx="70">
                  <c:v>4.0404749797382608E-2</c:v>
                </c:pt>
                <c:pt idx="71">
                  <c:v>4.0697893814277915E-2</c:v>
                </c:pt>
                <c:pt idx="72">
                  <c:v>4.0988725733694428E-2</c:v>
                </c:pt>
                <c:pt idx="73">
                  <c:v>4.4433205683199875E-2</c:v>
                </c:pt>
                <c:pt idx="74">
                  <c:v>4.4741430856864439E-2</c:v>
                </c:pt>
                <c:pt idx="75">
                  <c:v>4.5047299203061129E-2</c:v>
                </c:pt>
                <c:pt idx="76">
                  <c:v>4.53508518937875E-2</c:v>
                </c:pt>
                <c:pt idx="77">
                  <c:v>4.5652128787685965E-2</c:v>
                </c:pt>
                <c:pt idx="78">
                  <c:v>4.5951168489204906E-2</c:v>
                </c:pt>
                <c:pt idx="79">
                  <c:v>4.6248008404488374E-2</c:v>
                </c:pt>
                <c:pt idx="80">
                  <c:v>4.6542684793894833E-2</c:v>
                </c:pt>
                <c:pt idx="81">
                  <c:v>4.6835232821698602E-2</c:v>
                </c:pt>
                <c:pt idx="82">
                  <c:v>4.7125686603134105E-2</c:v>
                </c:pt>
                <c:pt idx="83">
                  <c:v>4.7414079248581785E-2</c:v>
                </c:pt>
                <c:pt idx="84">
                  <c:v>4.7700442905624085E-2</c:v>
                </c:pt>
                <c:pt idx="85">
                  <c:v>5.1550765589814661E-2</c:v>
                </c:pt>
                <c:pt idx="86">
                  <c:v>5.1854150298581952E-2</c:v>
                </c:pt>
                <c:pt idx="87">
                  <c:v>5.2155453055506104E-2</c:v>
                </c:pt>
                <c:pt idx="88">
                  <c:v>5.2454704664647391E-2</c:v>
                </c:pt>
                <c:pt idx="89">
                  <c:v>5.2751935088051899E-2</c:v>
                </c:pt>
                <c:pt idx="90">
                  <c:v>5.3047173478370839E-2</c:v>
                </c:pt>
                <c:pt idx="91">
                  <c:v>5.3340448210031047E-2</c:v>
                </c:pt>
                <c:pt idx="92">
                  <c:v>5.3631786908819534E-2</c:v>
                </c:pt>
                <c:pt idx="93">
                  <c:v>5.3921216480029122E-2</c:v>
                </c:pt>
                <c:pt idx="94">
                  <c:v>5.4208763135292944E-2</c:v>
                </c:pt>
                <c:pt idx="95">
                  <c:v>5.4494452417996997E-2</c:v>
                </c:pt>
                <c:pt idx="96">
                  <c:v>5.4778309227763132E-2</c:v>
                </c:pt>
                <c:pt idx="97">
                  <c:v>5.7536286899719437E-2</c:v>
                </c:pt>
                <c:pt idx="98">
                  <c:v>5.7829153789984919E-2</c:v>
                </c:pt>
                <c:pt idx="99">
                  <c:v>5.8120180063084337E-2</c:v>
                </c:pt>
                <c:pt idx="100">
                  <c:v>5.8409389278387298E-2</c:v>
                </c:pt>
                <c:pt idx="101">
                  <c:v>5.8696804433026301E-2</c:v>
                </c:pt>
                <c:pt idx="102">
                  <c:v>5.8982447981001086E-2</c:v>
                </c:pt>
                <c:pt idx="103">
                  <c:v>5.9266341851798202E-2</c:v>
                </c:pt>
                <c:pt idx="104">
                  <c:v>5.9548507467699741E-2</c:v>
                </c:pt>
                <c:pt idx="105">
                  <c:v>5.982896576075189E-2</c:v>
                </c:pt>
                <c:pt idx="106">
                  <c:v>6.0107737188851082E-2</c:v>
                </c:pt>
                <c:pt idx="107">
                  <c:v>6.0384841751178114E-2</c:v>
                </c:pt>
                <c:pt idx="108">
                  <c:v>6.0660299002952285E-2</c:v>
                </c:pt>
                <c:pt idx="109">
                  <c:v>6.524567021180315E-2</c:v>
                </c:pt>
                <c:pt idx="110">
                  <c:v>6.5537151360521767E-2</c:v>
                </c:pt>
                <c:pt idx="111">
                  <c:v>6.5826928752384634E-2</c:v>
                </c:pt>
                <c:pt idx="112">
                  <c:v>6.6115021570520308E-2</c:v>
                </c:pt>
                <c:pt idx="113">
                  <c:v>6.6401448592648044E-2</c:v>
                </c:pt>
                <c:pt idx="114">
                  <c:v>6.6686228203357442E-2</c:v>
                </c:pt>
                <c:pt idx="115">
                  <c:v>6.6969378406117955E-2</c:v>
                </c:pt>
                <c:pt idx="116">
                  <c:v>6.7250916834576055E-2</c:v>
                </c:pt>
                <c:pt idx="117">
                  <c:v>6.7530860763570608E-2</c:v>
                </c:pt>
                <c:pt idx="118">
                  <c:v>6.780922711967434E-2</c:v>
                </c:pt>
                <c:pt idx="119">
                  <c:v>6.8086032491353768E-2</c:v>
                </c:pt>
                <c:pt idx="120">
                  <c:v>6.8361293138700652E-2</c:v>
                </c:pt>
              </c:numCache>
            </c:numRef>
          </c:val>
          <c:smooth val="0"/>
          <c:extLst>
            <c:ext xmlns:c16="http://schemas.microsoft.com/office/drawing/2014/chart" uri="{C3380CC4-5D6E-409C-BE32-E72D297353CC}">
              <c16:uniqueId val="{00000001-5C07-4F8D-81F7-93DBAB2923C3}"/>
            </c:ext>
          </c:extLst>
        </c:ser>
        <c:dLbls>
          <c:showLegendKey val="0"/>
          <c:showVal val="0"/>
          <c:showCatName val="0"/>
          <c:showSerName val="0"/>
          <c:showPercent val="0"/>
          <c:showBubbleSize val="0"/>
        </c:dLbls>
        <c:marker val="1"/>
        <c:smooth val="0"/>
        <c:axId val="775628880"/>
        <c:axId val="775631176"/>
      </c:lineChart>
      <c:catAx>
        <c:axId val="775628880"/>
        <c:scaling>
          <c:orientation val="minMax"/>
        </c:scaling>
        <c:delete val="0"/>
        <c:axPos val="b"/>
        <c:title>
          <c:tx>
            <c:rich>
              <a:bodyPr rot="0" spcFirstLastPara="1" vertOverflow="ellipsis" vert="horz" wrap="square" anchor="ctr" anchorCtr="1"/>
              <a:lstStyle/>
              <a:p>
                <a:pPr>
                  <a:defRPr lang="ja-JP" sz="1000" b="1" i="0" u="none" strike="noStrike" kern="1200" baseline="0">
                    <a:solidFill>
                      <a:sysClr val="windowText" lastClr="000000"/>
                    </a:solidFill>
                    <a:latin typeface="+mn-lt"/>
                    <a:ea typeface="+mn-ea"/>
                    <a:cs typeface="+mn-cs"/>
                  </a:defRPr>
                </a:pPr>
                <a:r>
                  <a:rPr lang="ja-JP" altLang="en-US" b="1"/>
                  <a:t>契約者の年齢</a:t>
                </a:r>
              </a:p>
            </c:rich>
          </c:tx>
          <c:overlay val="0"/>
          <c:spPr>
            <a:noFill/>
            <a:ln>
              <a:noFill/>
            </a:ln>
            <a:effectLst/>
          </c:spPr>
          <c:txPr>
            <a:bodyPr rot="0" spcFirstLastPara="1" vertOverflow="ellipsis" vert="horz" wrap="square" anchor="ctr" anchorCtr="1"/>
            <a:lstStyle/>
            <a:p>
              <a:pPr>
                <a:defRPr lang="ja-JP" sz="1000" b="1" i="0" u="none" strike="noStrike" kern="1200" baseline="0">
                  <a:solidFill>
                    <a:sysClr val="windowText" lastClr="000000"/>
                  </a:solidFill>
                  <a:latin typeface="+mn-lt"/>
                  <a:ea typeface="+mn-ea"/>
                  <a:cs typeface="+mn-cs"/>
                </a:defRPr>
              </a:pPr>
              <a:endParaRPr lang="ja-JP"/>
            </a:p>
          </c:txPr>
        </c:title>
        <c:numFmt formatCode="#,##0_);[Red]\(#,##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775631176"/>
        <c:crosses val="autoZero"/>
        <c:auto val="1"/>
        <c:lblAlgn val="ctr"/>
        <c:lblOffset val="100"/>
        <c:tickLblSkip val="12"/>
        <c:noMultiLvlLbl val="0"/>
      </c:catAx>
      <c:valAx>
        <c:axId val="775631176"/>
        <c:scaling>
          <c:orientation val="minMax"/>
          <c:max val="0.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1" i="0" u="none" strike="noStrike" kern="1200" baseline="0">
                    <a:solidFill>
                      <a:sysClr val="windowText" lastClr="000000"/>
                    </a:solidFill>
                    <a:latin typeface="+mn-lt"/>
                    <a:ea typeface="+mn-ea"/>
                    <a:cs typeface="+mn-cs"/>
                  </a:defRPr>
                </a:pPr>
                <a:r>
                  <a:rPr lang="ja-JP" altLang="en-US" b="1"/>
                  <a:t>死亡事由に関する最低保証</a:t>
                </a:r>
              </a:p>
            </c:rich>
          </c:tx>
          <c:overlay val="0"/>
          <c:spPr>
            <a:noFill/>
            <a:ln>
              <a:noFill/>
            </a:ln>
            <a:effectLst/>
          </c:spPr>
          <c:txPr>
            <a:bodyPr rot="-5400000" spcFirstLastPara="1" vertOverflow="ellipsis" vert="horz" wrap="square" anchor="ctr" anchorCtr="1"/>
            <a:lstStyle/>
            <a:p>
              <a:pPr>
                <a:defRPr lang="ja-JP" sz="1000" b="1" i="0" u="none" strike="noStrike" kern="1200" baseline="0">
                  <a:solidFill>
                    <a:sysClr val="windowText" lastClr="000000"/>
                  </a:solidFill>
                  <a:latin typeface="+mn-lt"/>
                  <a:ea typeface="+mn-ea"/>
                  <a:cs typeface="+mn-cs"/>
                </a:defRPr>
              </a:pPr>
              <a:endParaRPr lang="ja-JP"/>
            </a:p>
          </c:txPr>
        </c:title>
        <c:numFmt formatCode="#,##0.00_);[Red]\(#,##0.0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775628880"/>
        <c:crosses val="autoZero"/>
        <c:crossBetween val="between"/>
      </c:valAx>
      <c:valAx>
        <c:axId val="593774384"/>
        <c:scaling>
          <c:orientation val="minMax"/>
          <c:min val="0"/>
        </c:scaling>
        <c:delete val="0"/>
        <c:axPos val="r"/>
        <c:title>
          <c:tx>
            <c:rich>
              <a:bodyPr rot="-540000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r>
                  <a:rPr lang="ja-JP" altLang="en-US" b="1"/>
                  <a:t>生存事由に関する最低保証</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593776024"/>
        <c:crosses val="max"/>
        <c:crossBetween val="between"/>
      </c:valAx>
      <c:catAx>
        <c:axId val="593776024"/>
        <c:scaling>
          <c:orientation val="minMax"/>
        </c:scaling>
        <c:delete val="1"/>
        <c:axPos val="b"/>
        <c:numFmt formatCode="0_);[Red]\(0\)" sourceLinked="1"/>
        <c:majorTickMark val="out"/>
        <c:minorTickMark val="none"/>
        <c:tickLblPos val="nextTo"/>
        <c:crossAx val="5937743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r>
              <a:rPr lang="ja-JP" altLang="en-US" b="1"/>
              <a:t>契約の残存年数とオプション価格</a:t>
            </a:r>
            <a:endParaRPr lang="en-US" altLang="ja-JP" b="1"/>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ysClr val="windowText" lastClr="000000"/>
              </a:solidFill>
              <a:latin typeface="+mn-lt"/>
              <a:ea typeface="+mn-ea"/>
              <a:cs typeface="+mn-cs"/>
            </a:defRPr>
          </a:pPr>
          <a:endParaRPr lang="ja-JP"/>
        </a:p>
      </c:txPr>
    </c:title>
    <c:autoTitleDeleted val="0"/>
    <c:plotArea>
      <c:layout>
        <c:manualLayout>
          <c:layoutTarget val="inner"/>
          <c:xMode val="edge"/>
          <c:yMode val="edge"/>
          <c:x val="0.14706644720257425"/>
          <c:y val="0.16833333333333333"/>
          <c:w val="0.80672805729792252"/>
          <c:h val="0.68512238295794425"/>
        </c:manualLayout>
      </c:layout>
      <c:lineChart>
        <c:grouping val="standard"/>
        <c:varyColors val="0"/>
        <c:ser>
          <c:idx val="0"/>
          <c:order val="0"/>
          <c:tx>
            <c:strRef>
              <c:f>'【演習2+α】 最低保証の内容'!$J$22</c:f>
              <c:strCache>
                <c:ptCount val="1"/>
                <c:pt idx="0">
                  <c:v>Put</c:v>
                </c:pt>
              </c:strCache>
            </c:strRef>
          </c:tx>
          <c:spPr>
            <a:ln w="28575" cap="rnd">
              <a:solidFill>
                <a:schemeClr val="accent5"/>
              </a:solidFill>
              <a:round/>
            </a:ln>
            <a:effectLst/>
          </c:spPr>
          <c:marker>
            <c:symbol val="none"/>
          </c:marker>
          <c:cat>
            <c:numRef>
              <c:f>'【演習2+α】 最低保証の内容'!$C$23:$C$144</c:f>
              <c:numCache>
                <c:formatCode>0_);[Red]\(0\)</c:formatCode>
                <c:ptCount val="122"/>
                <c:pt idx="0">
                  <c:v>60</c:v>
                </c:pt>
                <c:pt idx="1">
                  <c:v>60.041666666666664</c:v>
                </c:pt>
                <c:pt idx="2">
                  <c:v>60.125</c:v>
                </c:pt>
                <c:pt idx="3">
                  <c:v>60.208333333333336</c:v>
                </c:pt>
                <c:pt idx="4">
                  <c:v>60.291666666666664</c:v>
                </c:pt>
                <c:pt idx="5">
                  <c:v>60.375</c:v>
                </c:pt>
                <c:pt idx="6">
                  <c:v>60.458333333333336</c:v>
                </c:pt>
                <c:pt idx="7">
                  <c:v>60.541666666666664</c:v>
                </c:pt>
                <c:pt idx="8">
                  <c:v>60.625</c:v>
                </c:pt>
                <c:pt idx="9">
                  <c:v>60.708333333333336</c:v>
                </c:pt>
                <c:pt idx="10">
                  <c:v>60.791666666666664</c:v>
                </c:pt>
                <c:pt idx="11">
                  <c:v>60.875</c:v>
                </c:pt>
                <c:pt idx="12">
                  <c:v>60.958333333333336</c:v>
                </c:pt>
                <c:pt idx="13">
                  <c:v>61.041666666666664</c:v>
                </c:pt>
                <c:pt idx="14">
                  <c:v>61.125</c:v>
                </c:pt>
                <c:pt idx="15">
                  <c:v>61.208333333333336</c:v>
                </c:pt>
                <c:pt idx="16">
                  <c:v>61.291666666666664</c:v>
                </c:pt>
                <c:pt idx="17">
                  <c:v>61.375</c:v>
                </c:pt>
                <c:pt idx="18">
                  <c:v>61.458333333333336</c:v>
                </c:pt>
                <c:pt idx="19">
                  <c:v>61.541666666666664</c:v>
                </c:pt>
                <c:pt idx="20">
                  <c:v>61.625</c:v>
                </c:pt>
                <c:pt idx="21">
                  <c:v>61.708333333333336</c:v>
                </c:pt>
                <c:pt idx="22">
                  <c:v>61.791666666666664</c:v>
                </c:pt>
                <c:pt idx="23">
                  <c:v>61.875</c:v>
                </c:pt>
                <c:pt idx="24">
                  <c:v>61.958333333333336</c:v>
                </c:pt>
                <c:pt idx="25">
                  <c:v>62.041666666666664</c:v>
                </c:pt>
                <c:pt idx="26">
                  <c:v>62.125</c:v>
                </c:pt>
                <c:pt idx="27">
                  <c:v>62.208333333333336</c:v>
                </c:pt>
                <c:pt idx="28">
                  <c:v>62.291666666666664</c:v>
                </c:pt>
                <c:pt idx="29">
                  <c:v>62.375</c:v>
                </c:pt>
                <c:pt idx="30">
                  <c:v>62.458333333333336</c:v>
                </c:pt>
                <c:pt idx="31">
                  <c:v>62.541666666666664</c:v>
                </c:pt>
                <c:pt idx="32">
                  <c:v>62.625</c:v>
                </c:pt>
                <c:pt idx="33">
                  <c:v>62.708333333333336</c:v>
                </c:pt>
                <c:pt idx="34">
                  <c:v>62.791666666666664</c:v>
                </c:pt>
                <c:pt idx="35">
                  <c:v>62.875</c:v>
                </c:pt>
                <c:pt idx="36">
                  <c:v>62.958333333333336</c:v>
                </c:pt>
                <c:pt idx="37">
                  <c:v>63.041666666666664</c:v>
                </c:pt>
                <c:pt idx="38">
                  <c:v>63.125</c:v>
                </c:pt>
                <c:pt idx="39">
                  <c:v>63.208333333333336</c:v>
                </c:pt>
                <c:pt idx="40">
                  <c:v>63.291666666666664</c:v>
                </c:pt>
                <c:pt idx="41">
                  <c:v>63.375</c:v>
                </c:pt>
                <c:pt idx="42">
                  <c:v>63.458333333333336</c:v>
                </c:pt>
                <c:pt idx="43">
                  <c:v>63.541666666666664</c:v>
                </c:pt>
                <c:pt idx="44">
                  <c:v>63.625</c:v>
                </c:pt>
                <c:pt idx="45">
                  <c:v>63.708333333333336</c:v>
                </c:pt>
                <c:pt idx="46">
                  <c:v>63.791666666666664</c:v>
                </c:pt>
                <c:pt idx="47">
                  <c:v>63.875</c:v>
                </c:pt>
                <c:pt idx="48">
                  <c:v>63.958333333333336</c:v>
                </c:pt>
                <c:pt idx="49">
                  <c:v>64.041666666666671</c:v>
                </c:pt>
                <c:pt idx="50">
                  <c:v>64.125</c:v>
                </c:pt>
                <c:pt idx="51">
                  <c:v>64.208333333333329</c:v>
                </c:pt>
                <c:pt idx="52">
                  <c:v>64.291666666666671</c:v>
                </c:pt>
                <c:pt idx="53">
                  <c:v>64.375</c:v>
                </c:pt>
                <c:pt idx="54">
                  <c:v>64.458333333333329</c:v>
                </c:pt>
                <c:pt idx="55">
                  <c:v>64.541666666666671</c:v>
                </c:pt>
                <c:pt idx="56">
                  <c:v>64.625</c:v>
                </c:pt>
                <c:pt idx="57">
                  <c:v>64.708333333333329</c:v>
                </c:pt>
                <c:pt idx="58">
                  <c:v>64.791666666666671</c:v>
                </c:pt>
                <c:pt idx="59">
                  <c:v>64.875</c:v>
                </c:pt>
                <c:pt idx="60">
                  <c:v>64.958333333333329</c:v>
                </c:pt>
                <c:pt idx="61">
                  <c:v>65.041666666666671</c:v>
                </c:pt>
                <c:pt idx="62">
                  <c:v>65.125</c:v>
                </c:pt>
                <c:pt idx="63">
                  <c:v>65.208333333333329</c:v>
                </c:pt>
                <c:pt idx="64">
                  <c:v>65.291666666666671</c:v>
                </c:pt>
                <c:pt idx="65">
                  <c:v>65.375</c:v>
                </c:pt>
                <c:pt idx="66">
                  <c:v>65.458333333333329</c:v>
                </c:pt>
                <c:pt idx="67">
                  <c:v>65.541666666666671</c:v>
                </c:pt>
                <c:pt idx="68">
                  <c:v>65.625</c:v>
                </c:pt>
                <c:pt idx="69">
                  <c:v>65.708333333333329</c:v>
                </c:pt>
                <c:pt idx="70">
                  <c:v>65.791666666666671</c:v>
                </c:pt>
                <c:pt idx="71">
                  <c:v>65.875</c:v>
                </c:pt>
                <c:pt idx="72">
                  <c:v>65.958333333333329</c:v>
                </c:pt>
                <c:pt idx="73">
                  <c:v>66.041666666666671</c:v>
                </c:pt>
                <c:pt idx="74">
                  <c:v>66.125</c:v>
                </c:pt>
                <c:pt idx="75">
                  <c:v>66.208333333333329</c:v>
                </c:pt>
                <c:pt idx="76">
                  <c:v>66.291666666666671</c:v>
                </c:pt>
                <c:pt idx="77">
                  <c:v>66.375</c:v>
                </c:pt>
                <c:pt idx="78">
                  <c:v>66.458333333333329</c:v>
                </c:pt>
                <c:pt idx="79">
                  <c:v>66.541666666666671</c:v>
                </c:pt>
                <c:pt idx="80">
                  <c:v>66.625</c:v>
                </c:pt>
                <c:pt idx="81">
                  <c:v>66.708333333333329</c:v>
                </c:pt>
                <c:pt idx="82">
                  <c:v>66.791666666666671</c:v>
                </c:pt>
                <c:pt idx="83">
                  <c:v>66.875</c:v>
                </c:pt>
                <c:pt idx="84">
                  <c:v>66.958333333333329</c:v>
                </c:pt>
                <c:pt idx="85">
                  <c:v>67.041666666666671</c:v>
                </c:pt>
                <c:pt idx="86">
                  <c:v>67.125</c:v>
                </c:pt>
                <c:pt idx="87">
                  <c:v>67.208333333333329</c:v>
                </c:pt>
                <c:pt idx="88">
                  <c:v>67.291666666666671</c:v>
                </c:pt>
                <c:pt idx="89">
                  <c:v>67.375</c:v>
                </c:pt>
                <c:pt idx="90">
                  <c:v>67.458333333333329</c:v>
                </c:pt>
                <c:pt idx="91">
                  <c:v>67.541666666666671</c:v>
                </c:pt>
                <c:pt idx="92">
                  <c:v>67.625</c:v>
                </c:pt>
                <c:pt idx="93">
                  <c:v>67.708333333333329</c:v>
                </c:pt>
                <c:pt idx="94">
                  <c:v>67.791666666666671</c:v>
                </c:pt>
                <c:pt idx="95">
                  <c:v>67.875</c:v>
                </c:pt>
                <c:pt idx="96">
                  <c:v>67.958333333333329</c:v>
                </c:pt>
                <c:pt idx="97">
                  <c:v>68.041666666666671</c:v>
                </c:pt>
                <c:pt idx="98">
                  <c:v>68.125</c:v>
                </c:pt>
                <c:pt idx="99">
                  <c:v>68.208333333333329</c:v>
                </c:pt>
                <c:pt idx="100">
                  <c:v>68.291666666666671</c:v>
                </c:pt>
                <c:pt idx="101">
                  <c:v>68.375</c:v>
                </c:pt>
                <c:pt idx="102">
                  <c:v>68.458333333333329</c:v>
                </c:pt>
                <c:pt idx="103">
                  <c:v>68.541666666666671</c:v>
                </c:pt>
                <c:pt idx="104">
                  <c:v>68.625</c:v>
                </c:pt>
                <c:pt idx="105">
                  <c:v>68.708333333333329</c:v>
                </c:pt>
                <c:pt idx="106">
                  <c:v>68.791666666666671</c:v>
                </c:pt>
                <c:pt idx="107">
                  <c:v>68.875</c:v>
                </c:pt>
                <c:pt idx="108">
                  <c:v>68.958333333333329</c:v>
                </c:pt>
                <c:pt idx="109">
                  <c:v>69.041666666666671</c:v>
                </c:pt>
                <c:pt idx="110">
                  <c:v>69.125</c:v>
                </c:pt>
                <c:pt idx="111">
                  <c:v>69.208333333333329</c:v>
                </c:pt>
                <c:pt idx="112">
                  <c:v>69.291666666666671</c:v>
                </c:pt>
                <c:pt idx="113">
                  <c:v>69.375</c:v>
                </c:pt>
                <c:pt idx="114">
                  <c:v>69.458333333333329</c:v>
                </c:pt>
                <c:pt idx="115">
                  <c:v>69.541666666666671</c:v>
                </c:pt>
                <c:pt idx="116">
                  <c:v>69.625</c:v>
                </c:pt>
                <c:pt idx="117">
                  <c:v>69.708333333333329</c:v>
                </c:pt>
                <c:pt idx="118">
                  <c:v>69.791666666666671</c:v>
                </c:pt>
                <c:pt idx="119">
                  <c:v>69.875</c:v>
                </c:pt>
                <c:pt idx="120">
                  <c:v>69.958333333333329</c:v>
                </c:pt>
                <c:pt idx="121">
                  <c:v>70</c:v>
                </c:pt>
              </c:numCache>
            </c:numRef>
          </c:cat>
          <c:val>
            <c:numRef>
              <c:f>'【演習2+α】 最低保証の内容'!$J$23:$J$144</c:f>
              <c:numCache>
                <c:formatCode>0.000</c:formatCode>
                <c:ptCount val="122"/>
                <c:pt idx="1">
                  <c:v>4.1224776059925734</c:v>
                </c:pt>
                <c:pt idx="2">
                  <c:v>7.2008358998274264</c:v>
                </c:pt>
                <c:pt idx="3">
                  <c:v>9.3474630602630988</c:v>
                </c:pt>
                <c:pt idx="4">
                  <c:v>11.107486192729011</c:v>
                </c:pt>
                <c:pt idx="5">
                  <c:v>12.63966284680401</c:v>
                </c:pt>
                <c:pt idx="6">
                  <c:v>14.016749045620104</c:v>
                </c:pt>
                <c:pt idx="7">
                  <c:v>15.279326267780304</c:v>
                </c:pt>
                <c:pt idx="8">
                  <c:v>16.452781853906036</c:v>
                </c:pt>
                <c:pt idx="9">
                  <c:v>17.554254993603621</c:v>
                </c:pt>
                <c:pt idx="10">
                  <c:v>18.595965152285181</c:v>
                </c:pt>
                <c:pt idx="11">
                  <c:v>19.58698968850031</c:v>
                </c:pt>
                <c:pt idx="12">
                  <c:v>20.534291887916471</c:v>
                </c:pt>
                <c:pt idx="13">
                  <c:v>21.443353005993401</c:v>
                </c:pt>
                <c:pt idx="14">
                  <c:v>22.318580208905665</c:v>
                </c:pt>
                <c:pt idx="15">
                  <c:v>23.163580513054463</c:v>
                </c:pt>
                <c:pt idx="16">
                  <c:v>23.981350901736509</c:v>
                </c:pt>
                <c:pt idx="17">
                  <c:v>24.774413993863039</c:v>
                </c:pt>
                <c:pt idx="18">
                  <c:v>25.544917195980396</c:v>
                </c:pt>
                <c:pt idx="19">
                  <c:v>26.294706680605895</c:v>
                </c:pt>
                <c:pt idx="20">
                  <c:v>27.025383590420031</c:v>
                </c:pt>
                <c:pt idx="21">
                  <c:v>27.738347426574588</c:v>
                </c:pt>
                <c:pt idx="22">
                  <c:v>28.434830022907231</c:v>
                </c:pt>
                <c:pt idx="23">
                  <c:v>29.11592248937156</c:v>
                </c:pt>
                <c:pt idx="24">
                  <c:v>29.782596825984477</c:v>
                </c:pt>
                <c:pt idx="25">
                  <c:v>30.435723442356117</c:v>
                </c:pt>
                <c:pt idx="26">
                  <c:v>31.076085493135356</c:v>
                </c:pt>
                <c:pt idx="27">
                  <c:v>31.704390709697002</c:v>
                </c:pt>
                <c:pt idx="28">
                  <c:v>32.321281242954115</c:v>
                </c:pt>
                <c:pt idx="29">
                  <c:v>32.9273419114989</c:v>
                </c:pt>
                <c:pt idx="30">
                  <c:v>33.523107160106974</c:v>
                </c:pt>
                <c:pt idx="31">
                  <c:v>34.109066966968577</c:v>
                </c:pt>
                <c:pt idx="32">
                  <c:v>34.685671887615719</c:v>
                </c:pt>
                <c:pt idx="33">
                  <c:v>35.253337385019421</c:v>
                </c:pt>
                <c:pt idx="34">
                  <c:v>35.812447565672443</c:v>
                </c:pt>
                <c:pt idx="35">
                  <c:v>36.363358418389701</c:v>
                </c:pt>
                <c:pt idx="36">
                  <c:v>36.906400634476768</c:v>
                </c:pt>
                <c:pt idx="37">
                  <c:v>37.441882073610216</c:v>
                </c:pt>
                <c:pt idx="38">
                  <c:v>37.970089928405365</c:v>
                </c:pt>
                <c:pt idx="39">
                  <c:v>38.491292631522818</c:v>
                </c:pt>
                <c:pt idx="40">
                  <c:v>39.005741541817159</c:v>
                </c:pt>
                <c:pt idx="41">
                  <c:v>39.513672440061541</c:v>
                </c:pt>
                <c:pt idx="42">
                  <c:v>40.015306859917551</c:v>
                </c:pt>
                <c:pt idx="43">
                  <c:v>40.510853275824509</c:v>
                </c:pt>
                <c:pt idx="44">
                  <c:v>41.000508166188546</c:v>
                </c:pt>
                <c:pt idx="45">
                  <c:v>41.484456967526874</c:v>
                </c:pt>
                <c:pt idx="46">
                  <c:v>41.962874932942761</c:v>
                </c:pt>
                <c:pt idx="47">
                  <c:v>42.435927906420417</c:v>
                </c:pt>
                <c:pt idx="48">
                  <c:v>42.903773022819713</c:v>
                </c:pt>
                <c:pt idx="49">
                  <c:v>43.366559342116439</c:v>
                </c:pt>
                <c:pt idx="50">
                  <c:v>43.824428425292346</c:v>
                </c:pt>
                <c:pt idx="51">
                  <c:v>44.277514858313069</c:v>
                </c:pt>
                <c:pt idx="52">
                  <c:v>44.725946729808129</c:v>
                </c:pt>
                <c:pt idx="53">
                  <c:v>45.169846067363522</c:v>
                </c:pt>
                <c:pt idx="54">
                  <c:v>45.609329236734034</c:v>
                </c:pt>
                <c:pt idx="55">
                  <c:v>46.044507307758664</c:v>
                </c:pt>
                <c:pt idx="56">
                  <c:v>46.475486390319077</c:v>
                </c:pt>
                <c:pt idx="57">
                  <c:v>46.902367943289121</c:v>
                </c:pt>
                <c:pt idx="58">
                  <c:v>47.325249059083973</c:v>
                </c:pt>
                <c:pt idx="59">
                  <c:v>47.744222726131234</c:v>
                </c:pt>
                <c:pt idx="60">
                  <c:v>48.159378071322934</c:v>
                </c:pt>
                <c:pt idx="61">
                  <c:v>48.5708005842868</c:v>
                </c:pt>
                <c:pt idx="62">
                  <c:v>48.978572325119565</c:v>
                </c:pt>
                <c:pt idx="63">
                  <c:v>49.382772117049406</c:v>
                </c:pt>
                <c:pt idx="64">
                  <c:v>49.783475725347053</c:v>
                </c:pt>
                <c:pt idx="65">
                  <c:v>50.180756023667328</c:v>
                </c:pt>
                <c:pt idx="66">
                  <c:v>50.574683148885136</c:v>
                </c:pt>
                <c:pt idx="67">
                  <c:v>50.965324645387433</c:v>
                </c:pt>
                <c:pt idx="68">
                  <c:v>51.352745599685413</c:v>
                </c:pt>
                <c:pt idx="69">
                  <c:v>51.737008766131424</c:v>
                </c:pt>
                <c:pt idx="70">
                  <c:v>52.118174684449691</c:v>
                </c:pt>
                <c:pt idx="71">
                  <c:v>52.496301789724839</c:v>
                </c:pt>
                <c:pt idx="72">
                  <c:v>52.871446515430961</c:v>
                </c:pt>
                <c:pt idx="73">
                  <c:v>53.243663390035508</c:v>
                </c:pt>
                <c:pt idx="74">
                  <c:v>53.61300512765974</c:v>
                </c:pt>
                <c:pt idx="75">
                  <c:v>53.979522713239284</c:v>
                </c:pt>
                <c:pt idx="76">
                  <c:v>54.343265482586389</c:v>
                </c:pt>
                <c:pt idx="77">
                  <c:v>54.704281197724612</c:v>
                </c:pt>
                <c:pt idx="78">
                  <c:v>55.062616117831496</c:v>
                </c:pt>
                <c:pt idx="79">
                  <c:v>55.418315066100988</c:v>
                </c:pt>
                <c:pt idx="80">
                  <c:v>55.771421492807072</c:v>
                </c:pt>
                <c:pt idx="81">
                  <c:v>56.121977534832311</c:v>
                </c:pt>
                <c:pt idx="82">
                  <c:v>56.47002407189845</c:v>
                </c:pt>
                <c:pt idx="83">
                  <c:v>56.81560077972194</c:v>
                </c:pt>
                <c:pt idx="84">
                  <c:v>57.158746180297946</c:v>
                </c:pt>
                <c:pt idx="85">
                  <c:v>57.499497689499265</c:v>
                </c:pt>
                <c:pt idx="86">
                  <c:v>57.837891662165084</c:v>
                </c:pt>
                <c:pt idx="87">
                  <c:v>58.1739634348395</c:v>
                </c:pt>
                <c:pt idx="88">
                  <c:v>58.507747366307861</c:v>
                </c:pt>
                <c:pt idx="89">
                  <c:v>58.839276876068915</c:v>
                </c:pt>
                <c:pt idx="90">
                  <c:v>59.1685844808691</c:v>
                </c:pt>
                <c:pt idx="91">
                  <c:v>59.495701829419559</c:v>
                </c:pt>
                <c:pt idx="92">
                  <c:v>59.820659735401897</c:v>
                </c:pt>
                <c:pt idx="93">
                  <c:v>60.14348820886908</c:v>
                </c:pt>
                <c:pt idx="94">
                  <c:v>60.464216486131839</c:v>
                </c:pt>
                <c:pt idx="95">
                  <c:v>60.782873058223139</c:v>
                </c:pt>
                <c:pt idx="96">
                  <c:v>61.099485698019421</c:v>
                </c:pt>
                <c:pt idx="97">
                  <c:v>61.414081486097395</c:v>
                </c:pt>
                <c:pt idx="98">
                  <c:v>61.726686835398318</c:v>
                </c:pt>
                <c:pt idx="99">
                  <c:v>62.0373275147643</c:v>
                </c:pt>
                <c:pt idx="100">
                  <c:v>62.346028671411851</c:v>
                </c:pt>
                <c:pt idx="101">
                  <c:v>62.652814852397498</c:v>
                </c:pt>
                <c:pt idx="102">
                  <c:v>62.957710025135867</c:v>
                </c:pt>
                <c:pt idx="103">
                  <c:v>63.260737597014085</c:v>
                </c:pt>
                <c:pt idx="104">
                  <c:v>63.561920434156903</c:v>
                </c:pt>
                <c:pt idx="105">
                  <c:v>63.861280879382996</c:v>
                </c:pt>
                <c:pt idx="106">
                  <c:v>64.158840769397386</c:v>
                </c:pt>
                <c:pt idx="107">
                  <c:v>64.45462145125795</c:v>
                </c:pt>
                <c:pt idx="108">
                  <c:v>64.748643798154276</c:v>
                </c:pt>
                <c:pt idx="109">
                  <c:v>65.040928224532635</c:v>
                </c:pt>
                <c:pt idx="110">
                  <c:v>65.331494700600658</c:v>
                </c:pt>
                <c:pt idx="111">
                  <c:v>65.620362766244455</c:v>
                </c:pt>
                <c:pt idx="112">
                  <c:v>65.907551544381221</c:v>
                </c:pt>
                <c:pt idx="113">
                  <c:v>66.193079753783422</c:v>
                </c:pt>
                <c:pt idx="114">
                  <c:v>66.476965721393384</c:v>
                </c:pt>
                <c:pt idx="115">
                  <c:v>66.759227394156099</c:v>
                </c:pt>
                <c:pt idx="116">
                  <c:v>67.039882350390712</c:v>
                </c:pt>
                <c:pt idx="117">
                  <c:v>67.318947810727323</c:v>
                </c:pt>
                <c:pt idx="118">
                  <c:v>67.596440648622831</c:v>
                </c:pt>
                <c:pt idx="119">
                  <c:v>67.872377400481341</c:v>
                </c:pt>
                <c:pt idx="120">
                  <c:v>68.14677427539273</c:v>
                </c:pt>
                <c:pt idx="121">
                  <c:v>68.283400237148911</c:v>
                </c:pt>
              </c:numCache>
            </c:numRef>
          </c:val>
          <c:smooth val="0"/>
          <c:extLst>
            <c:ext xmlns:c16="http://schemas.microsoft.com/office/drawing/2014/chart" uri="{C3380CC4-5D6E-409C-BE32-E72D297353CC}">
              <c16:uniqueId val="{00000000-C4B3-45FD-AFE9-2E670E881875}"/>
            </c:ext>
          </c:extLst>
        </c:ser>
        <c:dLbls>
          <c:showLegendKey val="0"/>
          <c:showVal val="0"/>
          <c:showCatName val="0"/>
          <c:showSerName val="0"/>
          <c:showPercent val="0"/>
          <c:showBubbleSize val="0"/>
        </c:dLbls>
        <c:smooth val="0"/>
        <c:axId val="1102884960"/>
        <c:axId val="1102885288"/>
      </c:lineChart>
      <c:catAx>
        <c:axId val="1102884960"/>
        <c:scaling>
          <c:orientation val="minMax"/>
        </c:scaling>
        <c:delete val="0"/>
        <c:axPos val="b"/>
        <c:title>
          <c:tx>
            <c:rich>
              <a:bodyPr rot="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r>
                  <a:rPr lang="ja-JP" altLang="en-US" b="1"/>
                  <a:t>契約者の年齢</a:t>
                </a:r>
              </a:p>
            </c:rich>
          </c:tx>
          <c:overlay val="0"/>
          <c:spPr>
            <a:noFill/>
            <a:ln>
              <a:noFill/>
            </a:ln>
            <a:effectLst/>
          </c:spPr>
          <c:txPr>
            <a:bodyPr rot="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1102885288"/>
        <c:crosses val="autoZero"/>
        <c:auto val="1"/>
        <c:lblAlgn val="ctr"/>
        <c:lblOffset val="100"/>
        <c:tickLblSkip val="12"/>
        <c:noMultiLvlLbl val="0"/>
      </c:catAx>
      <c:valAx>
        <c:axId val="1102885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r>
                  <a:rPr lang="ja-JP" altLang="en-US" b="1"/>
                  <a:t>オプション価格</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ysClr val="windowText" lastClr="000000"/>
                  </a:solidFill>
                  <a:latin typeface="+mn-lt"/>
                  <a:ea typeface="+mn-ea"/>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ysClr val="windowText" lastClr="000000"/>
                </a:solidFill>
                <a:latin typeface="+mn-lt"/>
                <a:ea typeface="+mn-ea"/>
                <a:cs typeface="+mn-cs"/>
              </a:defRPr>
            </a:pPr>
            <a:endParaRPr lang="ja-JP"/>
          </a:p>
        </c:txPr>
        <c:crossAx val="1102884960"/>
        <c:crosses val="autoZero"/>
        <c:crossBetween val="between"/>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13</xdr:col>
      <xdr:colOff>409575</xdr:colOff>
      <xdr:row>9</xdr:row>
      <xdr:rowOff>133350</xdr:rowOff>
    </xdr:to>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685800" y="238125"/>
          <a:ext cx="8639175" cy="2038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ja-JP" altLang="en-US" sz="1100" b="1">
              <a:solidFill>
                <a:schemeClr val="dk1"/>
              </a:solidFill>
              <a:effectLst/>
              <a:latin typeface="Meiryo UI" panose="020B0604030504040204" pitchFamily="50" charset="-128"/>
              <a:ea typeface="Meiryo UI" panose="020B0604030504040204" pitchFamily="50" charset="-128"/>
              <a:cs typeface="+mn-cs"/>
            </a:rPr>
            <a:t>コピーライト・免責事項</a:t>
          </a:r>
          <a:endParaRPr lang="en-US" altLang="ja-JP" sz="1100" b="1">
            <a:solidFill>
              <a:schemeClr val="dk1"/>
            </a:solidFill>
            <a:effectLst/>
            <a:latin typeface="Meiryo UI" panose="020B0604030504040204" pitchFamily="50" charset="-128"/>
            <a:ea typeface="Meiryo UI" panose="020B0604030504040204" pitchFamily="50" charset="-128"/>
            <a:cs typeface="+mn-cs"/>
          </a:endParaRPr>
        </a:p>
        <a:p>
          <a:pPr lvl="0"/>
          <a:r>
            <a:rPr lang="ja-JP" altLang="en-US" sz="1100">
              <a:solidFill>
                <a:schemeClr val="dk1"/>
              </a:solidFill>
              <a:effectLst/>
              <a:latin typeface="Meiryo UI" panose="020B0604030504040204" pitchFamily="50" charset="-128"/>
              <a:ea typeface="Meiryo UI" panose="020B0604030504040204" pitchFamily="50" charset="-128"/>
              <a:cs typeface="+mn-cs"/>
            </a:rPr>
            <a:t>・</a:t>
          </a:r>
          <a:r>
            <a:rPr lang="ja-JP" altLang="ja-JP" sz="1100">
              <a:solidFill>
                <a:schemeClr val="dk1"/>
              </a:solidFill>
              <a:effectLst/>
              <a:latin typeface="Meiryo UI" panose="020B0604030504040204" pitchFamily="50" charset="-128"/>
              <a:ea typeface="Meiryo UI" panose="020B0604030504040204" pitchFamily="50" charset="-128"/>
              <a:cs typeface="+mn-cs"/>
            </a:rPr>
            <a:t>本資料の著作権はみずほ第一フィナンシャルテクノロジー株式会社（以下，弊社）に属し，全部または一部を，その目的を問わず無断での引用，複製，改変，転載，再配布等の行為を禁じます．また，弊社の事前の書面による承認無しに第三者に開示なさらないようにお願い致します．</a:t>
          </a:r>
        </a:p>
        <a:p>
          <a:pPr lvl="0"/>
          <a:r>
            <a:rPr lang="ja-JP" altLang="en-US" sz="1100">
              <a:solidFill>
                <a:schemeClr val="dk1"/>
              </a:solidFill>
              <a:effectLst/>
              <a:latin typeface="Meiryo UI" panose="020B0604030504040204" pitchFamily="50" charset="-128"/>
              <a:ea typeface="Meiryo UI" panose="020B0604030504040204" pitchFamily="50" charset="-128"/>
              <a:cs typeface="+mn-cs"/>
            </a:rPr>
            <a:t>・</a:t>
          </a:r>
          <a:r>
            <a:rPr lang="ja-JP" altLang="ja-JP" sz="1100">
              <a:solidFill>
                <a:schemeClr val="dk1"/>
              </a:solidFill>
              <a:effectLst/>
              <a:latin typeface="Meiryo UI" panose="020B0604030504040204" pitchFamily="50" charset="-128"/>
              <a:ea typeface="Meiryo UI" panose="020B0604030504040204" pitchFamily="50" charset="-128"/>
              <a:cs typeface="+mn-cs"/>
            </a:rPr>
            <a:t>本資料は弊社が信頼するに足りかつ正確であると判断した情報に基づき作成されておりますが，弊社はその正確性・完全性を保証するものではありません．本資料のご利用はご自身のご判断・ご責任において行うよう，また必要な場合には弁護士，会計士，税理士などにご相談の上お取り扱い下さいますようお願いします．</a:t>
          </a:r>
        </a:p>
        <a:p>
          <a:pPr lvl="0"/>
          <a:r>
            <a:rPr lang="ja-JP" altLang="en-US" sz="1100">
              <a:solidFill>
                <a:schemeClr val="dk1"/>
              </a:solidFill>
              <a:effectLst/>
              <a:latin typeface="Meiryo UI" panose="020B0604030504040204" pitchFamily="50" charset="-128"/>
              <a:ea typeface="Meiryo UI" panose="020B0604030504040204" pitchFamily="50" charset="-128"/>
              <a:cs typeface="+mn-cs"/>
            </a:rPr>
            <a:t>・</a:t>
          </a:r>
          <a:r>
            <a:rPr lang="ja-JP" altLang="ja-JP" sz="1100">
              <a:solidFill>
                <a:schemeClr val="dk1"/>
              </a:solidFill>
              <a:effectLst/>
              <a:latin typeface="Meiryo UI" panose="020B0604030504040204" pitchFamily="50" charset="-128"/>
              <a:ea typeface="Meiryo UI" panose="020B0604030504040204" pitchFamily="50" charset="-128"/>
              <a:cs typeface="+mn-cs"/>
            </a:rPr>
            <a:t>本資料の内容は，弊社および第一生命保険株式会社の公式見解を示すものでもありません．</a:t>
          </a:r>
        </a:p>
        <a:p>
          <a:r>
            <a:rPr lang="ja-JP" altLang="en-US" sz="1100">
              <a:solidFill>
                <a:schemeClr val="dk1"/>
              </a:solidFill>
              <a:effectLst/>
              <a:latin typeface="Meiryo UI" panose="020B0604030504040204" pitchFamily="50" charset="-128"/>
              <a:ea typeface="Meiryo UI" panose="020B0604030504040204" pitchFamily="50" charset="-128"/>
              <a:cs typeface="+mn-cs"/>
            </a:rPr>
            <a:t>・</a:t>
          </a:r>
          <a:r>
            <a:rPr lang="ja-JP" altLang="ja-JP" sz="1100">
              <a:solidFill>
                <a:schemeClr val="dk1"/>
              </a:solidFill>
              <a:effectLst/>
              <a:latin typeface="Meiryo UI" panose="020B0604030504040204" pitchFamily="50" charset="-128"/>
              <a:ea typeface="Meiryo UI" panose="020B0604030504040204" pitchFamily="50" charset="-128"/>
              <a:cs typeface="+mn-cs"/>
            </a:rPr>
            <a:t>本資料に掲載されている情報は，本資料の執筆時点（</a:t>
          </a:r>
          <a:r>
            <a:rPr lang="en-US" altLang="ja-JP" sz="1100">
              <a:solidFill>
                <a:schemeClr val="dk1"/>
              </a:solidFill>
              <a:effectLst/>
              <a:latin typeface="Meiryo UI" panose="020B0604030504040204" pitchFamily="50" charset="-128"/>
              <a:ea typeface="Meiryo UI" panose="020B0604030504040204" pitchFamily="50" charset="-128"/>
              <a:cs typeface="+mn-cs"/>
            </a:rPr>
            <a:t>2022</a:t>
          </a:r>
          <a:r>
            <a:rPr lang="ja-JP" altLang="ja-JP" sz="1100">
              <a:solidFill>
                <a:schemeClr val="dk1"/>
              </a:solidFill>
              <a:effectLst/>
              <a:latin typeface="Meiryo UI" panose="020B0604030504040204" pitchFamily="50" charset="-128"/>
              <a:ea typeface="Meiryo UI" panose="020B0604030504040204" pitchFamily="50" charset="-128"/>
              <a:cs typeface="+mn-cs"/>
            </a:rPr>
            <a:t>年</a:t>
          </a:r>
          <a:r>
            <a:rPr lang="en-US" altLang="ja-JP" sz="1100">
              <a:solidFill>
                <a:schemeClr val="dk1"/>
              </a:solidFill>
              <a:effectLst/>
              <a:latin typeface="Meiryo UI" panose="020B0604030504040204" pitchFamily="50" charset="-128"/>
              <a:ea typeface="Meiryo UI" panose="020B0604030504040204" pitchFamily="50" charset="-128"/>
              <a:cs typeface="+mn-cs"/>
            </a:rPr>
            <a:t>11</a:t>
          </a:r>
          <a:r>
            <a:rPr lang="ja-JP" altLang="en-US" sz="1100">
              <a:solidFill>
                <a:schemeClr val="dk1"/>
              </a:solidFill>
              <a:effectLst/>
              <a:latin typeface="Meiryo UI" panose="020B0604030504040204" pitchFamily="50" charset="-128"/>
              <a:ea typeface="Meiryo UI" panose="020B0604030504040204" pitchFamily="50" charset="-128"/>
              <a:cs typeface="+mn-cs"/>
            </a:rPr>
            <a:t>月</a:t>
          </a:r>
          <a:r>
            <a:rPr lang="ja-JP" altLang="ja-JP" sz="1100">
              <a:solidFill>
                <a:schemeClr val="dk1"/>
              </a:solidFill>
              <a:effectLst/>
              <a:latin typeface="Meiryo UI" panose="020B0604030504040204" pitchFamily="50" charset="-128"/>
              <a:ea typeface="Meiryo UI" panose="020B0604030504040204" pitchFamily="50" charset="-128"/>
              <a:cs typeface="+mn-cs"/>
            </a:rPr>
            <a:t>）の情報に基づきます．</a:t>
          </a:r>
          <a:endParaRPr kumimoji="1" lang="ja-JP" altLang="en-US" sz="1100">
            <a:latin typeface="Meiryo UI" panose="020B0604030504040204" pitchFamily="50" charset="-128"/>
            <a:ea typeface="Meiryo UI"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114300</xdr:colOff>
      <xdr:row>1</xdr:row>
      <xdr:rowOff>57150</xdr:rowOff>
    </xdr:from>
    <xdr:to>
      <xdr:col>22</xdr:col>
      <xdr:colOff>685292</xdr:colOff>
      <xdr:row>14</xdr:row>
      <xdr:rowOff>127885</xdr:rowOff>
    </xdr:to>
    <xdr:pic>
      <xdr:nvPicPr>
        <xdr:cNvPr id="11" name="図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
        <a:stretch>
          <a:fillRect/>
        </a:stretch>
      </xdr:blipFill>
      <xdr:spPr>
        <a:xfrm>
          <a:off x="8658225" y="266700"/>
          <a:ext cx="4685792" cy="2880610"/>
        </a:xfrm>
        <a:prstGeom prst="rect">
          <a:avLst/>
        </a:prstGeom>
      </xdr:spPr>
    </xdr:pic>
    <xdr:clientData/>
  </xdr:twoCellAnchor>
  <xdr:twoCellAnchor>
    <xdr:from>
      <xdr:col>8</xdr:col>
      <xdr:colOff>323849</xdr:colOff>
      <xdr:row>8</xdr:row>
      <xdr:rowOff>190500</xdr:rowOff>
    </xdr:from>
    <xdr:to>
      <xdr:col>11</xdr:col>
      <xdr:colOff>600074</xdr:colOff>
      <xdr:row>11</xdr:row>
      <xdr:rowOff>142875</xdr:rowOff>
    </xdr:to>
    <xdr:sp macro="" textlink="">
      <xdr:nvSpPr>
        <xdr:cNvPr id="6" name="角丸四角形吹き出し 5">
          <a:extLst>
            <a:ext uri="{FF2B5EF4-FFF2-40B4-BE49-F238E27FC236}">
              <a16:creationId xmlns:a16="http://schemas.microsoft.com/office/drawing/2014/main" id="{00000000-0008-0000-0100-000006000000}"/>
            </a:ext>
          </a:extLst>
        </xdr:cNvPr>
        <xdr:cNvSpPr/>
      </xdr:nvSpPr>
      <xdr:spPr>
        <a:xfrm>
          <a:off x="4352924" y="1619250"/>
          <a:ext cx="2333625" cy="628650"/>
        </a:xfrm>
        <a:prstGeom prst="wedgeRoundRectCallout">
          <a:avLst>
            <a:gd name="adj1" fmla="val -61902"/>
            <a:gd name="adj2" fmla="val 39812"/>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kumimoji="1" lang="ja-JP" altLang="en-US" sz="1000">
              <a:latin typeface="Meiryo UI" panose="020B0604030504040204" pitchFamily="50" charset="-128"/>
              <a:ea typeface="Meiryo UI" panose="020B0604030504040204" pitchFamily="50" charset="-128"/>
            </a:rPr>
            <a:t>数値を変化させたときにオプション価格が</a:t>
          </a:r>
          <a:endParaRPr kumimoji="1" lang="en-US" altLang="ja-JP" sz="1000">
            <a:latin typeface="Meiryo UI" panose="020B0604030504040204" pitchFamily="50" charset="-128"/>
            <a:ea typeface="Meiryo UI" panose="020B0604030504040204" pitchFamily="50" charset="-128"/>
          </a:endParaRPr>
        </a:p>
        <a:p>
          <a:pPr algn="l"/>
          <a:r>
            <a:rPr kumimoji="1" lang="ja-JP" altLang="en-US" sz="1000">
              <a:latin typeface="Meiryo UI" panose="020B0604030504040204" pitchFamily="50" charset="-128"/>
              <a:ea typeface="Meiryo UI" panose="020B0604030504040204" pitchFamily="50" charset="-128"/>
            </a:rPr>
            <a:t>どのように変化するか確認してみましょう。</a:t>
          </a:r>
          <a:endParaRPr kumimoji="1" lang="en-US" altLang="ja-JP" sz="1000">
            <a:latin typeface="Meiryo UI" panose="020B0604030504040204" pitchFamily="50" charset="-128"/>
            <a:ea typeface="Meiryo UI" panose="020B0604030504040204" pitchFamily="50" charset="-128"/>
          </a:endParaRPr>
        </a:p>
      </xdr:txBody>
    </xdr:sp>
    <xdr:clientData/>
  </xdr:twoCellAnchor>
  <xdr:twoCellAnchor>
    <xdr:from>
      <xdr:col>13</xdr:col>
      <xdr:colOff>285749</xdr:colOff>
      <xdr:row>16</xdr:row>
      <xdr:rowOff>200024</xdr:rowOff>
    </xdr:from>
    <xdr:to>
      <xdr:col>22</xdr:col>
      <xdr:colOff>400049</xdr:colOff>
      <xdr:row>34</xdr:row>
      <xdr:rowOff>104775</xdr:rowOff>
    </xdr:to>
    <xdr:graphicFrame macro="">
      <xdr:nvGraphicFramePr>
        <xdr:cNvPr id="5" name="グラフ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276225</xdr:colOff>
      <xdr:row>22</xdr:row>
      <xdr:rowOff>180975</xdr:rowOff>
    </xdr:from>
    <xdr:to>
      <xdr:col>11</xdr:col>
      <xdr:colOff>238125</xdr:colOff>
      <xdr:row>36</xdr:row>
      <xdr:rowOff>9525</xdr:rowOff>
    </xdr:to>
    <xdr:graphicFrame macro="">
      <xdr:nvGraphicFramePr>
        <xdr:cNvPr id="10" name="グラフ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22</xdr:row>
      <xdr:rowOff>180975</xdr:rowOff>
    </xdr:from>
    <xdr:to>
      <xdr:col>21</xdr:col>
      <xdr:colOff>333375</xdr:colOff>
      <xdr:row>35</xdr:row>
      <xdr:rowOff>133350</xdr:rowOff>
    </xdr:to>
    <xdr:graphicFrame macro="">
      <xdr:nvGraphicFramePr>
        <xdr:cNvPr id="11" name="グラフ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647700</xdr:colOff>
      <xdr:row>23</xdr:row>
      <xdr:rowOff>0</xdr:rowOff>
    </xdr:from>
    <xdr:to>
      <xdr:col>31</xdr:col>
      <xdr:colOff>609600</xdr:colOff>
      <xdr:row>35</xdr:row>
      <xdr:rowOff>152400</xdr:rowOff>
    </xdr:to>
    <xdr:graphicFrame macro="">
      <xdr:nvGraphicFramePr>
        <xdr:cNvPr id="12" name="グラフ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114301</xdr:colOff>
      <xdr:row>19</xdr:row>
      <xdr:rowOff>38100</xdr:rowOff>
    </xdr:from>
    <xdr:to>
      <xdr:col>7</xdr:col>
      <xdr:colOff>161925</xdr:colOff>
      <xdr:row>20</xdr:row>
      <xdr:rowOff>152401</xdr:rowOff>
    </xdr:to>
    <xdr:sp macro="" textlink="">
      <xdr:nvSpPr>
        <xdr:cNvPr id="6" name="角丸四角形吹き出し 5">
          <a:extLst>
            <a:ext uri="{FF2B5EF4-FFF2-40B4-BE49-F238E27FC236}">
              <a16:creationId xmlns:a16="http://schemas.microsoft.com/office/drawing/2014/main" id="{00000000-0008-0000-0200-000006000000}"/>
            </a:ext>
          </a:extLst>
        </xdr:cNvPr>
        <xdr:cNvSpPr/>
      </xdr:nvSpPr>
      <xdr:spPr>
        <a:xfrm>
          <a:off x="2085976" y="4067175"/>
          <a:ext cx="857249" cy="314326"/>
        </a:xfrm>
        <a:prstGeom prst="wedgeRoundRectCallout">
          <a:avLst>
            <a:gd name="adj1" fmla="val -39246"/>
            <a:gd name="adj2" fmla="val -78370"/>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kumimoji="1" lang="ja-JP" altLang="en-US" sz="1000">
              <a:latin typeface="Meiryo UI" panose="020B0604030504040204" pitchFamily="50" charset="-128"/>
              <a:ea typeface="Meiryo UI" panose="020B0604030504040204" pitchFamily="50" charset="-128"/>
            </a:rPr>
            <a:t>満期を設定</a:t>
          </a:r>
        </a:p>
      </xdr:txBody>
    </xdr:sp>
    <xdr:clientData/>
  </xdr:twoCellAnchor>
  <xdr:twoCellAnchor>
    <xdr:from>
      <xdr:col>15</xdr:col>
      <xdr:colOff>219075</xdr:colOff>
      <xdr:row>18</xdr:row>
      <xdr:rowOff>28575</xdr:rowOff>
    </xdr:from>
    <xdr:to>
      <xdr:col>17</xdr:col>
      <xdr:colOff>666750</xdr:colOff>
      <xdr:row>20</xdr:row>
      <xdr:rowOff>142876</xdr:rowOff>
    </xdr:to>
    <xdr:sp macro="" textlink="">
      <xdr:nvSpPr>
        <xdr:cNvPr id="7" name="角丸四角形吹き出し 6">
          <a:extLst>
            <a:ext uri="{FF2B5EF4-FFF2-40B4-BE49-F238E27FC236}">
              <a16:creationId xmlns:a16="http://schemas.microsoft.com/office/drawing/2014/main" id="{00000000-0008-0000-0200-000007000000}"/>
            </a:ext>
          </a:extLst>
        </xdr:cNvPr>
        <xdr:cNvSpPr/>
      </xdr:nvSpPr>
      <xdr:spPr>
        <a:xfrm>
          <a:off x="8001000" y="3971925"/>
          <a:ext cx="1257300" cy="390526"/>
        </a:xfrm>
        <a:prstGeom prst="wedgeRoundRectCallout">
          <a:avLst>
            <a:gd name="adj1" fmla="val -58901"/>
            <a:gd name="adj2" fmla="val -49533"/>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kumimoji="1" lang="ja-JP" altLang="en-US" sz="1000">
              <a:latin typeface="Meiryo UI" panose="020B0604030504040204" pitchFamily="50" charset="-128"/>
              <a:ea typeface="Meiryo UI" panose="020B0604030504040204" pitchFamily="50" charset="-128"/>
            </a:rPr>
            <a:t>ボラティリティを設定</a:t>
          </a:r>
        </a:p>
      </xdr:txBody>
    </xdr:sp>
    <xdr:clientData/>
  </xdr:twoCellAnchor>
  <xdr:twoCellAnchor>
    <xdr:from>
      <xdr:col>25</xdr:col>
      <xdr:colOff>104774</xdr:colOff>
      <xdr:row>18</xdr:row>
      <xdr:rowOff>76199</xdr:rowOff>
    </xdr:from>
    <xdr:to>
      <xdr:col>27</xdr:col>
      <xdr:colOff>514350</xdr:colOff>
      <xdr:row>20</xdr:row>
      <xdr:rowOff>142875</xdr:rowOff>
    </xdr:to>
    <xdr:sp macro="" textlink="">
      <xdr:nvSpPr>
        <xdr:cNvPr id="8" name="角丸四角形吹き出し 7">
          <a:extLst>
            <a:ext uri="{FF2B5EF4-FFF2-40B4-BE49-F238E27FC236}">
              <a16:creationId xmlns:a16="http://schemas.microsoft.com/office/drawing/2014/main" id="{00000000-0008-0000-0200-000008000000}"/>
            </a:ext>
          </a:extLst>
        </xdr:cNvPr>
        <xdr:cNvSpPr/>
      </xdr:nvSpPr>
      <xdr:spPr>
        <a:xfrm>
          <a:off x="13696949" y="4029074"/>
          <a:ext cx="1219201" cy="342901"/>
        </a:xfrm>
        <a:prstGeom prst="wedgeRoundRectCallout">
          <a:avLst>
            <a:gd name="adj1" fmla="val -42735"/>
            <a:gd name="adj2" fmla="val -67531"/>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kumimoji="1" lang="ja-JP" altLang="en-US" sz="1000">
              <a:latin typeface="Meiryo UI" panose="020B0604030504040204" pitchFamily="50" charset="-128"/>
              <a:ea typeface="Meiryo UI" panose="020B0604030504040204" pitchFamily="50" charset="-128"/>
            </a:rPr>
            <a:t>配当率を設定</a:t>
          </a:r>
        </a:p>
      </xdr:txBody>
    </xdr:sp>
    <xdr:clientData/>
  </xdr:twoCellAnchor>
  <xdr:twoCellAnchor editAs="oneCell">
    <xdr:from>
      <xdr:col>19</xdr:col>
      <xdr:colOff>57150</xdr:colOff>
      <xdr:row>1</xdr:row>
      <xdr:rowOff>66675</xdr:rowOff>
    </xdr:from>
    <xdr:to>
      <xdr:col>27</xdr:col>
      <xdr:colOff>304292</xdr:colOff>
      <xdr:row>14</xdr:row>
      <xdr:rowOff>99310</xdr:rowOff>
    </xdr:to>
    <xdr:pic>
      <xdr:nvPicPr>
        <xdr:cNvPr id="9" name="図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a:stretch>
          <a:fillRect/>
        </a:stretch>
      </xdr:blipFill>
      <xdr:spPr>
        <a:xfrm>
          <a:off x="10020300" y="276225"/>
          <a:ext cx="4685792" cy="288061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20</xdr:col>
      <xdr:colOff>47625</xdr:colOff>
      <xdr:row>24</xdr:row>
      <xdr:rowOff>152400</xdr:rowOff>
    </xdr:from>
    <xdr:to>
      <xdr:col>22</xdr:col>
      <xdr:colOff>638175</xdr:colOff>
      <xdr:row>26</xdr:row>
      <xdr:rowOff>228600</xdr:rowOff>
    </xdr:to>
    <xdr:sp macro="" textlink="">
      <xdr:nvSpPr>
        <xdr:cNvPr id="6" name="角丸四角形吹き出し 5">
          <a:extLst>
            <a:ext uri="{FF2B5EF4-FFF2-40B4-BE49-F238E27FC236}">
              <a16:creationId xmlns:a16="http://schemas.microsoft.com/office/drawing/2014/main" id="{00000000-0008-0000-0300-000006000000}"/>
            </a:ext>
          </a:extLst>
        </xdr:cNvPr>
        <xdr:cNvSpPr/>
      </xdr:nvSpPr>
      <xdr:spPr>
        <a:xfrm>
          <a:off x="12801600" y="5010150"/>
          <a:ext cx="1476375" cy="552450"/>
        </a:xfrm>
        <a:prstGeom prst="wedgeRoundRectCallout">
          <a:avLst>
            <a:gd name="adj1" fmla="val 19998"/>
            <a:gd name="adj2" fmla="val -71532"/>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kumimoji="1" lang="ja-JP" altLang="en-US" sz="900">
              <a:solidFill>
                <a:srgbClr val="FF0000"/>
              </a:solidFill>
              <a:latin typeface="Meiryo UI" panose="020B0604030504040204" pitchFamily="50" charset="-128"/>
              <a:ea typeface="Meiryo UI" panose="020B0604030504040204" pitchFamily="50" charset="-128"/>
            </a:rPr>
            <a:t>④</a:t>
          </a:r>
          <a:r>
            <a:rPr kumimoji="1" lang="ja-JP" altLang="en-US" sz="900">
              <a:latin typeface="Meiryo UI" panose="020B0604030504040204" pitchFamily="50" charset="-128"/>
              <a:ea typeface="Meiryo UI" panose="020B0604030504040204" pitchFamily="50" charset="-128"/>
            </a:rPr>
            <a:t> 死亡事由と生存事由に関する部分を合計</a:t>
          </a:r>
        </a:p>
      </xdr:txBody>
    </xdr:sp>
    <xdr:clientData/>
  </xdr:twoCellAnchor>
  <xdr:twoCellAnchor>
    <xdr:from>
      <xdr:col>29</xdr:col>
      <xdr:colOff>66675</xdr:colOff>
      <xdr:row>24</xdr:row>
      <xdr:rowOff>44904</xdr:rowOff>
    </xdr:from>
    <xdr:to>
      <xdr:col>32</xdr:col>
      <xdr:colOff>666750</xdr:colOff>
      <xdr:row>27</xdr:row>
      <xdr:rowOff>111578</xdr:rowOff>
    </xdr:to>
    <xdr:sp macro="" textlink="">
      <xdr:nvSpPr>
        <xdr:cNvPr id="12" name="角丸四角形吹き出し 11">
          <a:extLst>
            <a:ext uri="{FF2B5EF4-FFF2-40B4-BE49-F238E27FC236}">
              <a16:creationId xmlns:a16="http://schemas.microsoft.com/office/drawing/2014/main" id="{00000000-0008-0000-0300-00000C000000}"/>
            </a:ext>
          </a:extLst>
        </xdr:cNvPr>
        <xdr:cNvSpPr/>
      </xdr:nvSpPr>
      <xdr:spPr>
        <a:xfrm>
          <a:off x="18754725" y="4931229"/>
          <a:ext cx="1685925" cy="781049"/>
        </a:xfrm>
        <a:prstGeom prst="wedgeRoundRectCallout">
          <a:avLst>
            <a:gd name="adj1" fmla="val -4003"/>
            <a:gd name="adj2" fmla="val -75542"/>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kumimoji="1" lang="ja-JP" altLang="en-US" sz="900">
              <a:solidFill>
                <a:srgbClr val="FF0000"/>
              </a:solidFill>
              <a:latin typeface="Meiryo UI" panose="020B0604030504040204" pitchFamily="50" charset="-128"/>
              <a:ea typeface="Meiryo UI" panose="020B0604030504040204" pitchFamily="50" charset="-128"/>
            </a:rPr>
            <a:t>⑤</a:t>
          </a:r>
          <a:r>
            <a:rPr kumimoji="1" lang="ja-JP" altLang="en-US" sz="900">
              <a:latin typeface="Meiryo UI" panose="020B0604030504040204" pitchFamily="50" charset="-128"/>
              <a:ea typeface="Meiryo UI" panose="020B0604030504040204" pitchFamily="50" charset="-128"/>
            </a:rPr>
            <a:t> 収入部分と支出部分の</a:t>
          </a:r>
          <a:endParaRPr kumimoji="1" lang="en-US" altLang="ja-JP" sz="900">
            <a:latin typeface="Meiryo UI" panose="020B0604030504040204" pitchFamily="50" charset="-128"/>
            <a:ea typeface="Meiryo UI" panose="020B0604030504040204" pitchFamily="50" charset="-128"/>
          </a:endParaRPr>
        </a:p>
        <a:p>
          <a:pPr algn="l"/>
          <a:r>
            <a:rPr kumimoji="1" lang="ja-JP" altLang="en-US" sz="900">
              <a:latin typeface="Meiryo UI" panose="020B0604030504040204" pitchFamily="50" charset="-128"/>
              <a:ea typeface="Meiryo UI" panose="020B0604030504040204" pitchFamily="50" charset="-128"/>
            </a:rPr>
            <a:t>合計の二乗誤差を計算</a:t>
          </a:r>
          <a:endParaRPr kumimoji="1" lang="en-US" altLang="ja-JP" sz="900">
            <a:latin typeface="Meiryo UI" panose="020B0604030504040204" pitchFamily="50" charset="-128"/>
            <a:ea typeface="Meiryo UI" panose="020B0604030504040204" pitchFamily="50" charset="-128"/>
          </a:endParaRPr>
        </a:p>
        <a:p>
          <a:pPr algn="l"/>
          <a:r>
            <a:rPr kumimoji="1" lang="ja-JP" altLang="en-US" sz="900">
              <a:latin typeface="Meiryo UI" panose="020B0604030504040204" pitchFamily="50" charset="-128"/>
              <a:ea typeface="Meiryo UI" panose="020B0604030504040204" pitchFamily="50" charset="-128"/>
            </a:rPr>
            <a:t>（ソルバーにおける目的変数）</a:t>
          </a:r>
        </a:p>
      </xdr:txBody>
    </xdr:sp>
    <xdr:clientData/>
  </xdr:twoCellAnchor>
  <xdr:twoCellAnchor editAs="oneCell">
    <xdr:from>
      <xdr:col>27</xdr:col>
      <xdr:colOff>676275</xdr:colOff>
      <xdr:row>0</xdr:row>
      <xdr:rowOff>190500</xdr:rowOff>
    </xdr:from>
    <xdr:to>
      <xdr:col>39</xdr:col>
      <xdr:colOff>31846</xdr:colOff>
      <xdr:row>19</xdr:row>
      <xdr:rowOff>63975</xdr:rowOff>
    </xdr:to>
    <xdr:pic>
      <xdr:nvPicPr>
        <xdr:cNvPr id="14" name="図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1"/>
        <a:stretch>
          <a:fillRect/>
        </a:stretch>
      </xdr:blipFill>
      <xdr:spPr>
        <a:xfrm>
          <a:off x="17259300" y="190500"/>
          <a:ext cx="5899246" cy="3750150"/>
        </a:xfrm>
        <a:prstGeom prst="rect">
          <a:avLst/>
        </a:prstGeom>
      </xdr:spPr>
    </xdr:pic>
    <xdr:clientData/>
  </xdr:twoCellAnchor>
  <xdr:twoCellAnchor>
    <xdr:from>
      <xdr:col>18</xdr:col>
      <xdr:colOff>619125</xdr:colOff>
      <xdr:row>24</xdr:row>
      <xdr:rowOff>142875</xdr:rowOff>
    </xdr:from>
    <xdr:to>
      <xdr:col>19</xdr:col>
      <xdr:colOff>1343025</xdr:colOff>
      <xdr:row>27</xdr:row>
      <xdr:rowOff>180975</xdr:rowOff>
    </xdr:to>
    <xdr:sp macro="" textlink="">
      <xdr:nvSpPr>
        <xdr:cNvPr id="17" name="角丸四角形吹き出し 16">
          <a:extLst>
            <a:ext uri="{FF2B5EF4-FFF2-40B4-BE49-F238E27FC236}">
              <a16:creationId xmlns:a16="http://schemas.microsoft.com/office/drawing/2014/main" id="{00000000-0008-0000-0300-000011000000}"/>
            </a:ext>
          </a:extLst>
        </xdr:cNvPr>
        <xdr:cNvSpPr/>
      </xdr:nvSpPr>
      <xdr:spPr>
        <a:xfrm>
          <a:off x="11268075" y="4991100"/>
          <a:ext cx="1409700" cy="752475"/>
        </a:xfrm>
        <a:prstGeom prst="wedgeRoundRectCallout">
          <a:avLst>
            <a:gd name="adj1" fmla="val -28428"/>
            <a:gd name="adj2" fmla="val -70023"/>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kumimoji="1" lang="ja-JP" altLang="en-US" sz="900">
              <a:solidFill>
                <a:srgbClr val="FF0000"/>
              </a:solidFill>
              <a:latin typeface="Meiryo UI" panose="020B0604030504040204" pitchFamily="50" charset="-128"/>
              <a:ea typeface="Meiryo UI" panose="020B0604030504040204" pitchFamily="50" charset="-128"/>
            </a:rPr>
            <a:t>③</a:t>
          </a:r>
          <a:r>
            <a:rPr kumimoji="1" lang="ja-JP" altLang="en-US" sz="900">
              <a:latin typeface="Meiryo UI" panose="020B0604030504040204" pitchFamily="50" charset="-128"/>
              <a:ea typeface="Meiryo UI" panose="020B0604030504040204" pitchFamily="50" charset="-128"/>
            </a:rPr>
            <a:t> オプション価格と生存率より生存事由に関する部分を計算</a:t>
          </a:r>
        </a:p>
      </xdr:txBody>
    </xdr:sp>
    <xdr:clientData/>
  </xdr:twoCellAnchor>
  <xdr:twoCellAnchor>
    <xdr:from>
      <xdr:col>15</xdr:col>
      <xdr:colOff>200025</xdr:colOff>
      <xdr:row>24</xdr:row>
      <xdr:rowOff>171450</xdr:rowOff>
    </xdr:from>
    <xdr:to>
      <xdr:col>18</xdr:col>
      <xdr:colOff>142875</xdr:colOff>
      <xdr:row>27</xdr:row>
      <xdr:rowOff>209550</xdr:rowOff>
    </xdr:to>
    <xdr:sp macro="" textlink="">
      <xdr:nvSpPr>
        <xdr:cNvPr id="19" name="角丸四角形吹き出し 18">
          <a:extLst>
            <a:ext uri="{FF2B5EF4-FFF2-40B4-BE49-F238E27FC236}">
              <a16:creationId xmlns:a16="http://schemas.microsoft.com/office/drawing/2014/main" id="{00000000-0008-0000-0300-000013000000}"/>
            </a:ext>
          </a:extLst>
        </xdr:cNvPr>
        <xdr:cNvSpPr/>
      </xdr:nvSpPr>
      <xdr:spPr>
        <a:xfrm>
          <a:off x="9277350" y="5019675"/>
          <a:ext cx="1514475" cy="752475"/>
        </a:xfrm>
        <a:prstGeom prst="wedgeRoundRectCallout">
          <a:avLst>
            <a:gd name="adj1" fmla="val -59617"/>
            <a:gd name="adj2" fmla="val 16184"/>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kumimoji="1" lang="ja-JP" altLang="en-US" sz="900">
              <a:solidFill>
                <a:srgbClr val="FF0000"/>
              </a:solidFill>
              <a:latin typeface="Meiryo UI" panose="020B0604030504040204" pitchFamily="50" charset="-128"/>
              <a:ea typeface="Meiryo UI" panose="020B0604030504040204" pitchFamily="50" charset="-128"/>
            </a:rPr>
            <a:t>②</a:t>
          </a:r>
          <a:r>
            <a:rPr kumimoji="1" lang="ja-JP" altLang="en-US" sz="900">
              <a:latin typeface="Meiryo UI" panose="020B0604030504040204" pitchFamily="50" charset="-128"/>
              <a:ea typeface="Meiryo UI" panose="020B0604030504040204" pitchFamily="50" charset="-128"/>
            </a:rPr>
            <a:t> オプション価格と死亡率より死亡事由に関する部分を計算</a:t>
          </a:r>
        </a:p>
      </xdr:txBody>
    </xdr:sp>
    <xdr:clientData/>
  </xdr:twoCellAnchor>
  <xdr:twoCellAnchor>
    <xdr:from>
      <xdr:col>15</xdr:col>
      <xdr:colOff>77559</xdr:colOff>
      <xdr:row>28</xdr:row>
      <xdr:rowOff>59873</xdr:rowOff>
    </xdr:from>
    <xdr:to>
      <xdr:col>22</xdr:col>
      <xdr:colOff>579663</xdr:colOff>
      <xdr:row>42</xdr:row>
      <xdr:rowOff>93891</xdr:rowOff>
    </xdr:to>
    <xdr:graphicFrame macro="">
      <xdr:nvGraphicFramePr>
        <xdr:cNvPr id="8" name="グラフ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66675</xdr:colOff>
      <xdr:row>42</xdr:row>
      <xdr:rowOff>161925</xdr:rowOff>
    </xdr:from>
    <xdr:to>
      <xdr:col>22</xdr:col>
      <xdr:colOff>581025</xdr:colOff>
      <xdr:row>56</xdr:row>
      <xdr:rowOff>142875</xdr:rowOff>
    </xdr:to>
    <xdr:graphicFrame macro="">
      <xdr:nvGraphicFramePr>
        <xdr:cNvPr id="10" name="グラフ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342900</xdr:colOff>
      <xdr:row>17</xdr:row>
      <xdr:rowOff>95250</xdr:rowOff>
    </xdr:from>
    <xdr:to>
      <xdr:col>12</xdr:col>
      <xdr:colOff>349828</xdr:colOff>
      <xdr:row>19</xdr:row>
      <xdr:rowOff>18184</xdr:rowOff>
    </xdr:to>
    <xdr:sp macro="[0]!CalcInsuranceFee" textlink="">
      <xdr:nvSpPr>
        <xdr:cNvPr id="21" name="正方形/長方形 20">
          <a:extLst>
            <a:ext uri="{FF2B5EF4-FFF2-40B4-BE49-F238E27FC236}">
              <a16:creationId xmlns:a16="http://schemas.microsoft.com/office/drawing/2014/main" id="{00000000-0008-0000-0300-000015000000}"/>
            </a:ext>
          </a:extLst>
        </xdr:cNvPr>
        <xdr:cNvSpPr/>
      </xdr:nvSpPr>
      <xdr:spPr>
        <a:xfrm>
          <a:off x="4371975" y="3562350"/>
          <a:ext cx="2264353" cy="33250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最低保証にかかる費用算出</a:t>
          </a:r>
        </a:p>
      </xdr:txBody>
    </xdr:sp>
    <xdr:clientData/>
  </xdr:twoCellAnchor>
  <xdr:twoCellAnchor>
    <xdr:from>
      <xdr:col>8</xdr:col>
      <xdr:colOff>666750</xdr:colOff>
      <xdr:row>19</xdr:row>
      <xdr:rowOff>142875</xdr:rowOff>
    </xdr:from>
    <xdr:to>
      <xdr:col>11</xdr:col>
      <xdr:colOff>123825</xdr:colOff>
      <xdr:row>22</xdr:row>
      <xdr:rowOff>47625</xdr:rowOff>
    </xdr:to>
    <xdr:sp macro="" textlink="">
      <xdr:nvSpPr>
        <xdr:cNvPr id="11" name="角丸四角形吹き出し 10">
          <a:extLst>
            <a:ext uri="{FF2B5EF4-FFF2-40B4-BE49-F238E27FC236}">
              <a16:creationId xmlns:a16="http://schemas.microsoft.com/office/drawing/2014/main" id="{00000000-0008-0000-0300-00000B000000}"/>
            </a:ext>
          </a:extLst>
        </xdr:cNvPr>
        <xdr:cNvSpPr/>
      </xdr:nvSpPr>
      <xdr:spPr>
        <a:xfrm>
          <a:off x="4695825" y="4019550"/>
          <a:ext cx="1514475" cy="561975"/>
        </a:xfrm>
        <a:prstGeom prst="wedgeRoundRectCallout">
          <a:avLst>
            <a:gd name="adj1" fmla="val 47302"/>
            <a:gd name="adj2" fmla="val 106336"/>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kumimoji="1" lang="ja-JP" altLang="en-US" sz="900">
              <a:solidFill>
                <a:srgbClr val="FF0000"/>
              </a:solidFill>
              <a:latin typeface="Meiryo UI" panose="020B0604030504040204" pitchFamily="50" charset="-128"/>
              <a:ea typeface="Meiryo UI" panose="020B0604030504040204" pitchFamily="50" charset="-128"/>
            </a:rPr>
            <a:t>①</a:t>
          </a:r>
          <a:r>
            <a:rPr kumimoji="1" lang="ja-JP" altLang="en-US" sz="900">
              <a:latin typeface="Meiryo UI" panose="020B0604030504040204" pitchFamily="50" charset="-128"/>
              <a:ea typeface="Meiryo UI" panose="020B0604030504040204" pitchFamily="50" charset="-128"/>
            </a:rPr>
            <a:t> 表３より必要な情報を取って来ましょう</a:t>
          </a:r>
        </a:p>
      </xdr:txBody>
    </xdr:sp>
    <xdr:clientData/>
  </xdr:twoCellAnchor>
  <xdr:twoCellAnchor>
    <xdr:from>
      <xdr:col>12</xdr:col>
      <xdr:colOff>657225</xdr:colOff>
      <xdr:row>16</xdr:row>
      <xdr:rowOff>180975</xdr:rowOff>
    </xdr:from>
    <xdr:to>
      <xdr:col>14</xdr:col>
      <xdr:colOff>820511</xdr:colOff>
      <xdr:row>19</xdr:row>
      <xdr:rowOff>155121</xdr:rowOff>
    </xdr:to>
    <xdr:sp macro="" textlink="">
      <xdr:nvSpPr>
        <xdr:cNvPr id="13" name="角丸四角形吹き出し 12">
          <a:extLst>
            <a:ext uri="{FF2B5EF4-FFF2-40B4-BE49-F238E27FC236}">
              <a16:creationId xmlns:a16="http://schemas.microsoft.com/office/drawing/2014/main" id="{00000000-0008-0000-0300-00000D000000}"/>
            </a:ext>
          </a:extLst>
        </xdr:cNvPr>
        <xdr:cNvSpPr/>
      </xdr:nvSpPr>
      <xdr:spPr>
        <a:xfrm>
          <a:off x="6943725" y="3448050"/>
          <a:ext cx="1534886" cy="583746"/>
        </a:xfrm>
        <a:prstGeom prst="wedgeRoundRectCallout">
          <a:avLst>
            <a:gd name="adj1" fmla="val -69783"/>
            <a:gd name="adj2" fmla="val -12838"/>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kumimoji="1" lang="ja-JP" altLang="en-US" sz="900">
              <a:solidFill>
                <a:srgbClr val="FF0000"/>
              </a:solidFill>
              <a:latin typeface="Meiryo UI" panose="020B0604030504040204" pitchFamily="50" charset="-128"/>
              <a:ea typeface="Meiryo UI" panose="020B0604030504040204" pitchFamily="50" charset="-128"/>
            </a:rPr>
            <a:t>⑥</a:t>
          </a:r>
          <a:r>
            <a:rPr kumimoji="1" lang="ja-JP" altLang="en-US" sz="900">
              <a:latin typeface="Meiryo UI" panose="020B0604030504040204" pitchFamily="50" charset="-128"/>
              <a:ea typeface="Meiryo UI" panose="020B0604030504040204" pitchFamily="50" charset="-128"/>
            </a:rPr>
            <a:t> ボタンを押して最低保証に係る費用を計算</a:t>
          </a:r>
        </a:p>
      </xdr:txBody>
    </xdr:sp>
    <xdr:clientData/>
  </xdr:twoCellAnchor>
  <xdr:twoCellAnchor>
    <xdr:from>
      <xdr:col>13</xdr:col>
      <xdr:colOff>66675</xdr:colOff>
      <xdr:row>8</xdr:row>
      <xdr:rowOff>161925</xdr:rowOff>
    </xdr:from>
    <xdr:to>
      <xdr:col>14</xdr:col>
      <xdr:colOff>1362075</xdr:colOff>
      <xdr:row>10</xdr:row>
      <xdr:rowOff>133350</xdr:rowOff>
    </xdr:to>
    <xdr:sp macro="" textlink="">
      <xdr:nvSpPr>
        <xdr:cNvPr id="15" name="角丸四角形吹き出し 14">
          <a:extLst>
            <a:ext uri="{FF2B5EF4-FFF2-40B4-BE49-F238E27FC236}">
              <a16:creationId xmlns:a16="http://schemas.microsoft.com/office/drawing/2014/main" id="{00000000-0008-0000-0300-00000F000000}"/>
            </a:ext>
          </a:extLst>
        </xdr:cNvPr>
        <xdr:cNvSpPr/>
      </xdr:nvSpPr>
      <xdr:spPr>
        <a:xfrm>
          <a:off x="7038975" y="1800225"/>
          <a:ext cx="1981200" cy="381000"/>
        </a:xfrm>
        <a:prstGeom prst="wedgeRoundRectCallout">
          <a:avLst>
            <a:gd name="adj1" fmla="val -47892"/>
            <a:gd name="adj2" fmla="val 64032"/>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kumimoji="1" lang="en-US" altLang="ja-JP" sz="900">
              <a:solidFill>
                <a:sysClr val="windowText" lastClr="000000"/>
              </a:solidFill>
              <a:latin typeface="Meiryo UI" panose="020B0604030504040204" pitchFamily="50" charset="-128"/>
              <a:ea typeface="Meiryo UI" panose="020B0604030504040204" pitchFamily="50" charset="-128"/>
            </a:rPr>
            <a:t>10</a:t>
          </a:r>
          <a:r>
            <a:rPr kumimoji="1" lang="ja-JP" altLang="en-US" sz="900">
              <a:solidFill>
                <a:sysClr val="windowText" lastClr="000000"/>
              </a:solidFill>
              <a:latin typeface="Meiryo UI" panose="020B0604030504040204" pitchFamily="50" charset="-128"/>
              <a:ea typeface="Meiryo UI" panose="020B0604030504040204" pitchFamily="50" charset="-128"/>
            </a:rPr>
            <a:t>年以下の数値を入力してください。</a:t>
          </a:r>
        </a:p>
      </xdr:txBody>
    </xdr:sp>
    <xdr:clientData/>
  </xdr:twoCellAnchor>
  <xdr:twoCellAnchor>
    <xdr:from>
      <xdr:col>3</xdr:col>
      <xdr:colOff>47625</xdr:colOff>
      <xdr:row>15</xdr:row>
      <xdr:rowOff>104775</xdr:rowOff>
    </xdr:from>
    <xdr:to>
      <xdr:col>6</xdr:col>
      <xdr:colOff>254578</xdr:colOff>
      <xdr:row>17</xdr:row>
      <xdr:rowOff>37234</xdr:rowOff>
    </xdr:to>
    <xdr:sp macro="[0]!ResetParam" textlink="">
      <xdr:nvSpPr>
        <xdr:cNvPr id="22" name="正方形/長方形 21">
          <a:extLst>
            <a:ext uri="{FF2B5EF4-FFF2-40B4-BE49-F238E27FC236}">
              <a16:creationId xmlns:a16="http://schemas.microsoft.com/office/drawing/2014/main" id="{00000000-0008-0000-0300-000016000000}"/>
            </a:ext>
          </a:extLst>
        </xdr:cNvPr>
        <xdr:cNvSpPr/>
      </xdr:nvSpPr>
      <xdr:spPr>
        <a:xfrm>
          <a:off x="647700" y="3171825"/>
          <a:ext cx="2264353" cy="33250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パラメータを初期値に戻す</a:t>
          </a:r>
        </a:p>
      </xdr:txBody>
    </xdr:sp>
    <xdr:clientData/>
  </xdr:twoCellAnchor>
  <xdr:twoCellAnchor>
    <xdr:from>
      <xdr:col>5</xdr:col>
      <xdr:colOff>685799</xdr:colOff>
      <xdr:row>17</xdr:row>
      <xdr:rowOff>19050</xdr:rowOff>
    </xdr:from>
    <xdr:to>
      <xdr:col>8</xdr:col>
      <xdr:colOff>276224</xdr:colOff>
      <xdr:row>19</xdr:row>
      <xdr:rowOff>193221</xdr:rowOff>
    </xdr:to>
    <xdr:sp macro="" textlink="">
      <xdr:nvSpPr>
        <xdr:cNvPr id="23" name="角丸四角形吹き出し 22">
          <a:extLst>
            <a:ext uri="{FF2B5EF4-FFF2-40B4-BE49-F238E27FC236}">
              <a16:creationId xmlns:a16="http://schemas.microsoft.com/office/drawing/2014/main" id="{00000000-0008-0000-0300-000017000000}"/>
            </a:ext>
          </a:extLst>
        </xdr:cNvPr>
        <xdr:cNvSpPr/>
      </xdr:nvSpPr>
      <xdr:spPr>
        <a:xfrm>
          <a:off x="2657474" y="3486150"/>
          <a:ext cx="1647825" cy="583746"/>
        </a:xfrm>
        <a:prstGeom prst="wedgeRoundRectCallout">
          <a:avLst>
            <a:gd name="adj1" fmla="val -34411"/>
            <a:gd name="adj2" fmla="val -69948"/>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kumimoji="1" lang="ja-JP" altLang="en-US" sz="900">
              <a:latin typeface="Meiryo UI" panose="020B0604030504040204" pitchFamily="50" charset="-128"/>
              <a:ea typeface="Meiryo UI" panose="020B0604030504040204" pitchFamily="50" charset="-128"/>
            </a:rPr>
            <a:t>パラメータを変更した場合、初期値にリセットしてください。</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173181</xdr:colOff>
      <xdr:row>21</xdr:row>
      <xdr:rowOff>22515</xdr:rowOff>
    </xdr:from>
    <xdr:to>
      <xdr:col>26</xdr:col>
      <xdr:colOff>71868</xdr:colOff>
      <xdr:row>32</xdr:row>
      <xdr:rowOff>103909</xdr:rowOff>
    </xdr:to>
    <xdr:graphicFrame macro="">
      <xdr:nvGraphicFramePr>
        <xdr:cNvPr id="8" name="グラフ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111702</xdr:colOff>
      <xdr:row>21</xdr:row>
      <xdr:rowOff>1</xdr:rowOff>
    </xdr:from>
    <xdr:to>
      <xdr:col>17</xdr:col>
      <xdr:colOff>196561</xdr:colOff>
      <xdr:row>32</xdr:row>
      <xdr:rowOff>129887</xdr:rowOff>
    </xdr:to>
    <xdr:graphicFrame macro="">
      <xdr:nvGraphicFramePr>
        <xdr:cNvPr id="5" name="グラフ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60614</xdr:colOff>
      <xdr:row>20</xdr:row>
      <xdr:rowOff>199159</xdr:rowOff>
    </xdr:from>
    <xdr:to>
      <xdr:col>33</xdr:col>
      <xdr:colOff>337704</xdr:colOff>
      <xdr:row>32</xdr:row>
      <xdr:rowOff>123825</xdr:rowOff>
    </xdr:to>
    <xdr:graphicFrame macro="">
      <xdr:nvGraphicFramePr>
        <xdr:cNvPr id="6" name="グラフ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xdr:colOff>
      <xdr:row>21</xdr:row>
      <xdr:rowOff>0</xdr:rowOff>
    </xdr:from>
    <xdr:to>
      <xdr:col>10</xdr:col>
      <xdr:colOff>1</xdr:colOff>
      <xdr:row>32</xdr:row>
      <xdr:rowOff>123825</xdr:rowOff>
    </xdr:to>
    <xdr:graphicFrame macro="">
      <xdr:nvGraphicFramePr>
        <xdr:cNvPr id="7" name="グラフ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19</xdr:row>
      <xdr:rowOff>0</xdr:rowOff>
    </xdr:from>
    <xdr:to>
      <xdr:col>5</xdr:col>
      <xdr:colOff>619125</xdr:colOff>
      <xdr:row>20</xdr:row>
      <xdr:rowOff>133350</xdr:rowOff>
    </xdr:to>
    <xdr:sp macro="[0]!CalcSensitivityVol" textlink="">
      <xdr:nvSpPr>
        <xdr:cNvPr id="9" name="正方形/長方形 8">
          <a:extLst>
            <a:ext uri="{FF2B5EF4-FFF2-40B4-BE49-F238E27FC236}">
              <a16:creationId xmlns:a16="http://schemas.microsoft.com/office/drawing/2014/main" id="{00000000-0008-0000-0400-000009000000}"/>
            </a:ext>
          </a:extLst>
        </xdr:cNvPr>
        <xdr:cNvSpPr/>
      </xdr:nvSpPr>
      <xdr:spPr>
        <a:xfrm>
          <a:off x="600075" y="1847850"/>
          <a:ext cx="2266950" cy="333375"/>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図示化実施（ボラティリティ）</a:t>
          </a:r>
        </a:p>
      </xdr:txBody>
    </xdr:sp>
    <xdr:clientData/>
  </xdr:twoCellAnchor>
  <xdr:twoCellAnchor>
    <xdr:from>
      <xdr:col>11</xdr:col>
      <xdr:colOff>0</xdr:colOff>
      <xdr:row>19</xdr:row>
      <xdr:rowOff>0</xdr:rowOff>
    </xdr:from>
    <xdr:to>
      <xdr:col>13</xdr:col>
      <xdr:colOff>619125</xdr:colOff>
      <xdr:row>20</xdr:row>
      <xdr:rowOff>133350</xdr:rowOff>
    </xdr:to>
    <xdr:sp macro="[0]!CalcSensitivityOld" textlink="">
      <xdr:nvSpPr>
        <xdr:cNvPr id="11" name="正方形/長方形 10">
          <a:extLst>
            <a:ext uri="{FF2B5EF4-FFF2-40B4-BE49-F238E27FC236}">
              <a16:creationId xmlns:a16="http://schemas.microsoft.com/office/drawing/2014/main" id="{00000000-0008-0000-0400-00000B000000}"/>
            </a:ext>
          </a:extLst>
        </xdr:cNvPr>
        <xdr:cNvSpPr/>
      </xdr:nvSpPr>
      <xdr:spPr>
        <a:xfrm>
          <a:off x="5391150" y="1847850"/>
          <a:ext cx="2266950" cy="333375"/>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図示化実施（年齢）</a:t>
          </a:r>
        </a:p>
      </xdr:txBody>
    </xdr:sp>
    <xdr:clientData/>
  </xdr:twoCellAnchor>
  <xdr:twoCellAnchor>
    <xdr:from>
      <xdr:col>27</xdr:col>
      <xdr:colOff>0</xdr:colOff>
      <xdr:row>19</xdr:row>
      <xdr:rowOff>0</xdr:rowOff>
    </xdr:from>
    <xdr:to>
      <xdr:col>29</xdr:col>
      <xdr:colOff>619125</xdr:colOff>
      <xdr:row>20</xdr:row>
      <xdr:rowOff>133350</xdr:rowOff>
    </xdr:to>
    <xdr:sp macro="[0]!CalcSensitivityStrike" textlink="">
      <xdr:nvSpPr>
        <xdr:cNvPr id="13" name="正方形/長方形 12">
          <a:extLst>
            <a:ext uri="{FF2B5EF4-FFF2-40B4-BE49-F238E27FC236}">
              <a16:creationId xmlns:a16="http://schemas.microsoft.com/office/drawing/2014/main" id="{00000000-0008-0000-0400-00000D000000}"/>
            </a:ext>
          </a:extLst>
        </xdr:cNvPr>
        <xdr:cNvSpPr/>
      </xdr:nvSpPr>
      <xdr:spPr>
        <a:xfrm>
          <a:off x="10182225" y="1847850"/>
          <a:ext cx="2266950" cy="333375"/>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図示化実施（行使価格）</a:t>
          </a:r>
        </a:p>
      </xdr:txBody>
    </xdr:sp>
    <xdr:clientData/>
  </xdr:twoCellAnchor>
  <xdr:twoCellAnchor>
    <xdr:from>
      <xdr:col>18</xdr:col>
      <xdr:colOff>178376</xdr:colOff>
      <xdr:row>18</xdr:row>
      <xdr:rowOff>195695</xdr:rowOff>
    </xdr:from>
    <xdr:to>
      <xdr:col>21</xdr:col>
      <xdr:colOff>545523</xdr:colOff>
      <xdr:row>20</xdr:row>
      <xdr:rowOff>129886</xdr:rowOff>
    </xdr:to>
    <xdr:sp macro="[0]!CalcSensitivityContractPeriod" textlink="">
      <xdr:nvSpPr>
        <xdr:cNvPr id="10" name="正方形/長方形 9">
          <a:extLst>
            <a:ext uri="{FF2B5EF4-FFF2-40B4-BE49-F238E27FC236}">
              <a16:creationId xmlns:a16="http://schemas.microsoft.com/office/drawing/2014/main" id="{00000000-0008-0000-0400-00000A000000}"/>
            </a:ext>
          </a:extLst>
        </xdr:cNvPr>
        <xdr:cNvSpPr/>
      </xdr:nvSpPr>
      <xdr:spPr>
        <a:xfrm>
          <a:off x="10136331" y="4213513"/>
          <a:ext cx="2211533" cy="33250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図示化実施（契約期間）</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15</xdr:col>
      <xdr:colOff>77559</xdr:colOff>
      <xdr:row>27</xdr:row>
      <xdr:rowOff>59873</xdr:rowOff>
    </xdr:from>
    <xdr:to>
      <xdr:col>22</xdr:col>
      <xdr:colOff>579663</xdr:colOff>
      <xdr:row>41</xdr:row>
      <xdr:rowOff>93891</xdr:rowOff>
    </xdr:to>
    <xdr:graphicFrame macro="">
      <xdr:nvGraphicFramePr>
        <xdr:cNvPr id="7" name="グラフ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66675</xdr:colOff>
      <xdr:row>41</xdr:row>
      <xdr:rowOff>161925</xdr:rowOff>
    </xdr:from>
    <xdr:to>
      <xdr:col>22</xdr:col>
      <xdr:colOff>581025</xdr:colOff>
      <xdr:row>55</xdr:row>
      <xdr:rowOff>142875</xdr:rowOff>
    </xdr:to>
    <xdr:graphicFrame macro="">
      <xdr:nvGraphicFramePr>
        <xdr:cNvPr id="8" name="グラフ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xdr:colOff>
      <xdr:row>14</xdr:row>
      <xdr:rowOff>142875</xdr:rowOff>
    </xdr:from>
    <xdr:to>
      <xdr:col>6</xdr:col>
      <xdr:colOff>226003</xdr:colOff>
      <xdr:row>16</xdr:row>
      <xdr:rowOff>75334</xdr:rowOff>
    </xdr:to>
    <xdr:sp macro="[0]!CalcInsuranceFee" textlink="">
      <xdr:nvSpPr>
        <xdr:cNvPr id="9" name="正方形/長方形 8">
          <a:extLst>
            <a:ext uri="{FF2B5EF4-FFF2-40B4-BE49-F238E27FC236}">
              <a16:creationId xmlns:a16="http://schemas.microsoft.com/office/drawing/2014/main" id="{00000000-0008-0000-0500-000009000000}"/>
            </a:ext>
          </a:extLst>
        </xdr:cNvPr>
        <xdr:cNvSpPr/>
      </xdr:nvSpPr>
      <xdr:spPr>
        <a:xfrm>
          <a:off x="619125" y="3209925"/>
          <a:ext cx="2264353" cy="33250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最低保証にかかる費用算出</a:t>
          </a:r>
        </a:p>
      </xdr:txBody>
    </xdr:sp>
    <xdr:clientData/>
  </xdr:twoCellAnchor>
  <xdr:twoCellAnchor editAs="oneCell">
    <xdr:from>
      <xdr:col>17</xdr:col>
      <xdr:colOff>0</xdr:colOff>
      <xdr:row>0</xdr:row>
      <xdr:rowOff>0</xdr:rowOff>
    </xdr:from>
    <xdr:to>
      <xdr:col>25</xdr:col>
      <xdr:colOff>650971</xdr:colOff>
      <xdr:row>18</xdr:row>
      <xdr:rowOff>121125</xdr:rowOff>
    </xdr:to>
    <xdr:pic>
      <xdr:nvPicPr>
        <xdr:cNvPr id="13" name="図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3"/>
        <a:stretch>
          <a:fillRect/>
        </a:stretch>
      </xdr:blipFill>
      <xdr:spPr>
        <a:xfrm>
          <a:off x="9963150" y="0"/>
          <a:ext cx="5899246" cy="3750150"/>
        </a:xfrm>
        <a:prstGeom prst="rect">
          <a:avLst/>
        </a:prstGeom>
      </xdr:spPr>
    </xdr:pic>
    <xdr:clientData/>
  </xdr:twoCellAnchor>
  <xdr:twoCellAnchor>
    <xdr:from>
      <xdr:col>13</xdr:col>
      <xdr:colOff>76200</xdr:colOff>
      <xdr:row>6</xdr:row>
      <xdr:rowOff>9525</xdr:rowOff>
    </xdr:from>
    <xdr:to>
      <xdr:col>14</xdr:col>
      <xdr:colOff>523875</xdr:colOff>
      <xdr:row>8</xdr:row>
      <xdr:rowOff>171450</xdr:rowOff>
    </xdr:to>
    <xdr:sp macro="" textlink="">
      <xdr:nvSpPr>
        <xdr:cNvPr id="14" name="角丸四角形吹き出し 13">
          <a:extLst>
            <a:ext uri="{FF2B5EF4-FFF2-40B4-BE49-F238E27FC236}">
              <a16:creationId xmlns:a16="http://schemas.microsoft.com/office/drawing/2014/main" id="{00000000-0008-0000-0500-00000E000000}"/>
            </a:ext>
          </a:extLst>
        </xdr:cNvPr>
        <xdr:cNvSpPr/>
      </xdr:nvSpPr>
      <xdr:spPr>
        <a:xfrm>
          <a:off x="7048500" y="1238250"/>
          <a:ext cx="1133475" cy="561975"/>
        </a:xfrm>
        <a:prstGeom prst="wedgeRoundRectCallout">
          <a:avLst>
            <a:gd name="adj1" fmla="val -67793"/>
            <a:gd name="adj2" fmla="val 57184"/>
            <a:gd name="adj3" fmla="val 16667"/>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kumimoji="1" lang="ja-JP" altLang="en-US" sz="900">
              <a:latin typeface="Meiryo UI" panose="020B0604030504040204" pitchFamily="50" charset="-128"/>
              <a:ea typeface="Meiryo UI" panose="020B0604030504040204" pitchFamily="50" charset="-128"/>
            </a:rPr>
            <a:t>最低保証の種類を選択してみましょう</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ColWidth="9" defaultRowHeight="18" x14ac:dyDescent="0.45"/>
  <cols>
    <col min="1" max="16384" width="9" style="1"/>
  </cols>
  <sheetData>
    <row r="1" spans="1:1" x14ac:dyDescent="0.45">
      <c r="A1" s="2"/>
    </row>
  </sheetData>
  <phoneticPr fontId="4"/>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G143"/>
  <sheetViews>
    <sheetView showGridLines="0" workbookViewId="0"/>
  </sheetViews>
  <sheetFormatPr defaultColWidth="0" defaultRowHeight="15" zeroHeight="1" x14ac:dyDescent="0.3"/>
  <cols>
    <col min="1" max="3" width="2.59765625" style="4" customWidth="1"/>
    <col min="4" max="12" width="9" style="4" customWidth="1"/>
    <col min="13" max="13" width="2.59765625" style="4" customWidth="1"/>
    <col min="14" max="15" width="9" style="4" customWidth="1"/>
    <col min="16" max="16" width="2.59765625" style="4" customWidth="1"/>
    <col min="17" max="23" width="9" style="4" customWidth="1"/>
    <col min="24" max="25" width="2.59765625" style="4" customWidth="1"/>
    <col min="26" max="26" width="2.59765625" style="4" hidden="1" customWidth="1"/>
    <col min="27" max="28" width="9" style="4" hidden="1" customWidth="1"/>
    <col min="29" max="29" width="2.59765625" style="4" hidden="1" customWidth="1"/>
    <col min="30" max="16384" width="9" style="4" hidden="1"/>
  </cols>
  <sheetData>
    <row r="1" spans="2:28" ht="15.6" thickBot="1" x14ac:dyDescent="0.35"/>
    <row r="2" spans="2:28" ht="15.6" thickBot="1" x14ac:dyDescent="0.35">
      <c r="B2" s="16"/>
      <c r="C2" s="17"/>
      <c r="D2" s="18"/>
      <c r="E2" s="18"/>
      <c r="F2" s="18"/>
      <c r="G2" s="18"/>
      <c r="H2" s="18"/>
      <c r="I2" s="18"/>
      <c r="J2" s="18"/>
      <c r="K2" s="18"/>
      <c r="L2" s="18"/>
      <c r="M2" s="18"/>
      <c r="N2" s="18"/>
      <c r="O2" s="18"/>
      <c r="P2" s="18"/>
      <c r="Q2" s="18"/>
      <c r="R2" s="18"/>
      <c r="S2" s="18"/>
      <c r="T2" s="18"/>
      <c r="U2" s="18"/>
      <c r="V2" s="18"/>
      <c r="W2" s="18"/>
      <c r="X2" s="19"/>
    </row>
    <row r="3" spans="2:28" x14ac:dyDescent="0.3">
      <c r="B3" s="20"/>
      <c r="C3" s="6" t="s">
        <v>0</v>
      </c>
      <c r="D3" s="7"/>
      <c r="E3" s="7"/>
      <c r="F3" s="7"/>
      <c r="G3" s="7"/>
      <c r="H3" s="7"/>
      <c r="I3" s="7"/>
      <c r="J3" s="7"/>
      <c r="K3" s="7"/>
      <c r="L3" s="7"/>
      <c r="M3" s="7"/>
      <c r="N3" s="7"/>
      <c r="O3" s="7"/>
      <c r="P3" s="8"/>
      <c r="X3" s="21"/>
    </row>
    <row r="4" spans="2:28" x14ac:dyDescent="0.3">
      <c r="B4" s="20"/>
      <c r="C4" s="9"/>
      <c r="D4" s="10" t="s">
        <v>1</v>
      </c>
      <c r="E4" s="10"/>
      <c r="F4" s="10"/>
      <c r="G4" s="10"/>
      <c r="H4" s="10"/>
      <c r="I4" s="10"/>
      <c r="J4" s="10"/>
      <c r="K4" s="10"/>
      <c r="L4" s="10"/>
      <c r="M4" s="10"/>
      <c r="N4" s="10"/>
      <c r="O4" s="10"/>
      <c r="P4" s="11"/>
      <c r="X4" s="21"/>
    </row>
    <row r="5" spans="2:28" x14ac:dyDescent="0.3">
      <c r="B5" s="20"/>
      <c r="C5" s="9"/>
      <c r="D5" s="10" t="s">
        <v>2</v>
      </c>
      <c r="E5" s="10"/>
      <c r="F5" s="10"/>
      <c r="G5" s="10"/>
      <c r="H5" s="10"/>
      <c r="I5" s="10"/>
      <c r="J5" s="10"/>
      <c r="K5" s="10"/>
      <c r="L5" s="10"/>
      <c r="M5" s="10"/>
      <c r="N5" s="10"/>
      <c r="O5" s="10"/>
      <c r="P5" s="11"/>
      <c r="X5" s="21"/>
    </row>
    <row r="6" spans="2:28" x14ac:dyDescent="0.3">
      <c r="B6" s="20"/>
      <c r="C6" s="9"/>
      <c r="D6" s="10" t="s">
        <v>3</v>
      </c>
      <c r="E6" s="10"/>
      <c r="F6" s="10"/>
      <c r="G6" s="10"/>
      <c r="H6" s="10"/>
      <c r="I6" s="10"/>
      <c r="J6" s="10"/>
      <c r="K6" s="10"/>
      <c r="L6" s="10"/>
      <c r="M6" s="10"/>
      <c r="N6" s="10"/>
      <c r="O6" s="10"/>
      <c r="P6" s="11"/>
      <c r="X6" s="21"/>
    </row>
    <row r="7" spans="2:28" ht="15.6" thickBot="1" x14ac:dyDescent="0.35">
      <c r="B7" s="20"/>
      <c r="C7" s="12"/>
      <c r="D7" s="13" t="s">
        <v>4</v>
      </c>
      <c r="E7" s="13"/>
      <c r="F7" s="13"/>
      <c r="G7" s="13"/>
      <c r="H7" s="13" t="s">
        <v>5</v>
      </c>
      <c r="I7" s="13"/>
      <c r="J7" s="13"/>
      <c r="K7" s="13"/>
      <c r="L7" s="13" t="s">
        <v>6</v>
      </c>
      <c r="M7" s="13"/>
      <c r="N7" s="13"/>
      <c r="O7" s="13"/>
      <c r="P7" s="14"/>
      <c r="X7" s="21"/>
    </row>
    <row r="8" spans="2:28" x14ac:dyDescent="0.3">
      <c r="B8" s="20"/>
      <c r="C8" s="3"/>
      <c r="X8" s="21"/>
    </row>
    <row r="9" spans="2:28" x14ac:dyDescent="0.3">
      <c r="B9" s="22"/>
      <c r="C9" s="86" t="s">
        <v>7</v>
      </c>
      <c r="G9" s="86" t="s">
        <v>8</v>
      </c>
      <c r="H9" s="86" t="s">
        <v>9</v>
      </c>
      <c r="X9" s="21"/>
    </row>
    <row r="10" spans="2:28" ht="18" x14ac:dyDescent="0.45">
      <c r="B10" s="22"/>
      <c r="D10" s="75" t="s">
        <v>10</v>
      </c>
      <c r="E10" s="95" t="s">
        <v>11</v>
      </c>
      <c r="F10" s="95"/>
      <c r="G10" s="96">
        <v>0.01</v>
      </c>
      <c r="H10" s="97">
        <v>0.01</v>
      </c>
      <c r="I10"/>
      <c r="J10"/>
      <c r="K10"/>
      <c r="X10" s="21"/>
    </row>
    <row r="11" spans="2:28" ht="18" x14ac:dyDescent="0.45">
      <c r="B11" s="22"/>
      <c r="D11" s="77" t="s">
        <v>12</v>
      </c>
      <c r="E11" s="57" t="s">
        <v>13</v>
      </c>
      <c r="F11" s="57"/>
      <c r="G11" s="89">
        <v>0.05</v>
      </c>
      <c r="H11" s="78">
        <v>0.05</v>
      </c>
      <c r="I11"/>
      <c r="J11"/>
      <c r="K11"/>
      <c r="X11" s="21"/>
    </row>
    <row r="12" spans="2:28" ht="18" x14ac:dyDescent="0.45">
      <c r="B12" s="22"/>
      <c r="D12" s="77" t="s">
        <v>14</v>
      </c>
      <c r="E12" s="57" t="s">
        <v>15</v>
      </c>
      <c r="F12" s="57"/>
      <c r="G12" s="89">
        <v>0.02</v>
      </c>
      <c r="H12" s="78">
        <v>0.02</v>
      </c>
      <c r="I12"/>
      <c r="J12"/>
      <c r="K12"/>
      <c r="X12" s="21"/>
    </row>
    <row r="13" spans="2:28" ht="18" x14ac:dyDescent="0.45">
      <c r="B13" s="22"/>
      <c r="D13" s="77" t="s">
        <v>16</v>
      </c>
      <c r="E13" s="57" t="s">
        <v>17</v>
      </c>
      <c r="F13" s="57"/>
      <c r="G13" s="91">
        <v>5</v>
      </c>
      <c r="H13" s="92">
        <v>5</v>
      </c>
      <c r="I13"/>
      <c r="J13"/>
      <c r="K13"/>
      <c r="X13" s="21"/>
    </row>
    <row r="14" spans="2:28" ht="18" x14ac:dyDescent="0.45">
      <c r="B14" s="22"/>
      <c r="D14" s="79" t="s">
        <v>18</v>
      </c>
      <c r="E14" s="80" t="s">
        <v>19</v>
      </c>
      <c r="F14" s="80"/>
      <c r="G14" s="90">
        <v>1000</v>
      </c>
      <c r="H14" s="81">
        <v>1000</v>
      </c>
      <c r="I14"/>
      <c r="J14"/>
      <c r="K14"/>
      <c r="X14" s="21"/>
    </row>
    <row r="15" spans="2:28" x14ac:dyDescent="0.3">
      <c r="B15" s="22"/>
      <c r="X15" s="21"/>
      <c r="Z15" s="3" t="s">
        <v>20</v>
      </c>
    </row>
    <row r="16" spans="2:28" x14ac:dyDescent="0.3">
      <c r="B16" s="22"/>
      <c r="C16" s="86" t="s">
        <v>21</v>
      </c>
      <c r="D16" s="23"/>
      <c r="E16" s="23"/>
      <c r="F16" s="24"/>
      <c r="X16" s="21"/>
      <c r="Z16" s="21"/>
      <c r="AA16" s="62"/>
      <c r="AB16" s="62" t="s">
        <v>22</v>
      </c>
    </row>
    <row r="17" spans="2:33" x14ac:dyDescent="0.3">
      <c r="B17" s="22"/>
      <c r="C17" s="3"/>
      <c r="D17" s="62"/>
      <c r="E17" s="62" t="s">
        <v>22</v>
      </c>
      <c r="F17" s="24"/>
      <c r="K17" s="86" t="s">
        <v>8</v>
      </c>
      <c r="L17" s="86" t="s">
        <v>9</v>
      </c>
      <c r="X17" s="21"/>
      <c r="Z17" s="21"/>
      <c r="AA17" s="67" t="s">
        <v>23</v>
      </c>
      <c r="AB17" s="67" t="s">
        <v>24</v>
      </c>
      <c r="AD17" s="98" t="s">
        <v>25</v>
      </c>
      <c r="AE17" s="98" t="s">
        <v>26</v>
      </c>
      <c r="AF17" s="98" t="s">
        <v>27</v>
      </c>
      <c r="AG17" s="98" t="s">
        <v>28</v>
      </c>
    </row>
    <row r="18" spans="2:33" x14ac:dyDescent="0.3">
      <c r="B18" s="22"/>
      <c r="D18" s="67" t="s">
        <v>23</v>
      </c>
      <c r="E18" s="67" t="s">
        <v>29</v>
      </c>
      <c r="G18" s="71" t="s">
        <v>25</v>
      </c>
      <c r="H18" s="71" t="s">
        <v>26</v>
      </c>
      <c r="I18" s="71" t="s">
        <v>27</v>
      </c>
      <c r="J18" s="71" t="s">
        <v>28</v>
      </c>
      <c r="K18" s="71" t="s">
        <v>30</v>
      </c>
      <c r="L18" s="71" t="s">
        <v>31</v>
      </c>
      <c r="X18" s="21"/>
      <c r="Z18" s="21"/>
      <c r="AA18" s="66">
        <v>1</v>
      </c>
      <c r="AB18" s="93">
        <f>E19</f>
        <v>700</v>
      </c>
      <c r="AD18" s="68">
        <f t="shared" ref="AD18:AD81" si="0">(LN($AB18/$G$14)+($G$10-$G$12+$G$11^2/2)*$G$13)/($G$11*SQRT($G$13))</f>
        <v>-3.5815095781341921</v>
      </c>
      <c r="AE18" s="68">
        <f>AD18-$G$11*SQRT($G$13)</f>
        <v>-3.6933129770091817</v>
      </c>
      <c r="AF18" s="68">
        <f t="shared" ref="AF18" si="1">_xlfn.NORM.S.DIST(-AD18,TRUE)</f>
        <v>0.99982919269431947</v>
      </c>
      <c r="AG18" s="68">
        <f t="shared" ref="AG18" si="2">_xlfn.NORM.S.DIST(-AE18,TRUE)</f>
        <v>0.99988932434104572</v>
      </c>
    </row>
    <row r="19" spans="2:33" x14ac:dyDescent="0.3">
      <c r="B19" s="22"/>
      <c r="D19" s="66">
        <v>1</v>
      </c>
      <c r="E19" s="93">
        <v>700</v>
      </c>
      <c r="G19" s="70">
        <f t="shared" ref="G19:G50" si="3">(LN($E19/$H$14)+($H$10-$H$12+$H$11^2/2)*$H$13)/($H$11*SQRT($H$13))</f>
        <v>-3.5815095781341921</v>
      </c>
      <c r="H19" s="70">
        <f t="shared" ref="H19:H50" si="4">G19-$H$11*SQRT($H$13)</f>
        <v>-3.6933129770091817</v>
      </c>
      <c r="I19" s="70">
        <f t="shared" ref="I19:I82" si="5">_xlfn.NORM.S.DIST(-G19,TRUE)</f>
        <v>0.99982919269431947</v>
      </c>
      <c r="J19" s="70">
        <f t="shared" ref="J19:J82" si="6">_xlfn.NORM.S.DIST(-H19,TRUE)</f>
        <v>0.99988932434104572</v>
      </c>
      <c r="K19" s="70">
        <f>-EXP(-$G$12*$G$13)*$AB18*AF18+$G$14*EXP(-$G$10*$G$13)*AG18</f>
        <v>317.84614092118659</v>
      </c>
      <c r="L19" s="70">
        <f>-EXP(-$H$12*$H$13)*$E19*I19+$H$14*EXP(-$H$10*$H$13)*J19</f>
        <v>317.84614092118659</v>
      </c>
      <c r="X19" s="21"/>
      <c r="Z19" s="21"/>
      <c r="AA19" s="64">
        <v>2</v>
      </c>
      <c r="AB19" s="94">
        <f t="shared" ref="AB19:AB82" si="7">E20</f>
        <v>705</v>
      </c>
      <c r="AD19" s="68">
        <f t="shared" si="0"/>
        <v>-3.5178490110988174</v>
      </c>
      <c r="AE19" s="68">
        <f t="shared" ref="AE19:AE82" si="8">AD19-$G$11*SQRT($G$13)</f>
        <v>-3.629652409973807</v>
      </c>
      <c r="AF19" s="68">
        <f t="shared" ref="AF19:AF82" si="9">_xlfn.NORM.S.DIST(-AD19,TRUE)</f>
        <v>0.99978247008559928</v>
      </c>
      <c r="AG19" s="68">
        <f t="shared" ref="AG19:AG82" si="10">_xlfn.NORM.S.DIST(-AE19,TRUE)</f>
        <v>0.99985809843826168</v>
      </c>
    </row>
    <row r="20" spans="2:33" x14ac:dyDescent="0.3">
      <c r="B20" s="22"/>
      <c r="D20" s="64">
        <v>2</v>
      </c>
      <c r="E20" s="94">
        <f>E19+5</f>
        <v>705</v>
      </c>
      <c r="G20" s="68">
        <f t="shared" si="3"/>
        <v>-3.5178490110988174</v>
      </c>
      <c r="H20" s="70">
        <f t="shared" si="4"/>
        <v>-3.629652409973807</v>
      </c>
      <c r="I20" s="68">
        <f t="shared" si="5"/>
        <v>0.99978247008559928</v>
      </c>
      <c r="J20" s="68">
        <f t="shared" si="6"/>
        <v>0.99985809843826168</v>
      </c>
      <c r="K20" s="70">
        <f t="shared" ref="K20:K50" si="11">-EXP(-$G$12*$G$13)*$AB19*AF19+$G$14*EXP(-$G$10*$G$13)*AG19</f>
        <v>313.32282843474923</v>
      </c>
      <c r="L20" s="68">
        <f t="shared" ref="L20:L50" si="12">-EXP(-$H$12*$H$13)*$E20*I20+$H$14*EXP(-$H$10*$H$13)*J20</f>
        <v>313.32282843474923</v>
      </c>
      <c r="X20" s="21"/>
      <c r="Z20" s="21"/>
      <c r="AA20" s="64">
        <v>3</v>
      </c>
      <c r="AB20" s="94">
        <f t="shared" si="7"/>
        <v>710</v>
      </c>
      <c r="AD20" s="68">
        <f t="shared" si="0"/>
        <v>-3.4546383458220453</v>
      </c>
      <c r="AE20" s="68">
        <f t="shared" si="8"/>
        <v>-3.5664417446970349</v>
      </c>
      <c r="AF20" s="68">
        <f t="shared" si="9"/>
        <v>0.99972448428576588</v>
      </c>
      <c r="AG20" s="68">
        <f t="shared" si="10"/>
        <v>0.99981906939795318</v>
      </c>
    </row>
    <row r="21" spans="2:33" x14ac:dyDescent="0.3">
      <c r="B21" s="22"/>
      <c r="D21" s="64">
        <v>3</v>
      </c>
      <c r="E21" s="94">
        <f t="shared" ref="E21:E84" si="13">E20+5</f>
        <v>710</v>
      </c>
      <c r="G21" s="68">
        <f t="shared" si="3"/>
        <v>-3.4546383458220453</v>
      </c>
      <c r="H21" s="70">
        <f t="shared" si="4"/>
        <v>-3.5664417446970349</v>
      </c>
      <c r="I21" s="68">
        <f t="shared" si="5"/>
        <v>0.99972448428576588</v>
      </c>
      <c r="J21" s="68">
        <f t="shared" si="6"/>
        <v>0.99981906939795318</v>
      </c>
      <c r="K21" s="70">
        <f t="shared" si="11"/>
        <v>308.79975200124522</v>
      </c>
      <c r="L21" s="68">
        <f t="shared" si="12"/>
        <v>308.79975200124522</v>
      </c>
      <c r="X21" s="21"/>
      <c r="Z21" s="21"/>
      <c r="AA21" s="64">
        <v>4</v>
      </c>
      <c r="AB21" s="94">
        <f t="shared" si="7"/>
        <v>715</v>
      </c>
      <c r="AD21" s="68">
        <f t="shared" si="0"/>
        <v>-3.3918712678149348</v>
      </c>
      <c r="AE21" s="68">
        <f t="shared" si="8"/>
        <v>-3.5036746666899243</v>
      </c>
      <c r="AF21" s="68">
        <f t="shared" si="9"/>
        <v>0.99965291476851859</v>
      </c>
      <c r="AG21" s="68">
        <f t="shared" si="10"/>
        <v>0.99977055719799435</v>
      </c>
    </row>
    <row r="22" spans="2:33" x14ac:dyDescent="0.3">
      <c r="B22" s="22"/>
      <c r="D22" s="64">
        <v>4</v>
      </c>
      <c r="E22" s="94">
        <f t="shared" si="13"/>
        <v>715</v>
      </c>
      <c r="G22" s="68">
        <f t="shared" si="3"/>
        <v>-3.3918712678149348</v>
      </c>
      <c r="H22" s="70">
        <f t="shared" si="4"/>
        <v>-3.5036746666899243</v>
      </c>
      <c r="I22" s="68">
        <f t="shared" si="5"/>
        <v>0.99965291476851859</v>
      </c>
      <c r="J22" s="68">
        <f t="shared" si="6"/>
        <v>0.99977055719799435</v>
      </c>
      <c r="K22" s="70">
        <f t="shared" si="11"/>
        <v>304.27696768935004</v>
      </c>
      <c r="L22" s="68">
        <f t="shared" si="12"/>
        <v>304.27696768935004</v>
      </c>
      <c r="X22" s="21"/>
      <c r="Z22" s="21"/>
      <c r="AA22" s="64">
        <v>5</v>
      </c>
      <c r="AB22" s="94">
        <f t="shared" si="7"/>
        <v>720</v>
      </c>
      <c r="AD22" s="68">
        <f t="shared" si="0"/>
        <v>-3.3295415946009279</v>
      </c>
      <c r="AE22" s="68">
        <f t="shared" si="8"/>
        <v>-3.4413449934759175</v>
      </c>
      <c r="AF22" s="68">
        <f t="shared" si="9"/>
        <v>0.99956505464944967</v>
      </c>
      <c r="AG22" s="68">
        <f t="shared" si="10"/>
        <v>0.9997105849962189</v>
      </c>
    </row>
    <row r="23" spans="2:33" x14ac:dyDescent="0.3">
      <c r="B23" s="22"/>
      <c r="D23" s="64">
        <v>5</v>
      </c>
      <c r="E23" s="94">
        <f t="shared" si="13"/>
        <v>720</v>
      </c>
      <c r="G23" s="68">
        <f t="shared" si="3"/>
        <v>-3.3295415946009279</v>
      </c>
      <c r="H23" s="70">
        <f t="shared" si="4"/>
        <v>-3.4413449934759175</v>
      </c>
      <c r="I23" s="68">
        <f t="shared" si="5"/>
        <v>0.99956505464944967</v>
      </c>
      <c r="J23" s="68">
        <f t="shared" si="6"/>
        <v>0.9997105849962189</v>
      </c>
      <c r="K23" s="70">
        <f t="shared" si="11"/>
        <v>299.75454292347922</v>
      </c>
      <c r="L23" s="68">
        <f t="shared" si="12"/>
        <v>299.75454292347922</v>
      </c>
      <c r="X23" s="21"/>
      <c r="Z23" s="21"/>
      <c r="AA23" s="64">
        <v>6</v>
      </c>
      <c r="AB23" s="94">
        <f t="shared" si="7"/>
        <v>725</v>
      </c>
      <c r="AD23" s="68">
        <f t="shared" si="0"/>
        <v>-3.2676432720614521</v>
      </c>
      <c r="AE23" s="68">
        <f t="shared" si="8"/>
        <v>-3.3794466709364417</v>
      </c>
      <c r="AF23" s="68">
        <f t="shared" si="9"/>
        <v>0.9994577651948946</v>
      </c>
      <c r="AG23" s="68">
        <f t="shared" si="10"/>
        <v>0.99963684051486434</v>
      </c>
    </row>
    <row r="24" spans="2:33" x14ac:dyDescent="0.3">
      <c r="B24" s="22"/>
      <c r="D24" s="64">
        <v>6</v>
      </c>
      <c r="E24" s="94">
        <f t="shared" si="13"/>
        <v>725</v>
      </c>
      <c r="G24" s="68">
        <f t="shared" si="3"/>
        <v>-3.2676432720614521</v>
      </c>
      <c r="H24" s="70">
        <f t="shared" si="4"/>
        <v>-3.3794466709364417</v>
      </c>
      <c r="I24" s="68">
        <f t="shared" si="5"/>
        <v>0.9994577651948946</v>
      </c>
      <c r="J24" s="68">
        <f t="shared" si="6"/>
        <v>0.99963684051486434</v>
      </c>
      <c r="K24" s="70">
        <f t="shared" si="11"/>
        <v>295.23255833383587</v>
      </c>
      <c r="L24" s="68">
        <f t="shared" si="12"/>
        <v>295.23255833383587</v>
      </c>
      <c r="X24" s="21"/>
      <c r="Z24" s="21"/>
      <c r="AA24" s="64">
        <v>7</v>
      </c>
      <c r="AB24" s="94">
        <f t="shared" si="7"/>
        <v>730</v>
      </c>
      <c r="AD24" s="68">
        <f t="shared" si="0"/>
        <v>-3.2061703709071065</v>
      </c>
      <c r="AE24" s="68">
        <f t="shared" si="8"/>
        <v>-3.3179737697820961</v>
      </c>
      <c r="AF24" s="68">
        <f t="shared" si="9"/>
        <v>0.99932742839692557</v>
      </c>
      <c r="AG24" s="68">
        <f t="shared" si="10"/>
        <v>0.9995466350051212</v>
      </c>
    </row>
    <row r="25" spans="2:33" x14ac:dyDescent="0.3">
      <c r="B25" s="22"/>
      <c r="D25" s="64">
        <v>7</v>
      </c>
      <c r="E25" s="94">
        <f t="shared" si="13"/>
        <v>730</v>
      </c>
      <c r="G25" s="68">
        <f t="shared" si="3"/>
        <v>-3.2061703709071065</v>
      </c>
      <c r="H25" s="70">
        <f t="shared" si="4"/>
        <v>-3.3179737697820961</v>
      </c>
      <c r="I25" s="68">
        <f t="shared" si="5"/>
        <v>0.99932742839692557</v>
      </c>
      <c r="J25" s="68">
        <f t="shared" si="6"/>
        <v>0.9995466350051212</v>
      </c>
      <c r="K25" s="70">
        <f t="shared" si="11"/>
        <v>290.71110981681841</v>
      </c>
      <c r="L25" s="68">
        <f t="shared" si="12"/>
        <v>290.71110981681841</v>
      </c>
      <c r="X25" s="21"/>
      <c r="Z25" s="21"/>
      <c r="AA25" s="64">
        <v>8</v>
      </c>
      <c r="AB25" s="94">
        <f t="shared" si="7"/>
        <v>735</v>
      </c>
      <c r="AD25" s="68">
        <f t="shared" si="0"/>
        <v>-3.1451170832692936</v>
      </c>
      <c r="AE25" s="68">
        <f t="shared" si="8"/>
        <v>-3.2569204821442832</v>
      </c>
      <c r="AF25" s="68">
        <f t="shared" si="9"/>
        <v>0.99916989813931933</v>
      </c>
      <c r="AG25" s="68">
        <f t="shared" si="10"/>
        <v>0.99943686010233768</v>
      </c>
    </row>
    <row r="26" spans="2:33" x14ac:dyDescent="0.3">
      <c r="B26" s="22"/>
      <c r="D26" s="64">
        <v>8</v>
      </c>
      <c r="E26" s="94">
        <f t="shared" si="13"/>
        <v>735</v>
      </c>
      <c r="G26" s="68">
        <f t="shared" si="3"/>
        <v>-3.1451170832692936</v>
      </c>
      <c r="H26" s="70">
        <f t="shared" si="4"/>
        <v>-3.2569204821442832</v>
      </c>
      <c r="I26" s="68">
        <f t="shared" si="5"/>
        <v>0.99916989813931933</v>
      </c>
      <c r="J26" s="68">
        <f t="shared" si="6"/>
        <v>0.99943686010233768</v>
      </c>
      <c r="K26" s="70">
        <f t="shared" si="11"/>
        <v>286.19031081339597</v>
      </c>
      <c r="L26" s="68">
        <f t="shared" si="12"/>
        <v>286.19031081339597</v>
      </c>
      <c r="X26" s="21"/>
      <c r="Z26" s="21"/>
      <c r="AA26" s="64">
        <v>9</v>
      </c>
      <c r="AB26" s="94">
        <f t="shared" si="7"/>
        <v>740</v>
      </c>
      <c r="AD26" s="68">
        <f t="shared" si="0"/>
        <v>-3.0844777194073836</v>
      </c>
      <c r="AE26" s="68">
        <f t="shared" si="8"/>
        <v>-3.1962811182823732</v>
      </c>
      <c r="AF26" s="68">
        <f t="shared" si="9"/>
        <v>0.99898045058691665</v>
      </c>
      <c r="AG26" s="68">
        <f t="shared" si="10"/>
        <v>0.99930394297537006</v>
      </c>
    </row>
    <row r="27" spans="2:33" x14ac:dyDescent="0.3">
      <c r="B27" s="22"/>
      <c r="D27" s="64">
        <v>9</v>
      </c>
      <c r="E27" s="94">
        <f t="shared" si="13"/>
        <v>740</v>
      </c>
      <c r="G27" s="68">
        <f t="shared" si="3"/>
        <v>-3.0844777194073836</v>
      </c>
      <c r="H27" s="70">
        <f t="shared" si="4"/>
        <v>-3.1962811182823732</v>
      </c>
      <c r="I27" s="68">
        <f t="shared" si="5"/>
        <v>0.99898045058691665</v>
      </c>
      <c r="J27" s="68">
        <f t="shared" si="6"/>
        <v>0.99930394297537006</v>
      </c>
      <c r="K27" s="70">
        <f t="shared" si="11"/>
        <v>281.67029481043141</v>
      </c>
      <c r="L27" s="68">
        <f t="shared" si="12"/>
        <v>281.67029481043141</v>
      </c>
      <c r="X27" s="21"/>
      <c r="Z27" s="21"/>
      <c r="AA27" s="64">
        <v>10</v>
      </c>
      <c r="AB27" s="94">
        <f t="shared" si="7"/>
        <v>745</v>
      </c>
      <c r="AD27" s="68">
        <f t="shared" si="0"/>
        <v>-3.0242467045267576</v>
      </c>
      <c r="AE27" s="68">
        <f t="shared" si="8"/>
        <v>-3.1360501034017472</v>
      </c>
      <c r="AF27" s="68">
        <f t="shared" si="9"/>
        <v>0.99875373453731764</v>
      </c>
      <c r="AG27" s="68">
        <f t="shared" si="10"/>
        <v>0.99914380026986815</v>
      </c>
    </row>
    <row r="28" spans="2:33" x14ac:dyDescent="0.3">
      <c r="B28" s="22"/>
      <c r="D28" s="64">
        <v>10</v>
      </c>
      <c r="E28" s="94">
        <f t="shared" si="13"/>
        <v>745</v>
      </c>
      <c r="G28" s="68">
        <f t="shared" si="3"/>
        <v>-3.0242467045267576</v>
      </c>
      <c r="H28" s="70">
        <f t="shared" si="4"/>
        <v>-3.1360501034017472</v>
      </c>
      <c r="I28" s="68">
        <f t="shared" si="5"/>
        <v>0.99875373453731764</v>
      </c>
      <c r="J28" s="68">
        <f t="shared" si="6"/>
        <v>0.99914380026986815</v>
      </c>
      <c r="K28" s="70">
        <f t="shared" si="11"/>
        <v>277.15121806683658</v>
      </c>
      <c r="L28" s="68">
        <f t="shared" si="12"/>
        <v>277.15121806683658</v>
      </c>
      <c r="X28" s="21"/>
      <c r="Z28" s="21"/>
      <c r="AA28" s="64">
        <v>11</v>
      </c>
      <c r="AB28" s="94">
        <f t="shared" si="7"/>
        <v>750</v>
      </c>
      <c r="AD28" s="68">
        <f t="shared" si="0"/>
        <v>-2.9644185757032697</v>
      </c>
      <c r="AE28" s="68">
        <f t="shared" si="8"/>
        <v>-3.0762219745782593</v>
      </c>
      <c r="AF28" s="68">
        <f t="shared" si="9"/>
        <v>0.99848372257622664</v>
      </c>
      <c r="AG28" s="68">
        <f t="shared" si="10"/>
        <v>0.99895179144267066</v>
      </c>
    </row>
    <row r="29" spans="2:33" x14ac:dyDescent="0.3">
      <c r="B29" s="22"/>
      <c r="D29" s="64">
        <v>11</v>
      </c>
      <c r="E29" s="94">
        <f t="shared" si="13"/>
        <v>750</v>
      </c>
      <c r="G29" s="68">
        <f t="shared" si="3"/>
        <v>-2.9644185757032697</v>
      </c>
      <c r="H29" s="70">
        <f t="shared" si="4"/>
        <v>-3.0762219745782593</v>
      </c>
      <c r="I29" s="68">
        <f t="shared" si="5"/>
        <v>0.99848372257622664</v>
      </c>
      <c r="J29" s="68">
        <f t="shared" si="6"/>
        <v>0.99895179144267066</v>
      </c>
      <c r="K29" s="70">
        <f t="shared" si="11"/>
        <v>272.63326256286416</v>
      </c>
      <c r="L29" s="68">
        <f t="shared" si="12"/>
        <v>272.63326256286416</v>
      </c>
      <c r="X29" s="21"/>
      <c r="Z29" s="21"/>
      <c r="AA29" s="64">
        <v>12</v>
      </c>
      <c r="AB29" s="94">
        <f t="shared" si="7"/>
        <v>755</v>
      </c>
      <c r="AD29" s="68">
        <f t="shared" si="0"/>
        <v>-2.9049879789098934</v>
      </c>
      <c r="AE29" s="68">
        <f t="shared" si="8"/>
        <v>-3.0167913777848829</v>
      </c>
      <c r="AF29" s="68">
        <f t="shared" si="9"/>
        <v>0.99816366397270484</v>
      </c>
      <c r="AG29" s="68">
        <f t="shared" si="10"/>
        <v>0.99872267218045296</v>
      </c>
    </row>
    <row r="30" spans="2:33" x14ac:dyDescent="0.3">
      <c r="B30" s="22"/>
      <c r="D30" s="64">
        <v>12</v>
      </c>
      <c r="E30" s="94">
        <f t="shared" si="13"/>
        <v>755</v>
      </c>
      <c r="G30" s="68">
        <f t="shared" si="3"/>
        <v>-2.9049879789098934</v>
      </c>
      <c r="H30" s="70">
        <f t="shared" si="4"/>
        <v>-3.0167913777848829</v>
      </c>
      <c r="I30" s="68">
        <f t="shared" si="5"/>
        <v>0.99816366397270484</v>
      </c>
      <c r="J30" s="68">
        <f t="shared" si="6"/>
        <v>0.99872267218045296</v>
      </c>
      <c r="K30" s="70">
        <f t="shared" si="11"/>
        <v>268.11663916681414</v>
      </c>
      <c r="L30" s="68">
        <f t="shared" si="12"/>
        <v>268.11663916681414</v>
      </c>
      <c r="X30" s="21"/>
      <c r="Z30" s="21"/>
      <c r="AA30" s="64">
        <v>13</v>
      </c>
      <c r="AB30" s="94">
        <f t="shared" si="7"/>
        <v>760</v>
      </c>
      <c r="AD30" s="68">
        <f t="shared" si="0"/>
        <v>-2.8459496661414909</v>
      </c>
      <c r="AE30" s="68">
        <f t="shared" si="8"/>
        <v>-2.9577530650164805</v>
      </c>
      <c r="AF30" s="68">
        <f t="shared" si="9"/>
        <v>0.99778604033469687</v>
      </c>
      <c r="AG30" s="68">
        <f t="shared" si="10"/>
        <v>0.99845054868754279</v>
      </c>
    </row>
    <row r="31" spans="2:33" x14ac:dyDescent="0.3">
      <c r="B31" s="22"/>
      <c r="D31" s="64">
        <v>13</v>
      </c>
      <c r="E31" s="94">
        <f t="shared" si="13"/>
        <v>760</v>
      </c>
      <c r="G31" s="68">
        <f t="shared" si="3"/>
        <v>-2.8459496661414909</v>
      </c>
      <c r="H31" s="70">
        <f t="shared" si="4"/>
        <v>-2.9577530650164805</v>
      </c>
      <c r="I31" s="68">
        <f t="shared" si="5"/>
        <v>0.99778604033469687</v>
      </c>
      <c r="J31" s="68">
        <f t="shared" si="6"/>
        <v>0.99845054868754279</v>
      </c>
      <c r="K31" s="70">
        <f t="shared" si="11"/>
        <v>263.60159100900762</v>
      </c>
      <c r="L31" s="68">
        <f t="shared" si="12"/>
        <v>263.60159100900762</v>
      </c>
      <c r="X31" s="21"/>
      <c r="Z31" s="21"/>
      <c r="AA31" s="64">
        <v>14</v>
      </c>
      <c r="AB31" s="94">
        <f t="shared" si="7"/>
        <v>765</v>
      </c>
      <c r="AD31" s="68">
        <f t="shared" si="0"/>
        <v>-2.7872984926338669</v>
      </c>
      <c r="AE31" s="68">
        <f t="shared" si="8"/>
        <v>-2.8991018915088564</v>
      </c>
      <c r="AF31" s="68">
        <f t="shared" si="9"/>
        <v>0.99734252511510524</v>
      </c>
      <c r="AG31" s="68">
        <f t="shared" si="10"/>
        <v>0.99812883371248451</v>
      </c>
    </row>
    <row r="32" spans="2:33" x14ac:dyDescent="0.3">
      <c r="B32" s="22"/>
      <c r="D32" s="64">
        <v>14</v>
      </c>
      <c r="E32" s="94">
        <f t="shared" si="13"/>
        <v>765</v>
      </c>
      <c r="G32" s="68">
        <f t="shared" si="3"/>
        <v>-2.7872984926338669</v>
      </c>
      <c r="H32" s="70">
        <f t="shared" si="4"/>
        <v>-2.8991018915088564</v>
      </c>
      <c r="I32" s="68">
        <f t="shared" si="5"/>
        <v>0.99734252511510524</v>
      </c>
      <c r="J32" s="68">
        <f t="shared" si="6"/>
        <v>0.99812883371248451</v>
      </c>
      <c r="K32" s="70">
        <f t="shared" si="11"/>
        <v>259.08839704809429</v>
      </c>
      <c r="L32" s="68">
        <f t="shared" si="12"/>
        <v>259.08839704809429</v>
      </c>
      <c r="X32" s="21"/>
      <c r="Z32" s="21"/>
      <c r="AA32" s="64">
        <v>15</v>
      </c>
      <c r="AB32" s="94">
        <f t="shared" si="7"/>
        <v>770</v>
      </c>
      <c r="AD32" s="68">
        <f t="shared" si="0"/>
        <v>-2.7290294141733997</v>
      </c>
      <c r="AE32" s="68">
        <f t="shared" si="8"/>
        <v>-2.8408328130483893</v>
      </c>
      <c r="AF32" s="68">
        <f t="shared" si="9"/>
        <v>0.99682394811109543</v>
      </c>
      <c r="AG32" s="68">
        <f t="shared" si="10"/>
        <v>0.99775020525749014</v>
      </c>
    </row>
    <row r="33" spans="2:33" x14ac:dyDescent="0.3">
      <c r="B33" s="22"/>
      <c r="D33" s="64">
        <v>15</v>
      </c>
      <c r="E33" s="94">
        <f t="shared" si="13"/>
        <v>770</v>
      </c>
      <c r="G33" s="68">
        <f t="shared" si="3"/>
        <v>-2.7290294141733997</v>
      </c>
      <c r="H33" s="70">
        <f t="shared" si="4"/>
        <v>-2.8408328130483893</v>
      </c>
      <c r="I33" s="68">
        <f t="shared" si="5"/>
        <v>0.99682394811109543</v>
      </c>
      <c r="J33" s="68">
        <f t="shared" si="6"/>
        <v>0.99775020525749014</v>
      </c>
      <c r="K33" s="70">
        <f t="shared" si="11"/>
        <v>254.57737580970536</v>
      </c>
      <c r="L33" s="68">
        <f t="shared" si="12"/>
        <v>254.57737580970536</v>
      </c>
      <c r="X33" s="21"/>
      <c r="Z33" s="21"/>
      <c r="AA33" s="64">
        <v>16</v>
      </c>
      <c r="AB33" s="94">
        <f t="shared" si="7"/>
        <v>775</v>
      </c>
      <c r="AD33" s="68">
        <f t="shared" si="0"/>
        <v>-2.6711374844937432</v>
      </c>
      <c r="AE33" s="68">
        <f t="shared" si="8"/>
        <v>-2.7829408833687328</v>
      </c>
      <c r="AF33" s="68">
        <f t="shared" si="9"/>
        <v>0.99622026613120385</v>
      </c>
      <c r="AG33" s="68">
        <f t="shared" si="10"/>
        <v>0.99730656897638181</v>
      </c>
    </row>
    <row r="34" spans="2:33" x14ac:dyDescent="0.3">
      <c r="B34" s="22"/>
      <c r="D34" s="64">
        <v>16</v>
      </c>
      <c r="E34" s="94">
        <f t="shared" si="13"/>
        <v>775</v>
      </c>
      <c r="G34" s="68">
        <f t="shared" si="3"/>
        <v>-2.6711374844937432</v>
      </c>
      <c r="H34" s="70">
        <f t="shared" si="4"/>
        <v>-2.7829408833687328</v>
      </c>
      <c r="I34" s="68">
        <f t="shared" si="5"/>
        <v>0.99622026613120385</v>
      </c>
      <c r="J34" s="68">
        <f t="shared" si="6"/>
        <v>0.99730656897638181</v>
      </c>
      <c r="K34" s="70">
        <f t="shared" si="11"/>
        <v>250.0688892722128</v>
      </c>
      <c r="L34" s="68">
        <f t="shared" si="12"/>
        <v>250.0688892722128</v>
      </c>
      <c r="X34" s="21"/>
      <c r="Z34" s="21"/>
      <c r="AA34" s="64">
        <v>17</v>
      </c>
      <c r="AB34" s="94">
        <f t="shared" si="7"/>
        <v>780</v>
      </c>
      <c r="AD34" s="68">
        <f t="shared" si="0"/>
        <v>-2.6136178527562413</v>
      </c>
      <c r="AE34" s="68">
        <f t="shared" si="8"/>
        <v>-2.7254212516312308</v>
      </c>
      <c r="AF34" s="68">
        <f t="shared" si="9"/>
        <v>0.99552054101348475</v>
      </c>
      <c r="AG34" s="68">
        <f t="shared" si="10"/>
        <v>0.99678902531212998</v>
      </c>
    </row>
    <row r="35" spans="2:33" x14ac:dyDescent="0.3">
      <c r="B35" s="22"/>
      <c r="D35" s="64">
        <v>17</v>
      </c>
      <c r="E35" s="94">
        <f t="shared" si="13"/>
        <v>780</v>
      </c>
      <c r="G35" s="68">
        <f t="shared" si="3"/>
        <v>-2.6136178527562413</v>
      </c>
      <c r="H35" s="70">
        <f t="shared" si="4"/>
        <v>-2.7254212516312308</v>
      </c>
      <c r="I35" s="68">
        <f t="shared" si="5"/>
        <v>0.99552054101348475</v>
      </c>
      <c r="J35" s="68">
        <f t="shared" si="6"/>
        <v>0.99678902531212998</v>
      </c>
      <c r="K35" s="70">
        <f t="shared" si="11"/>
        <v>245.56334686901062</v>
      </c>
      <c r="L35" s="68">
        <f t="shared" si="12"/>
        <v>245.56334686901062</v>
      </c>
      <c r="X35" s="21"/>
      <c r="Z35" s="21"/>
      <c r="AA35" s="64">
        <v>18</v>
      </c>
      <c r="AB35" s="94">
        <f t="shared" si="7"/>
        <v>785</v>
      </c>
      <c r="AD35" s="68">
        <f t="shared" si="0"/>
        <v>-2.5564657611108372</v>
      </c>
      <c r="AE35" s="68">
        <f t="shared" si="8"/>
        <v>-2.6682691599858268</v>
      </c>
      <c r="AF35" s="68">
        <f t="shared" si="9"/>
        <v>0.99471292616114171</v>
      </c>
      <c r="AG35" s="68">
        <f t="shared" si="10"/>
        <v>0.99618784245198355</v>
      </c>
    </row>
    <row r="36" spans="2:33" x14ac:dyDescent="0.3">
      <c r="B36" s="22"/>
      <c r="D36" s="64">
        <v>18</v>
      </c>
      <c r="E36" s="94">
        <f t="shared" si="13"/>
        <v>785</v>
      </c>
      <c r="G36" s="68">
        <f t="shared" si="3"/>
        <v>-2.5564657611108372</v>
      </c>
      <c r="H36" s="70">
        <f t="shared" si="4"/>
        <v>-2.6682691599858268</v>
      </c>
      <c r="I36" s="68">
        <f t="shared" si="5"/>
        <v>0.99471292616114171</v>
      </c>
      <c r="J36" s="68">
        <f t="shared" si="6"/>
        <v>0.99618784245198355</v>
      </c>
      <c r="K36" s="70">
        <f t="shared" si="11"/>
        <v>241.06120957141468</v>
      </c>
      <c r="L36" s="68">
        <f t="shared" si="12"/>
        <v>241.06120957141468</v>
      </c>
      <c r="M36" s="4" t="s">
        <v>32</v>
      </c>
      <c r="X36" s="21"/>
      <c r="Z36" s="21"/>
      <c r="AA36" s="64">
        <v>19</v>
      </c>
      <c r="AB36" s="94">
        <f t="shared" si="7"/>
        <v>790</v>
      </c>
      <c r="AD36" s="68">
        <f t="shared" si="0"/>
        <v>-2.4996765423344209</v>
      </c>
      <c r="AE36" s="68">
        <f t="shared" si="8"/>
        <v>-2.6114799412094105</v>
      </c>
      <c r="AF36" s="68">
        <f t="shared" si="9"/>
        <v>0.99378466271817556</v>
      </c>
      <c r="AG36" s="68">
        <f t="shared" si="10"/>
        <v>0.99549243618410965</v>
      </c>
    </row>
    <row r="37" spans="2:33" ht="15.6" thickBot="1" x14ac:dyDescent="0.35">
      <c r="B37" s="22"/>
      <c r="D37" s="64">
        <v>19</v>
      </c>
      <c r="E37" s="94">
        <f t="shared" si="13"/>
        <v>790</v>
      </c>
      <c r="G37" s="68">
        <f t="shared" si="3"/>
        <v>-2.4996765423344209</v>
      </c>
      <c r="H37" s="70">
        <f t="shared" si="4"/>
        <v>-2.6114799412094105</v>
      </c>
      <c r="I37" s="68">
        <f t="shared" si="5"/>
        <v>0.99378466271817556</v>
      </c>
      <c r="J37" s="68">
        <f t="shared" si="6"/>
        <v>0.99549243618410965</v>
      </c>
      <c r="K37" s="70">
        <f t="shared" si="11"/>
        <v>236.56299401108015</v>
      </c>
      <c r="L37" s="68">
        <f t="shared" si="12"/>
        <v>236.56299401108015</v>
      </c>
      <c r="N37" s="4" t="s">
        <v>4</v>
      </c>
      <c r="X37" s="21"/>
      <c r="Z37" s="21"/>
      <c r="AA37" s="64">
        <v>20</v>
      </c>
      <c r="AB37" s="94">
        <f t="shared" si="7"/>
        <v>795</v>
      </c>
      <c r="AD37" s="68">
        <f t="shared" si="0"/>
        <v>-2.443245617543671</v>
      </c>
      <c r="AE37" s="68">
        <f t="shared" si="8"/>
        <v>-2.5550490164186606</v>
      </c>
      <c r="AF37" s="68">
        <f t="shared" si="9"/>
        <v>0.99272208643551541</v>
      </c>
      <c r="AG37" s="68">
        <f t="shared" si="10"/>
        <v>0.99469135772269945</v>
      </c>
    </row>
    <row r="38" spans="2:33" ht="18.75" customHeight="1" x14ac:dyDescent="0.3">
      <c r="B38" s="22"/>
      <c r="D38" s="64">
        <v>20</v>
      </c>
      <c r="E38" s="94">
        <f t="shared" si="13"/>
        <v>795</v>
      </c>
      <c r="G38" s="68">
        <f t="shared" si="3"/>
        <v>-2.443245617543671</v>
      </c>
      <c r="H38" s="70">
        <f t="shared" si="4"/>
        <v>-2.5550490164186606</v>
      </c>
      <c r="I38" s="68">
        <f t="shared" si="5"/>
        <v>0.99272208643551541</v>
      </c>
      <c r="J38" s="68">
        <f t="shared" si="6"/>
        <v>0.99469135772269945</v>
      </c>
      <c r="K38" s="70">
        <f t="shared" si="11"/>
        <v>232.06927659591929</v>
      </c>
      <c r="L38" s="68">
        <f t="shared" si="12"/>
        <v>232.06927659591929</v>
      </c>
      <c r="N38" s="242"/>
      <c r="O38" s="243"/>
      <c r="P38" s="243"/>
      <c r="Q38" s="243"/>
      <c r="R38" s="243"/>
      <c r="S38" s="243"/>
      <c r="T38" s="243"/>
      <c r="U38" s="243"/>
      <c r="V38" s="243"/>
      <c r="W38" s="244"/>
      <c r="X38" s="21"/>
      <c r="Z38" s="21"/>
      <c r="AA38" s="64">
        <v>21</v>
      </c>
      <c r="AB38" s="94">
        <f t="shared" si="7"/>
        <v>800</v>
      </c>
      <c r="AD38" s="68">
        <f t="shared" si="0"/>
        <v>-2.3871684939796047</v>
      </c>
      <c r="AE38" s="68">
        <f t="shared" si="8"/>
        <v>-2.4989718928545943</v>
      </c>
      <c r="AF38" s="68">
        <f t="shared" si="9"/>
        <v>0.99151064617758156</v>
      </c>
      <c r="AG38" s="68">
        <f t="shared" si="10"/>
        <v>0.9937722905272045</v>
      </c>
    </row>
    <row r="39" spans="2:33" ht="18.75" customHeight="1" x14ac:dyDescent="0.3">
      <c r="B39" s="22"/>
      <c r="D39" s="64">
        <v>21</v>
      </c>
      <c r="E39" s="94">
        <f t="shared" si="13"/>
        <v>800</v>
      </c>
      <c r="G39" s="68">
        <f t="shared" si="3"/>
        <v>-2.3871684939796047</v>
      </c>
      <c r="H39" s="70">
        <f t="shared" si="4"/>
        <v>-2.4989718928545943</v>
      </c>
      <c r="I39" s="68">
        <f t="shared" si="5"/>
        <v>0.99151064617758156</v>
      </c>
      <c r="J39" s="68">
        <f t="shared" si="6"/>
        <v>0.9937722905272045</v>
      </c>
      <c r="K39" s="70">
        <f t="shared" si="11"/>
        <v>227.58069756895816</v>
      </c>
      <c r="L39" s="68">
        <f t="shared" si="12"/>
        <v>227.58069756895816</v>
      </c>
      <c r="N39" s="245"/>
      <c r="O39" s="246"/>
      <c r="P39" s="246"/>
      <c r="Q39" s="246"/>
      <c r="R39" s="246"/>
      <c r="S39" s="246"/>
      <c r="T39" s="246"/>
      <c r="U39" s="246"/>
      <c r="V39" s="246"/>
      <c r="W39" s="247"/>
      <c r="X39" s="21"/>
      <c r="Z39" s="21"/>
      <c r="AA39" s="64">
        <v>22</v>
      </c>
      <c r="AB39" s="94">
        <f t="shared" si="7"/>
        <v>805</v>
      </c>
      <c r="AD39" s="68">
        <f t="shared" si="0"/>
        <v>-2.3314407628611384</v>
      </c>
      <c r="AE39" s="68">
        <f t="shared" si="8"/>
        <v>-2.443244161736128</v>
      </c>
      <c r="AF39" s="68">
        <f t="shared" si="9"/>
        <v>0.99013493489072146</v>
      </c>
      <c r="AG39" s="68">
        <f t="shared" si="10"/>
        <v>0.99272205707488392</v>
      </c>
    </row>
    <row r="40" spans="2:33" ht="18.75" customHeight="1" x14ac:dyDescent="0.3">
      <c r="B40" s="22"/>
      <c r="D40" s="64">
        <v>22</v>
      </c>
      <c r="E40" s="94">
        <f t="shared" si="13"/>
        <v>805</v>
      </c>
      <c r="G40" s="68">
        <f t="shared" si="3"/>
        <v>-2.3314407628611384</v>
      </c>
      <c r="H40" s="70">
        <f t="shared" si="4"/>
        <v>-2.443244161736128</v>
      </c>
      <c r="I40" s="68">
        <f t="shared" si="5"/>
        <v>0.99013493489072146</v>
      </c>
      <c r="J40" s="68">
        <f t="shared" si="6"/>
        <v>0.99272205707488392</v>
      </c>
      <c r="K40" s="70">
        <f t="shared" si="11"/>
        <v>223.09796495555963</v>
      </c>
      <c r="L40" s="68">
        <f t="shared" si="12"/>
        <v>223.09796495555963</v>
      </c>
      <c r="N40" s="245"/>
      <c r="O40" s="246"/>
      <c r="P40" s="246"/>
      <c r="Q40" s="246"/>
      <c r="R40" s="246"/>
      <c r="S40" s="246"/>
      <c r="T40" s="246"/>
      <c r="U40" s="246"/>
      <c r="V40" s="246"/>
      <c r="W40" s="247"/>
      <c r="X40" s="21"/>
      <c r="Z40" s="21"/>
      <c r="AA40" s="64">
        <v>23</v>
      </c>
      <c r="AB40" s="94">
        <f t="shared" si="7"/>
        <v>810</v>
      </c>
      <c r="AD40" s="68">
        <f t="shared" si="0"/>
        <v>-2.276058097305107</v>
      </c>
      <c r="AE40" s="68">
        <f t="shared" si="8"/>
        <v>-2.3878614961800966</v>
      </c>
      <c r="AF40" s="68">
        <f t="shared" si="9"/>
        <v>0.98857873369970817</v>
      </c>
      <c r="AG40" s="68">
        <f t="shared" si="10"/>
        <v>0.99152663645393324</v>
      </c>
    </row>
    <row r="41" spans="2:33" ht="18.75" customHeight="1" thickBot="1" x14ac:dyDescent="0.35">
      <c r="B41" s="22"/>
      <c r="D41" s="64">
        <v>23</v>
      </c>
      <c r="E41" s="94">
        <f t="shared" si="13"/>
        <v>810</v>
      </c>
      <c r="G41" s="68">
        <f t="shared" si="3"/>
        <v>-2.276058097305107</v>
      </c>
      <c r="H41" s="70">
        <f t="shared" si="4"/>
        <v>-2.3878614961800966</v>
      </c>
      <c r="I41" s="68">
        <f t="shared" si="5"/>
        <v>0.98857873369970817</v>
      </c>
      <c r="J41" s="68">
        <f t="shared" si="6"/>
        <v>0.99152663645393324</v>
      </c>
      <c r="K41" s="70">
        <f t="shared" si="11"/>
        <v>218.62185834106083</v>
      </c>
      <c r="L41" s="68">
        <f t="shared" si="12"/>
        <v>218.62185834106083</v>
      </c>
      <c r="N41" s="248"/>
      <c r="O41" s="249"/>
      <c r="P41" s="249"/>
      <c r="Q41" s="249"/>
      <c r="R41" s="249"/>
      <c r="S41" s="249"/>
      <c r="T41" s="249"/>
      <c r="U41" s="249"/>
      <c r="V41" s="249"/>
      <c r="W41" s="250"/>
      <c r="X41" s="21"/>
      <c r="Z41" s="21"/>
      <c r="AA41" s="64">
        <v>24</v>
      </c>
      <c r="AB41" s="94">
        <f t="shared" si="7"/>
        <v>815</v>
      </c>
      <c r="AD41" s="68">
        <f t="shared" si="0"/>
        <v>-2.2210162503102859</v>
      </c>
      <c r="AE41" s="68">
        <f t="shared" si="8"/>
        <v>-2.3328196491852755</v>
      </c>
      <c r="AF41" s="68">
        <f t="shared" si="9"/>
        <v>0.98682506961854366</v>
      </c>
      <c r="AG41" s="68">
        <f t="shared" si="10"/>
        <v>0.99017119352755401</v>
      </c>
    </row>
    <row r="42" spans="2:33" ht="15.6" thickBot="1" x14ac:dyDescent="0.35">
      <c r="B42" s="22"/>
      <c r="D42" s="64">
        <v>24</v>
      </c>
      <c r="E42" s="94">
        <f t="shared" si="13"/>
        <v>815</v>
      </c>
      <c r="G42" s="68">
        <f t="shared" si="3"/>
        <v>-2.2210162503102859</v>
      </c>
      <c r="H42" s="70">
        <f t="shared" si="4"/>
        <v>-2.3328196491852755</v>
      </c>
      <c r="I42" s="68">
        <f t="shared" si="5"/>
        <v>0.98682506961854366</v>
      </c>
      <c r="J42" s="68">
        <f t="shared" si="6"/>
        <v>0.99017119352755401</v>
      </c>
      <c r="K42" s="70">
        <f t="shared" si="11"/>
        <v>214.15323241825911</v>
      </c>
      <c r="L42" s="68">
        <f t="shared" si="12"/>
        <v>214.15323241825911</v>
      </c>
      <c r="N42" s="4" t="s">
        <v>33</v>
      </c>
      <c r="X42" s="21"/>
      <c r="Z42" s="21"/>
      <c r="AA42" s="64">
        <v>25</v>
      </c>
      <c r="AB42" s="94">
        <f t="shared" si="7"/>
        <v>820</v>
      </c>
      <c r="AD42" s="68">
        <f t="shared" si="0"/>
        <v>-2.1663110528030542</v>
      </c>
      <c r="AE42" s="68">
        <f t="shared" si="8"/>
        <v>-2.2781144516780438</v>
      </c>
      <c r="AF42" s="68">
        <f t="shared" si="9"/>
        <v>0.98485628715995932</v>
      </c>
      <c r="AG42" s="68">
        <f t="shared" si="10"/>
        <v>0.98864012027854498</v>
      </c>
    </row>
    <row r="43" spans="2:33" ht="18.75" customHeight="1" x14ac:dyDescent="0.3">
      <c r="B43" s="22"/>
      <c r="D43" s="64">
        <v>25</v>
      </c>
      <c r="E43" s="94">
        <f t="shared" si="13"/>
        <v>820</v>
      </c>
      <c r="G43" s="68">
        <f t="shared" si="3"/>
        <v>-2.1663110528030542</v>
      </c>
      <c r="H43" s="70">
        <f t="shared" si="4"/>
        <v>-2.2781144516780438</v>
      </c>
      <c r="I43" s="68">
        <f t="shared" si="5"/>
        <v>0.98485628715995932</v>
      </c>
      <c r="J43" s="68">
        <f t="shared" si="6"/>
        <v>0.98864012027854498</v>
      </c>
      <c r="K43" s="70">
        <f t="shared" si="11"/>
        <v>209.69302024243177</v>
      </c>
      <c r="L43" s="68">
        <f t="shared" si="12"/>
        <v>209.69302024243177</v>
      </c>
      <c r="N43" s="242"/>
      <c r="O43" s="243"/>
      <c r="P43" s="243"/>
      <c r="Q43" s="243"/>
      <c r="R43" s="243"/>
      <c r="S43" s="243"/>
      <c r="T43" s="243"/>
      <c r="U43" s="243"/>
      <c r="V43" s="243"/>
      <c r="W43" s="244"/>
      <c r="X43" s="21"/>
      <c r="Z43" s="21"/>
      <c r="AA43" s="64">
        <v>26</v>
      </c>
      <c r="AB43" s="94">
        <f t="shared" si="7"/>
        <v>825</v>
      </c>
      <c r="AD43" s="68">
        <f t="shared" si="0"/>
        <v>-2.1119384117424786</v>
      </c>
      <c r="AE43" s="68">
        <f t="shared" si="8"/>
        <v>-2.2237418106174682</v>
      </c>
      <c r="AF43" s="68">
        <f t="shared" si="9"/>
        <v>0.98265413390777534</v>
      </c>
      <c r="AG43" s="68">
        <f t="shared" si="10"/>
        <v>0.98691708978114701</v>
      </c>
    </row>
    <row r="44" spans="2:33" ht="18.75" customHeight="1" x14ac:dyDescent="0.3">
      <c r="B44" s="22"/>
      <c r="D44" s="64">
        <v>26</v>
      </c>
      <c r="E44" s="94">
        <f t="shared" si="13"/>
        <v>825</v>
      </c>
      <c r="G44" s="68">
        <f t="shared" si="3"/>
        <v>-2.1119384117424786</v>
      </c>
      <c r="H44" s="70">
        <f t="shared" si="4"/>
        <v>-2.2237418106174682</v>
      </c>
      <c r="I44" s="68">
        <f t="shared" si="5"/>
        <v>0.98265413390777534</v>
      </c>
      <c r="J44" s="68">
        <f t="shared" si="6"/>
        <v>0.98691708978114701</v>
      </c>
      <c r="K44" s="70">
        <f t="shared" si="11"/>
        <v>205.24223613077447</v>
      </c>
      <c r="L44" s="68">
        <f t="shared" si="12"/>
        <v>205.24223613077447</v>
      </c>
      <c r="N44" s="245"/>
      <c r="O44" s="246"/>
      <c r="P44" s="246"/>
      <c r="Q44" s="246"/>
      <c r="R44" s="246"/>
      <c r="S44" s="246"/>
      <c r="T44" s="246"/>
      <c r="U44" s="246"/>
      <c r="V44" s="246"/>
      <c r="W44" s="247"/>
      <c r="X44" s="21"/>
      <c r="Z44" s="21"/>
      <c r="AA44" s="64">
        <v>27</v>
      </c>
      <c r="AB44" s="94">
        <f t="shared" si="7"/>
        <v>830</v>
      </c>
      <c r="AD44" s="68">
        <f t="shared" si="0"/>
        <v>-2.0578943082826302</v>
      </c>
      <c r="AE44" s="68">
        <f t="shared" si="8"/>
        <v>-2.1696977071576198</v>
      </c>
      <c r="AF44" s="68">
        <f t="shared" si="9"/>
        <v>0.9801998598817977</v>
      </c>
      <c r="AG44" s="68">
        <f t="shared" si="10"/>
        <v>0.98498512306443764</v>
      </c>
    </row>
    <row r="45" spans="2:33" ht="18.75" customHeight="1" x14ac:dyDescent="0.3">
      <c r="B45" s="22"/>
      <c r="D45" s="64">
        <v>27</v>
      </c>
      <c r="E45" s="94">
        <f t="shared" si="13"/>
        <v>830</v>
      </c>
      <c r="G45" s="68">
        <f t="shared" si="3"/>
        <v>-2.0578943082826302</v>
      </c>
      <c r="H45" s="70">
        <f t="shared" si="4"/>
        <v>-2.1696977071576198</v>
      </c>
      <c r="I45" s="68">
        <f t="shared" si="5"/>
        <v>0.9801998598817977</v>
      </c>
      <c r="J45" s="68">
        <f t="shared" si="6"/>
        <v>0.98498512306443764</v>
      </c>
      <c r="K45" s="70">
        <f t="shared" si="11"/>
        <v>200.80197814338624</v>
      </c>
      <c r="L45" s="68">
        <f t="shared" si="12"/>
        <v>200.80197814338624</v>
      </c>
      <c r="N45" s="245"/>
      <c r="O45" s="246"/>
      <c r="P45" s="246"/>
      <c r="Q45" s="246"/>
      <c r="R45" s="246"/>
      <c r="S45" s="246"/>
      <c r="T45" s="246"/>
      <c r="U45" s="246"/>
      <c r="V45" s="246"/>
      <c r="W45" s="247"/>
      <c r="X45" s="21"/>
      <c r="Z45" s="21"/>
      <c r="AA45" s="64">
        <v>28</v>
      </c>
      <c r="AB45" s="94">
        <f t="shared" si="7"/>
        <v>835</v>
      </c>
      <c r="AD45" s="68">
        <f t="shared" si="0"/>
        <v>-2.0041747959900982</v>
      </c>
      <c r="AE45" s="68">
        <f t="shared" si="8"/>
        <v>-2.1159781948650878</v>
      </c>
      <c r="AF45" s="68">
        <f t="shared" si="9"/>
        <v>0.97747433028088226</v>
      </c>
      <c r="AG45" s="68">
        <f t="shared" si="10"/>
        <v>0.98282666893263149</v>
      </c>
    </row>
    <row r="46" spans="2:33" ht="18.75" customHeight="1" thickBot="1" x14ac:dyDescent="0.35">
      <c r="B46" s="22"/>
      <c r="D46" s="64">
        <v>28</v>
      </c>
      <c r="E46" s="94">
        <f t="shared" si="13"/>
        <v>835</v>
      </c>
      <c r="G46" s="68">
        <f t="shared" si="3"/>
        <v>-2.0041747959900982</v>
      </c>
      <c r="H46" s="70">
        <f t="shared" si="4"/>
        <v>-2.1159781948650878</v>
      </c>
      <c r="I46" s="68">
        <f t="shared" si="5"/>
        <v>0.97747433028088226</v>
      </c>
      <c r="J46" s="68">
        <f t="shared" si="6"/>
        <v>0.98282666893263149</v>
      </c>
      <c r="K46" s="70">
        <f t="shared" si="11"/>
        <v>196.37343008424261</v>
      </c>
      <c r="L46" s="68">
        <f t="shared" si="12"/>
        <v>196.37343008424261</v>
      </c>
      <c r="N46" s="248"/>
      <c r="O46" s="249"/>
      <c r="P46" s="249"/>
      <c r="Q46" s="249"/>
      <c r="R46" s="249"/>
      <c r="S46" s="249"/>
      <c r="T46" s="249"/>
      <c r="U46" s="249"/>
      <c r="V46" s="249"/>
      <c r="W46" s="250"/>
      <c r="X46" s="21"/>
      <c r="Z46" s="21"/>
      <c r="AA46" s="64">
        <v>29</v>
      </c>
      <c r="AB46" s="94">
        <f t="shared" si="7"/>
        <v>840</v>
      </c>
      <c r="AD46" s="68">
        <f t="shared" si="0"/>
        <v>-1.9507759991147076</v>
      </c>
      <c r="AE46" s="68">
        <f t="shared" si="8"/>
        <v>-2.0625793979896971</v>
      </c>
      <c r="AF46" s="68">
        <f t="shared" si="9"/>
        <v>0.97445815094125854</v>
      </c>
      <c r="AG46" s="68">
        <f t="shared" si="10"/>
        <v>0.98042369659585393</v>
      </c>
    </row>
    <row r="47" spans="2:33" ht="15.6" thickBot="1" x14ac:dyDescent="0.35">
      <c r="B47" s="22"/>
      <c r="D47" s="64">
        <v>29</v>
      </c>
      <c r="E47" s="94">
        <f t="shared" si="13"/>
        <v>840</v>
      </c>
      <c r="G47" s="68">
        <f t="shared" si="3"/>
        <v>-1.9507759991147076</v>
      </c>
      <c r="H47" s="70">
        <f t="shared" si="4"/>
        <v>-2.0625793979896971</v>
      </c>
      <c r="I47" s="68">
        <f t="shared" si="5"/>
        <v>0.97445815094125854</v>
      </c>
      <c r="J47" s="68">
        <f t="shared" si="6"/>
        <v>0.98042369659585393</v>
      </c>
      <c r="K47" s="70">
        <f t="shared" si="11"/>
        <v>191.95786296303834</v>
      </c>
      <c r="L47" s="68">
        <f t="shared" si="12"/>
        <v>191.95786296303834</v>
      </c>
      <c r="N47" s="4" t="s">
        <v>34</v>
      </c>
      <c r="X47" s="21"/>
      <c r="Z47" s="21"/>
      <c r="AA47" s="64">
        <v>30</v>
      </c>
      <c r="AB47" s="94">
        <f t="shared" si="7"/>
        <v>845</v>
      </c>
      <c r="AD47" s="68">
        <f t="shared" si="0"/>
        <v>-1.8976941109115562</v>
      </c>
      <c r="AE47" s="68">
        <f t="shared" si="8"/>
        <v>-2.0094975097865455</v>
      </c>
      <c r="AF47" s="68">
        <f t="shared" si="9"/>
        <v>0.97113180559955214</v>
      </c>
      <c r="AG47" s="68">
        <f t="shared" si="10"/>
        <v>0.97775780074440899</v>
      </c>
    </row>
    <row r="48" spans="2:33" ht="18.75" customHeight="1" x14ac:dyDescent="0.3">
      <c r="B48" s="22"/>
      <c r="D48" s="64">
        <v>30</v>
      </c>
      <c r="E48" s="94">
        <f t="shared" si="13"/>
        <v>845</v>
      </c>
      <c r="G48" s="68">
        <f t="shared" si="3"/>
        <v>-1.8976941109115562</v>
      </c>
      <c r="H48" s="70">
        <f t="shared" si="4"/>
        <v>-2.0094975097865455</v>
      </c>
      <c r="I48" s="68">
        <f t="shared" si="5"/>
        <v>0.97113180559955214</v>
      </c>
      <c r="J48" s="68">
        <f t="shared" si="6"/>
        <v>0.97775780074440899</v>
      </c>
      <c r="K48" s="70">
        <f t="shared" si="11"/>
        <v>187.55663586234107</v>
      </c>
      <c r="L48" s="68">
        <f t="shared" si="12"/>
        <v>187.55663586234107</v>
      </c>
      <c r="N48" s="242"/>
      <c r="O48" s="243"/>
      <c r="P48" s="243"/>
      <c r="Q48" s="243"/>
      <c r="R48" s="243"/>
      <c r="S48" s="243"/>
      <c r="T48" s="243"/>
      <c r="U48" s="243"/>
      <c r="V48" s="243"/>
      <c r="W48" s="244"/>
      <c r="X48" s="21"/>
      <c r="Z48" s="21"/>
      <c r="AA48" s="64">
        <v>31</v>
      </c>
      <c r="AB48" s="94">
        <f t="shared" si="7"/>
        <v>850</v>
      </c>
      <c r="AD48" s="68">
        <f t="shared" si="0"/>
        <v>-1.8449253920125452</v>
      </c>
      <c r="AE48" s="68">
        <f t="shared" si="8"/>
        <v>-1.9567287908875348</v>
      </c>
      <c r="AF48" s="68">
        <f t="shared" si="9"/>
        <v>0.96747580380868092</v>
      </c>
      <c r="AG48" s="68">
        <f t="shared" si="10"/>
        <v>0.9748103184747533</v>
      </c>
    </row>
    <row r="49" spans="2:33" ht="18.75" customHeight="1" x14ac:dyDescent="0.3">
      <c r="B49" s="22"/>
      <c r="D49" s="64">
        <v>31</v>
      </c>
      <c r="E49" s="94">
        <f t="shared" si="13"/>
        <v>850</v>
      </c>
      <c r="G49" s="68">
        <f t="shared" si="3"/>
        <v>-1.8449253920125452</v>
      </c>
      <c r="H49" s="70">
        <f t="shared" si="4"/>
        <v>-1.9567287908875348</v>
      </c>
      <c r="I49" s="68">
        <f t="shared" si="5"/>
        <v>0.96747580380868092</v>
      </c>
      <c r="J49" s="68">
        <f t="shared" si="6"/>
        <v>0.9748103184747533</v>
      </c>
      <c r="K49" s="70">
        <f t="shared" si="11"/>
        <v>183.1711961591626</v>
      </c>
      <c r="L49" s="68">
        <f t="shared" si="12"/>
        <v>183.1711961591626</v>
      </c>
      <c r="N49" s="245"/>
      <c r="O49" s="246"/>
      <c r="P49" s="246"/>
      <c r="Q49" s="246"/>
      <c r="R49" s="246"/>
      <c r="S49" s="246"/>
      <c r="T49" s="246"/>
      <c r="U49" s="246"/>
      <c r="V49" s="246"/>
      <c r="W49" s="247"/>
      <c r="X49" s="21"/>
      <c r="Z49" s="21"/>
      <c r="AA49" s="64">
        <v>32</v>
      </c>
      <c r="AB49" s="94">
        <f t="shared" si="7"/>
        <v>855</v>
      </c>
      <c r="AD49" s="68">
        <f t="shared" si="0"/>
        <v>-1.7924661688456713</v>
      </c>
      <c r="AE49" s="68">
        <f t="shared" si="8"/>
        <v>-1.9042695677206609</v>
      </c>
      <c r="AF49" s="68">
        <f t="shared" si="9"/>
        <v>0.9634708381254109</v>
      </c>
      <c r="AG49" s="68">
        <f t="shared" si="10"/>
        <v>0.97156245725103263</v>
      </c>
    </row>
    <row r="50" spans="2:33" ht="18.75" customHeight="1" x14ac:dyDescent="0.3">
      <c r="B50" s="22"/>
      <c r="D50" s="64">
        <v>32</v>
      </c>
      <c r="E50" s="94">
        <f t="shared" si="13"/>
        <v>855</v>
      </c>
      <c r="G50" s="68">
        <f t="shared" si="3"/>
        <v>-1.7924661688456713</v>
      </c>
      <c r="H50" s="70">
        <f t="shared" si="4"/>
        <v>-1.9042695677206609</v>
      </c>
      <c r="I50" s="68">
        <f t="shared" si="5"/>
        <v>0.9634708381254109</v>
      </c>
      <c r="J50" s="68">
        <f t="shared" si="6"/>
        <v>0.97156245725103263</v>
      </c>
      <c r="K50" s="70">
        <f t="shared" si="11"/>
        <v>178.80307905579969</v>
      </c>
      <c r="L50" s="68">
        <f t="shared" si="12"/>
        <v>178.80307905579969</v>
      </c>
      <c r="N50" s="245"/>
      <c r="O50" s="246"/>
      <c r="P50" s="246"/>
      <c r="Q50" s="246"/>
      <c r="R50" s="246"/>
      <c r="S50" s="246"/>
      <c r="T50" s="246"/>
      <c r="U50" s="246"/>
      <c r="V50" s="246"/>
      <c r="W50" s="247"/>
      <c r="X50" s="21"/>
      <c r="Z50" s="21"/>
      <c r="AA50" s="64">
        <v>33</v>
      </c>
      <c r="AB50" s="94">
        <f t="shared" si="7"/>
        <v>860</v>
      </c>
      <c r="AD50" s="68">
        <f t="shared" si="0"/>
        <v>-1.7403128321004002</v>
      </c>
      <c r="AE50" s="68">
        <f t="shared" si="8"/>
        <v>-1.8521162309753898</v>
      </c>
      <c r="AF50" s="68">
        <f t="shared" si="9"/>
        <v>0.95909794897617795</v>
      </c>
      <c r="AG50" s="68">
        <f t="shared" si="10"/>
        <v>0.96799543286698408</v>
      </c>
    </row>
    <row r="51" spans="2:33" ht="18.75" customHeight="1" thickBot="1" x14ac:dyDescent="0.35">
      <c r="B51" s="22"/>
      <c r="D51" s="64">
        <v>33</v>
      </c>
      <c r="E51" s="94">
        <f t="shared" si="13"/>
        <v>860</v>
      </c>
      <c r="G51" s="68">
        <f t="shared" ref="G51:G82" si="14">(LN($E51/$H$14)+($H$10-$H$12+$H$11^2/2)*$H$13)/($H$11*SQRT($H$13))</f>
        <v>-1.7403128321004002</v>
      </c>
      <c r="H51" s="70">
        <f t="shared" ref="H51:H82" si="15">G51-$H$11*SQRT($H$13)</f>
        <v>-1.8521162309753898</v>
      </c>
      <c r="I51" s="68">
        <f t="shared" si="5"/>
        <v>0.95909794897617795</v>
      </c>
      <c r="J51" s="68">
        <f t="shared" si="6"/>
        <v>0.96799543286698408</v>
      </c>
      <c r="K51" s="70">
        <f t="shared" ref="K51:K79" si="16">-EXP(-$G$12*$G$13)*$AB50*AF50+$G$14*EXP(-$G$10*$G$13)*AG50</f>
        <v>174.45390638151798</v>
      </c>
      <c r="L51" s="68">
        <f t="shared" ref="L51:L82" si="17">-EXP(-$H$12*$H$13)*$E51*I51+$H$14*EXP(-$H$10*$H$13)*J51</f>
        <v>174.45390638151798</v>
      </c>
      <c r="N51" s="248"/>
      <c r="O51" s="249"/>
      <c r="P51" s="249"/>
      <c r="Q51" s="249"/>
      <c r="R51" s="249"/>
      <c r="S51" s="249"/>
      <c r="T51" s="249"/>
      <c r="U51" s="249"/>
      <c r="V51" s="249"/>
      <c r="W51" s="250"/>
      <c r="X51" s="21"/>
      <c r="Z51" s="21"/>
      <c r="AA51" s="64">
        <v>34</v>
      </c>
      <c r="AB51" s="94">
        <f t="shared" si="7"/>
        <v>865</v>
      </c>
      <c r="AD51" s="68">
        <f t="shared" si="0"/>
        <v>-1.6884618352375245</v>
      </c>
      <c r="AE51" s="68">
        <f t="shared" si="8"/>
        <v>-1.800265234112514</v>
      </c>
      <c r="AF51" s="68">
        <f t="shared" si="9"/>
        <v>0.9543386954178269</v>
      </c>
      <c r="AG51" s="68">
        <f t="shared" si="10"/>
        <v>0.96409061616412617</v>
      </c>
    </row>
    <row r="52" spans="2:33" x14ac:dyDescent="0.3">
      <c r="B52" s="22"/>
      <c r="D52" s="64">
        <v>34</v>
      </c>
      <c r="E52" s="94">
        <f t="shared" si="13"/>
        <v>865</v>
      </c>
      <c r="G52" s="68">
        <f t="shared" si="14"/>
        <v>-1.6884618352375245</v>
      </c>
      <c r="H52" s="70">
        <f t="shared" si="15"/>
        <v>-1.800265234112514</v>
      </c>
      <c r="I52" s="68">
        <f t="shared" si="5"/>
        <v>0.9543386954178269</v>
      </c>
      <c r="J52" s="68">
        <f t="shared" si="6"/>
        <v>0.96409061616412617</v>
      </c>
      <c r="K52" s="70">
        <f t="shared" si="16"/>
        <v>170.12538463431372</v>
      </c>
      <c r="L52" s="68">
        <f t="shared" si="17"/>
        <v>170.12538463431372</v>
      </c>
      <c r="X52" s="21"/>
      <c r="Z52" s="21"/>
      <c r="AA52" s="64">
        <v>35</v>
      </c>
      <c r="AB52" s="94">
        <f t="shared" si="7"/>
        <v>870</v>
      </c>
      <c r="AD52" s="68">
        <f t="shared" si="0"/>
        <v>-1.6369096930419671</v>
      </c>
      <c r="AE52" s="68">
        <f t="shared" si="8"/>
        <v>-1.7487130919169567</v>
      </c>
      <c r="AF52" s="68">
        <f t="shared" si="9"/>
        <v>0.94917532984676045</v>
      </c>
      <c r="AG52" s="68">
        <f t="shared" si="10"/>
        <v>0.95982968706815996</v>
      </c>
    </row>
    <row r="53" spans="2:33" x14ac:dyDescent="0.3">
      <c r="B53" s="22"/>
      <c r="D53" s="64">
        <v>35</v>
      </c>
      <c r="E53" s="94">
        <f t="shared" si="13"/>
        <v>870</v>
      </c>
      <c r="G53" s="68">
        <f t="shared" si="14"/>
        <v>-1.6369096930419671</v>
      </c>
      <c r="H53" s="70">
        <f t="shared" si="15"/>
        <v>-1.7487130919169567</v>
      </c>
      <c r="I53" s="68">
        <f t="shared" si="5"/>
        <v>0.94917532984676045</v>
      </c>
      <c r="J53" s="68">
        <f t="shared" si="6"/>
        <v>0.95982968706815996</v>
      </c>
      <c r="K53" s="70">
        <f t="shared" si="16"/>
        <v>165.81930224042981</v>
      </c>
      <c r="L53" s="68">
        <f t="shared" si="17"/>
        <v>165.81930224042981</v>
      </c>
      <c r="X53" s="21"/>
      <c r="Z53" s="21"/>
      <c r="AA53" s="64">
        <v>36</v>
      </c>
      <c r="AB53" s="94">
        <f t="shared" si="7"/>
        <v>875</v>
      </c>
      <c r="AD53" s="68">
        <f t="shared" si="0"/>
        <v>-1.5856529802170498</v>
      </c>
      <c r="AE53" s="68">
        <f t="shared" si="8"/>
        <v>-1.6974563790920394</v>
      </c>
      <c r="AF53" s="68">
        <f t="shared" si="9"/>
        <v>0.94359097457763075</v>
      </c>
      <c r="AG53" s="68">
        <f t="shared" si="10"/>
        <v>0.95519479433085797</v>
      </c>
    </row>
    <row r="54" spans="2:33" x14ac:dyDescent="0.3">
      <c r="B54" s="22"/>
      <c r="D54" s="64">
        <v>36</v>
      </c>
      <c r="E54" s="94">
        <f t="shared" si="13"/>
        <v>875</v>
      </c>
      <c r="G54" s="68">
        <f t="shared" si="14"/>
        <v>-1.5856529802170498</v>
      </c>
      <c r="H54" s="70">
        <f t="shared" si="15"/>
        <v>-1.6974563790920394</v>
      </c>
      <c r="I54" s="68">
        <f t="shared" si="5"/>
        <v>0.94359097457763075</v>
      </c>
      <c r="J54" s="68">
        <f t="shared" si="6"/>
        <v>0.95519479433085797</v>
      </c>
      <c r="K54" s="70">
        <f t="shared" si="16"/>
        <v>161.53752601841904</v>
      </c>
      <c r="L54" s="68">
        <f t="shared" si="17"/>
        <v>161.53752601841904</v>
      </c>
      <c r="X54" s="21"/>
      <c r="Z54" s="21"/>
      <c r="AA54" s="64">
        <v>37</v>
      </c>
      <c r="AB54" s="94">
        <f t="shared" si="7"/>
        <v>880</v>
      </c>
      <c r="AD54" s="68">
        <f t="shared" si="0"/>
        <v>-1.5346883300188132</v>
      </c>
      <c r="AE54" s="68">
        <f t="shared" si="8"/>
        <v>-1.6464917288938028</v>
      </c>
      <c r="AF54" s="68">
        <f t="shared" si="9"/>
        <v>0.93756979811446073</v>
      </c>
      <c r="AG54" s="68">
        <f t="shared" si="10"/>
        <v>0.95016871921351675</v>
      </c>
    </row>
    <row r="55" spans="2:33" x14ac:dyDescent="0.3">
      <c r="B55" s="22"/>
      <c r="D55" s="64">
        <v>37</v>
      </c>
      <c r="E55" s="94">
        <f t="shared" si="13"/>
        <v>880</v>
      </c>
      <c r="G55" s="68">
        <f t="shared" si="14"/>
        <v>-1.5346883300188132</v>
      </c>
      <c r="H55" s="70">
        <f t="shared" si="15"/>
        <v>-1.6464917288938028</v>
      </c>
      <c r="I55" s="68">
        <f t="shared" si="5"/>
        <v>0.93756979811446073</v>
      </c>
      <c r="J55" s="68">
        <f t="shared" si="6"/>
        <v>0.95016871921351675</v>
      </c>
      <c r="K55" s="70">
        <f t="shared" si="16"/>
        <v>157.28199684419565</v>
      </c>
      <c r="L55" s="68">
        <f t="shared" si="17"/>
        <v>157.28199684419565</v>
      </c>
      <c r="X55" s="21"/>
      <c r="Z55" s="21"/>
      <c r="AA55" s="64">
        <v>38</v>
      </c>
      <c r="AB55" s="94">
        <f t="shared" si="7"/>
        <v>885</v>
      </c>
      <c r="AD55" s="68">
        <f t="shared" si="0"/>
        <v>-1.4840124329290263</v>
      </c>
      <c r="AE55" s="68">
        <f t="shared" si="8"/>
        <v>-1.5958158318040159</v>
      </c>
      <c r="AF55" s="68">
        <f t="shared" si="9"/>
        <v>0.93109718887551984</v>
      </c>
      <c r="AG55" s="68">
        <f t="shared" si="10"/>
        <v>0.94473504122390128</v>
      </c>
    </row>
    <row r="56" spans="2:33" x14ac:dyDescent="0.3">
      <c r="B56" s="22"/>
      <c r="D56" s="64">
        <v>38</v>
      </c>
      <c r="E56" s="94">
        <f t="shared" si="13"/>
        <v>885</v>
      </c>
      <c r="G56" s="68">
        <f t="shared" si="14"/>
        <v>-1.4840124329290263</v>
      </c>
      <c r="H56" s="70">
        <f t="shared" si="15"/>
        <v>-1.5958158318040159</v>
      </c>
      <c r="I56" s="68">
        <f t="shared" si="5"/>
        <v>0.93109718887551984</v>
      </c>
      <c r="J56" s="68">
        <f t="shared" si="6"/>
        <v>0.94473504122390128</v>
      </c>
      <c r="K56" s="70">
        <f t="shared" si="16"/>
        <v>153.05472452351091</v>
      </c>
      <c r="L56" s="68">
        <f t="shared" si="17"/>
        <v>153.05472452351091</v>
      </c>
      <c r="X56" s="21"/>
      <c r="Z56" s="21"/>
      <c r="AA56" s="64">
        <v>39</v>
      </c>
      <c r="AB56" s="94">
        <f t="shared" si="7"/>
        <v>890</v>
      </c>
      <c r="AD56" s="68">
        <f t="shared" si="0"/>
        <v>-1.4336220353655735</v>
      </c>
      <c r="AE56" s="68">
        <f t="shared" si="8"/>
        <v>-1.5454254342405631</v>
      </c>
      <c r="AF56" s="68">
        <f t="shared" si="9"/>
        <v>0.9241599241101105</v>
      </c>
      <c r="AG56" s="68">
        <f t="shared" si="10"/>
        <v>0.93887830392452987</v>
      </c>
    </row>
    <row r="57" spans="2:33" x14ac:dyDescent="0.3">
      <c r="B57" s="22"/>
      <c r="D57" s="64">
        <v>39</v>
      </c>
      <c r="E57" s="94">
        <f t="shared" si="13"/>
        <v>890</v>
      </c>
      <c r="G57" s="68">
        <f t="shared" si="14"/>
        <v>-1.4336220353655735</v>
      </c>
      <c r="H57" s="70">
        <f t="shared" si="15"/>
        <v>-1.5454254342405631</v>
      </c>
      <c r="I57" s="68">
        <f t="shared" si="5"/>
        <v>0.9241599241101105</v>
      </c>
      <c r="J57" s="68">
        <f t="shared" si="6"/>
        <v>0.93887830392452987</v>
      </c>
      <c r="K57" s="70">
        <f t="shared" si="16"/>
        <v>148.85778188848735</v>
      </c>
      <c r="L57" s="68">
        <f t="shared" si="17"/>
        <v>148.85778188848735</v>
      </c>
      <c r="X57" s="21"/>
      <c r="Z57" s="21"/>
      <c r="AA57" s="64">
        <v>40</v>
      </c>
      <c r="AB57" s="94">
        <f t="shared" si="7"/>
        <v>895</v>
      </c>
      <c r="AD57" s="68">
        <f t="shared" si="0"/>
        <v>-1.383513938428969</v>
      </c>
      <c r="AE57" s="68">
        <f t="shared" si="8"/>
        <v>-1.4953173373039585</v>
      </c>
      <c r="AF57" s="68">
        <f t="shared" si="9"/>
        <v>0.91674633176151266</v>
      </c>
      <c r="AG57" s="68">
        <f t="shared" si="10"/>
        <v>0.93258417876852906</v>
      </c>
    </row>
    <row r="58" spans="2:33" x14ac:dyDescent="0.3">
      <c r="B58" s="22"/>
      <c r="D58" s="64">
        <v>40</v>
      </c>
      <c r="E58" s="94">
        <f t="shared" si="13"/>
        <v>895</v>
      </c>
      <c r="G58" s="68">
        <f t="shared" si="14"/>
        <v>-1.383513938428969</v>
      </c>
      <c r="H58" s="70">
        <f t="shared" si="15"/>
        <v>-1.4953173373039585</v>
      </c>
      <c r="I58" s="68">
        <f t="shared" si="5"/>
        <v>0.91674633176151266</v>
      </c>
      <c r="J58" s="68">
        <f t="shared" si="6"/>
        <v>0.93258417876852906</v>
      </c>
      <c r="K58" s="70">
        <f t="shared" si="16"/>
        <v>144.69329814506216</v>
      </c>
      <c r="L58" s="68">
        <f t="shared" si="17"/>
        <v>144.69329814506216</v>
      </c>
      <c r="X58" s="21"/>
      <c r="Z58" s="21"/>
      <c r="AA58" s="64">
        <v>41</v>
      </c>
      <c r="AB58" s="94">
        <f t="shared" si="7"/>
        <v>900</v>
      </c>
      <c r="AD58" s="68">
        <f t="shared" si="0"/>
        <v>-1.3336849966837854</v>
      </c>
      <c r="AE58" s="68">
        <f t="shared" si="8"/>
        <v>-1.445488395558775</v>
      </c>
      <c r="AF58" s="68">
        <f t="shared" si="9"/>
        <v>0.90884644308565721</v>
      </c>
      <c r="AG58" s="68">
        <f t="shared" si="10"/>
        <v>0.92583962489175731</v>
      </c>
    </row>
    <row r="59" spans="2:33" x14ac:dyDescent="0.3">
      <c r="B59" s="22"/>
      <c r="D59" s="64">
        <v>41</v>
      </c>
      <c r="E59" s="94">
        <f t="shared" si="13"/>
        <v>900</v>
      </c>
      <c r="G59" s="68">
        <f t="shared" si="14"/>
        <v>-1.3336849966837854</v>
      </c>
      <c r="H59" s="70">
        <f t="shared" si="15"/>
        <v>-1.445488395558775</v>
      </c>
      <c r="I59" s="68">
        <f t="shared" si="5"/>
        <v>0.90884644308565721</v>
      </c>
      <c r="J59" s="68">
        <f t="shared" si="6"/>
        <v>0.92583962489175731</v>
      </c>
      <c r="K59" s="70">
        <f t="shared" si="16"/>
        <v>140.56345150823063</v>
      </c>
      <c r="L59" s="68">
        <f t="shared" si="17"/>
        <v>140.56345150823063</v>
      </c>
      <c r="X59" s="21"/>
      <c r="Z59" s="21"/>
      <c r="AA59" s="64">
        <v>42</v>
      </c>
      <c r="AB59" s="94">
        <f t="shared" si="7"/>
        <v>905</v>
      </c>
      <c r="AD59" s="68">
        <f t="shared" si="0"/>
        <v>-1.28413211697384</v>
      </c>
      <c r="AE59" s="68">
        <f t="shared" si="8"/>
        <v>-1.3959355158488296</v>
      </c>
      <c r="AF59" s="68">
        <f t="shared" si="9"/>
        <v>0.90045213392873347</v>
      </c>
      <c r="AG59" s="68">
        <f t="shared" si="10"/>
        <v>0.91863304279737634</v>
      </c>
    </row>
    <row r="60" spans="2:33" x14ac:dyDescent="0.3">
      <c r="B60" s="22"/>
      <c r="D60" s="64">
        <v>42</v>
      </c>
      <c r="E60" s="94">
        <f t="shared" si="13"/>
        <v>905</v>
      </c>
      <c r="G60" s="68">
        <f t="shared" si="14"/>
        <v>-1.28413211697384</v>
      </c>
      <c r="H60" s="70">
        <f t="shared" si="15"/>
        <v>-1.3959355158488296</v>
      </c>
      <c r="I60" s="68">
        <f t="shared" si="5"/>
        <v>0.90045213392873347</v>
      </c>
      <c r="J60" s="68">
        <f t="shared" si="6"/>
        <v>0.91863304279737634</v>
      </c>
      <c r="K60" s="70">
        <f t="shared" si="16"/>
        <v>136.47046117170214</v>
      </c>
      <c r="L60" s="68">
        <f t="shared" si="17"/>
        <v>136.47046117170214</v>
      </c>
      <c r="X60" s="21"/>
      <c r="Z60" s="21"/>
      <c r="AA60" s="64">
        <v>43</v>
      </c>
      <c r="AB60" s="94">
        <f t="shared" si="7"/>
        <v>910</v>
      </c>
      <c r="AD60" s="68">
        <f t="shared" si="0"/>
        <v>-1.2348522572700209</v>
      </c>
      <c r="AE60" s="68">
        <f t="shared" si="8"/>
        <v>-1.3466556561450105</v>
      </c>
      <c r="AF60" s="68">
        <f t="shared" si="9"/>
        <v>0.89155725269714969</v>
      </c>
      <c r="AG60" s="68">
        <f t="shared" si="10"/>
        <v>0.91095441991165504</v>
      </c>
    </row>
    <row r="61" spans="2:33" x14ac:dyDescent="0.3">
      <c r="B61" s="22"/>
      <c r="D61" s="64">
        <v>43</v>
      </c>
      <c r="E61" s="94">
        <f t="shared" si="13"/>
        <v>910</v>
      </c>
      <c r="G61" s="68">
        <f t="shared" si="14"/>
        <v>-1.2348522572700209</v>
      </c>
      <c r="H61" s="70">
        <f t="shared" si="15"/>
        <v>-1.3466556561450105</v>
      </c>
      <c r="I61" s="68">
        <f t="shared" si="5"/>
        <v>0.89155725269714969</v>
      </c>
      <c r="J61" s="68">
        <f t="shared" si="6"/>
        <v>0.91095441991165504</v>
      </c>
      <c r="K61" s="70">
        <f t="shared" si="16"/>
        <v>132.41657866777791</v>
      </c>
      <c r="L61" s="68">
        <f t="shared" si="17"/>
        <v>132.41657866777791</v>
      </c>
      <c r="X61" s="21"/>
      <c r="Z61" s="21"/>
      <c r="AA61" s="64">
        <v>44</v>
      </c>
      <c r="AB61" s="94">
        <f t="shared" si="7"/>
        <v>915</v>
      </c>
      <c r="AD61" s="68">
        <f t="shared" si="0"/>
        <v>-1.1858424255496782</v>
      </c>
      <c r="AE61" s="68">
        <f t="shared" si="8"/>
        <v>-1.2976458244246678</v>
      </c>
      <c r="AF61" s="68">
        <f t="shared" si="9"/>
        <v>0.88215773321750279</v>
      </c>
      <c r="AG61" s="68">
        <f t="shared" si="10"/>
        <v>0.9027954660668922</v>
      </c>
    </row>
    <row r="62" spans="2:33" x14ac:dyDescent="0.3">
      <c r="B62" s="22"/>
      <c r="D62" s="64">
        <v>44</v>
      </c>
      <c r="E62" s="94">
        <f t="shared" si="13"/>
        <v>915</v>
      </c>
      <c r="G62" s="68">
        <f t="shared" si="14"/>
        <v>-1.1858424255496782</v>
      </c>
      <c r="H62" s="70">
        <f t="shared" si="15"/>
        <v>-1.2976458244246678</v>
      </c>
      <c r="I62" s="68">
        <f t="shared" si="5"/>
        <v>0.88215773321750279</v>
      </c>
      <c r="J62" s="68">
        <f t="shared" si="6"/>
        <v>0.9027954660668922</v>
      </c>
      <c r="K62" s="70">
        <f t="shared" si="16"/>
        <v>128.40407868180705</v>
      </c>
      <c r="L62" s="68">
        <f t="shared" si="17"/>
        <v>128.40407868180705</v>
      </c>
      <c r="X62" s="21"/>
      <c r="Z62" s="21"/>
      <c r="AA62" s="64">
        <v>45</v>
      </c>
      <c r="AB62" s="94">
        <f t="shared" si="7"/>
        <v>920</v>
      </c>
      <c r="AD62" s="68">
        <f t="shared" si="0"/>
        <v>-1.1370996787065517</v>
      </c>
      <c r="AE62" s="68">
        <f t="shared" si="8"/>
        <v>-1.2489030775815413</v>
      </c>
      <c r="AF62" s="68">
        <f t="shared" si="9"/>
        <v>0.87225169087923293</v>
      </c>
      <c r="AG62" s="68">
        <f t="shared" si="10"/>
        <v>0.89414973707754941</v>
      </c>
    </row>
    <row r="63" spans="2:33" x14ac:dyDescent="0.3">
      <c r="B63" s="22"/>
      <c r="D63" s="64">
        <v>45</v>
      </c>
      <c r="E63" s="94">
        <f t="shared" si="13"/>
        <v>920</v>
      </c>
      <c r="G63" s="68">
        <f t="shared" si="14"/>
        <v>-1.1370996787065517</v>
      </c>
      <c r="H63" s="70">
        <f t="shared" si="15"/>
        <v>-1.2489030775815413</v>
      </c>
      <c r="I63" s="68">
        <f t="shared" si="5"/>
        <v>0.87225169087923293</v>
      </c>
      <c r="J63" s="68">
        <f t="shared" si="6"/>
        <v>0.89414973707754941</v>
      </c>
      <c r="K63" s="70">
        <f t="shared" si="16"/>
        <v>124.43524939329029</v>
      </c>
      <c r="L63" s="68">
        <f t="shared" si="17"/>
        <v>124.43524939329029</v>
      </c>
      <c r="X63" s="21"/>
      <c r="Z63" s="21"/>
      <c r="AA63" s="64">
        <v>46</v>
      </c>
      <c r="AB63" s="94">
        <f t="shared" si="7"/>
        <v>925</v>
      </c>
      <c r="AD63" s="68">
        <f t="shared" si="0"/>
        <v>-1.0886211214902408</v>
      </c>
      <c r="AE63" s="68">
        <f t="shared" si="8"/>
        <v>-1.2004245203652304</v>
      </c>
      <c r="AF63" s="68">
        <f t="shared" si="9"/>
        <v>0.8618395006745605</v>
      </c>
      <c r="AG63" s="68">
        <f t="shared" si="10"/>
        <v>0.88501274471692593</v>
      </c>
    </row>
    <row r="64" spans="2:33" x14ac:dyDescent="0.3">
      <c r="B64" s="22"/>
      <c r="D64" s="64">
        <v>46</v>
      </c>
      <c r="E64" s="94">
        <f t="shared" si="13"/>
        <v>925</v>
      </c>
      <c r="G64" s="68">
        <f t="shared" si="14"/>
        <v>-1.0886211214902408</v>
      </c>
      <c r="H64" s="70">
        <f t="shared" si="15"/>
        <v>-1.2004245203652304</v>
      </c>
      <c r="I64" s="68">
        <f t="shared" si="5"/>
        <v>0.8618395006745605</v>
      </c>
      <c r="J64" s="68">
        <f t="shared" si="6"/>
        <v>0.88501274471692593</v>
      </c>
      <c r="K64" s="70">
        <f t="shared" si="16"/>
        <v>120.51238242249167</v>
      </c>
      <c r="L64" s="68">
        <f t="shared" si="17"/>
        <v>120.51238242249167</v>
      </c>
      <c r="X64" s="21"/>
      <c r="Z64" s="21"/>
      <c r="AA64" s="64">
        <v>47</v>
      </c>
      <c r="AB64" s="94">
        <f t="shared" si="7"/>
        <v>930</v>
      </c>
      <c r="AD64" s="68">
        <f t="shared" si="0"/>
        <v>-1.0404039054742584</v>
      </c>
      <c r="AE64" s="68">
        <f t="shared" si="8"/>
        <v>-1.152207304349248</v>
      </c>
      <c r="AF64" s="68">
        <f t="shared" si="9"/>
        <v>0.85092385599473608</v>
      </c>
      <c r="AG64" s="68">
        <f t="shared" si="10"/>
        <v>0.87538205157124072</v>
      </c>
    </row>
    <row r="65" spans="2:33" x14ac:dyDescent="0.3">
      <c r="B65" s="22"/>
      <c r="D65" s="64">
        <v>47</v>
      </c>
      <c r="E65" s="94">
        <f t="shared" si="13"/>
        <v>930</v>
      </c>
      <c r="G65" s="68">
        <f t="shared" si="14"/>
        <v>-1.0404039054742584</v>
      </c>
      <c r="H65" s="70">
        <f t="shared" si="15"/>
        <v>-1.152207304349248</v>
      </c>
      <c r="I65" s="68">
        <f t="shared" si="5"/>
        <v>0.85092385599473608</v>
      </c>
      <c r="J65" s="68">
        <f t="shared" si="6"/>
        <v>0.87538205157124072</v>
      </c>
      <c r="K65" s="70">
        <f t="shared" si="16"/>
        <v>116.63776246712962</v>
      </c>
      <c r="L65" s="68">
        <f t="shared" si="17"/>
        <v>116.63776246712962</v>
      </c>
      <c r="X65" s="21"/>
      <c r="Z65" s="21"/>
      <c r="AA65" s="64">
        <v>48</v>
      </c>
      <c r="AB65" s="94">
        <f t="shared" si="7"/>
        <v>935</v>
      </c>
      <c r="AD65" s="68">
        <f t="shared" si="0"/>
        <v>-0.99244522805175239</v>
      </c>
      <c r="AE65" s="68">
        <f t="shared" si="8"/>
        <v>-1.104248626926742</v>
      </c>
      <c r="AF65" s="68">
        <f t="shared" si="9"/>
        <v>0.83950980730379343</v>
      </c>
      <c r="AG65" s="68">
        <f t="shared" si="10"/>
        <v>0.86525734944255284</v>
      </c>
    </row>
    <row r="66" spans="2:33" x14ac:dyDescent="0.3">
      <c r="B66" s="22"/>
      <c r="D66" s="64">
        <v>48</v>
      </c>
      <c r="E66" s="94">
        <f t="shared" si="13"/>
        <v>935</v>
      </c>
      <c r="G66" s="68">
        <f t="shared" si="14"/>
        <v>-0.99244522805175239</v>
      </c>
      <c r="H66" s="70">
        <f t="shared" si="15"/>
        <v>-1.104248626926742</v>
      </c>
      <c r="I66" s="68">
        <f t="shared" si="5"/>
        <v>0.83950980730379343</v>
      </c>
      <c r="J66" s="68">
        <f t="shared" si="6"/>
        <v>0.86525734944255284</v>
      </c>
      <c r="K66" s="70">
        <f t="shared" si="16"/>
        <v>112.81365671830338</v>
      </c>
      <c r="L66" s="68">
        <f t="shared" si="17"/>
        <v>112.81365671830338</v>
      </c>
      <c r="X66" s="21"/>
      <c r="Z66" s="21"/>
      <c r="AA66" s="64">
        <v>49</v>
      </c>
      <c r="AB66" s="94">
        <f t="shared" si="7"/>
        <v>940</v>
      </c>
      <c r="AD66" s="68">
        <f t="shared" si="0"/>
        <v>-0.94474233145801101</v>
      </c>
      <c r="AE66" s="68">
        <f t="shared" si="8"/>
        <v>-1.0565457303330006</v>
      </c>
      <c r="AF66" s="68">
        <f t="shared" si="9"/>
        <v>0.82760478008580796</v>
      </c>
      <c r="AG66" s="68">
        <f t="shared" si="10"/>
        <v>0.85464052018776437</v>
      </c>
    </row>
    <row r="67" spans="2:33" x14ac:dyDescent="0.3">
      <c r="B67" s="22"/>
      <c r="D67" s="64">
        <v>49</v>
      </c>
      <c r="E67" s="94">
        <f t="shared" si="13"/>
        <v>940</v>
      </c>
      <c r="G67" s="68">
        <f t="shared" si="14"/>
        <v>-0.94474233145801101</v>
      </c>
      <c r="H67" s="70">
        <f t="shared" si="15"/>
        <v>-1.0565457303330006</v>
      </c>
      <c r="I67" s="68">
        <f t="shared" si="5"/>
        <v>0.82760478008580796</v>
      </c>
      <c r="J67" s="68">
        <f t="shared" si="6"/>
        <v>0.85464052018776437</v>
      </c>
      <c r="K67" s="70">
        <f t="shared" si="16"/>
        <v>109.04230414816095</v>
      </c>
      <c r="L67" s="68">
        <f t="shared" si="17"/>
        <v>109.04230414816095</v>
      </c>
      <c r="X67" s="21"/>
      <c r="Z67" s="21"/>
      <c r="AA67" s="64">
        <v>50</v>
      </c>
      <c r="AB67" s="94">
        <f t="shared" si="7"/>
        <v>945</v>
      </c>
      <c r="AD67" s="68">
        <f t="shared" si="0"/>
        <v>-0.89729250181888787</v>
      </c>
      <c r="AE67" s="68">
        <f t="shared" si="8"/>
        <v>-1.0090959006938773</v>
      </c>
      <c r="AF67" s="68">
        <f t="shared" si="9"/>
        <v>0.81521857174390677</v>
      </c>
      <c r="AG67" s="68">
        <f t="shared" si="10"/>
        <v>0.84353567811388763</v>
      </c>
    </row>
    <row r="68" spans="2:33" x14ac:dyDescent="0.3">
      <c r="B68" s="22"/>
      <c r="D68" s="64">
        <v>50</v>
      </c>
      <c r="E68" s="94">
        <f t="shared" si="13"/>
        <v>945</v>
      </c>
      <c r="G68" s="68">
        <f t="shared" si="14"/>
        <v>-0.89729250181888787</v>
      </c>
      <c r="H68" s="70">
        <f t="shared" si="15"/>
        <v>-1.0090959006938773</v>
      </c>
      <c r="I68" s="68">
        <f t="shared" si="5"/>
        <v>0.81521857174390677</v>
      </c>
      <c r="J68" s="68">
        <f t="shared" si="6"/>
        <v>0.84353567811388763</v>
      </c>
      <c r="K68" s="70">
        <f t="shared" si="16"/>
        <v>105.32590476391829</v>
      </c>
      <c r="L68" s="68">
        <f t="shared" si="17"/>
        <v>105.32590476391829</v>
      </c>
      <c r="X68" s="21"/>
      <c r="Z68" s="21"/>
      <c r="AA68" s="64">
        <v>51</v>
      </c>
      <c r="AB68" s="94">
        <f t="shared" si="7"/>
        <v>950</v>
      </c>
      <c r="AD68" s="68">
        <f t="shared" si="0"/>
        <v>-0.85009306822434927</v>
      </c>
      <c r="AE68" s="68">
        <f t="shared" si="8"/>
        <v>-0.96189646709933874</v>
      </c>
      <c r="AF68" s="68">
        <f t="shared" si="9"/>
        <v>0.80236332741372185</v>
      </c>
      <c r="AG68" s="68">
        <f t="shared" si="10"/>
        <v>0.83194919329540928</v>
      </c>
    </row>
    <row r="69" spans="2:33" x14ac:dyDescent="0.3">
      <c r="B69" s="22"/>
      <c r="D69" s="64">
        <v>51</v>
      </c>
      <c r="E69" s="94">
        <f t="shared" si="13"/>
        <v>950</v>
      </c>
      <c r="G69" s="68">
        <f t="shared" si="14"/>
        <v>-0.85009306822434927</v>
      </c>
      <c r="H69" s="70">
        <f t="shared" si="15"/>
        <v>-0.96189646709933874</v>
      </c>
      <c r="I69" s="68">
        <f t="shared" si="5"/>
        <v>0.80236332741372185</v>
      </c>
      <c r="J69" s="68">
        <f t="shared" si="6"/>
        <v>0.83194919329540928</v>
      </c>
      <c r="K69" s="70">
        <f t="shared" si="16"/>
        <v>101.66660892364087</v>
      </c>
      <c r="L69" s="68">
        <f t="shared" si="17"/>
        <v>101.66660892364087</v>
      </c>
      <c r="X69" s="21"/>
      <c r="Z69" s="21"/>
      <c r="AA69" s="64">
        <v>52</v>
      </c>
      <c r="AB69" s="94">
        <f t="shared" si="7"/>
        <v>955</v>
      </c>
      <c r="AD69" s="68">
        <f t="shared" si="0"/>
        <v>-0.80314140182632521</v>
      </c>
      <c r="AE69" s="68">
        <f t="shared" si="8"/>
        <v>-0.91494480070131468</v>
      </c>
      <c r="AF69" s="68">
        <f t="shared" si="9"/>
        <v>0.78905349493542365</v>
      </c>
      <c r="AG69" s="68">
        <f t="shared" si="10"/>
        <v>0.81988969543334811</v>
      </c>
    </row>
    <row r="70" spans="2:33" x14ac:dyDescent="0.3">
      <c r="B70" s="22"/>
      <c r="D70" s="64">
        <v>52</v>
      </c>
      <c r="E70" s="94">
        <f t="shared" si="13"/>
        <v>955</v>
      </c>
      <c r="G70" s="68">
        <f t="shared" si="14"/>
        <v>-0.80314140182632521</v>
      </c>
      <c r="H70" s="70">
        <f t="shared" si="15"/>
        <v>-0.91494480070131468</v>
      </c>
      <c r="I70" s="68">
        <f t="shared" si="5"/>
        <v>0.78905349493542365</v>
      </c>
      <c r="J70" s="68">
        <f t="shared" si="6"/>
        <v>0.81988969543334811</v>
      </c>
      <c r="K70" s="70">
        <f t="shared" si="16"/>
        <v>98.066506808743497</v>
      </c>
      <c r="L70" s="68">
        <f t="shared" si="17"/>
        <v>98.066506808743497</v>
      </c>
      <c r="X70" s="21"/>
      <c r="Z70" s="21"/>
      <c r="AA70" s="64">
        <v>53</v>
      </c>
      <c r="AB70" s="94">
        <f t="shared" si="7"/>
        <v>960</v>
      </c>
      <c r="AD70" s="68">
        <f t="shared" si="0"/>
        <v>-0.75643491496012105</v>
      </c>
      <c r="AE70" s="68">
        <f t="shared" si="8"/>
        <v>-0.86823831383511052</v>
      </c>
      <c r="AF70" s="68">
        <f t="shared" si="9"/>
        <v>0.77530575950203384</v>
      </c>
      <c r="AG70" s="68">
        <f t="shared" si="10"/>
        <v>0.8073680581328837</v>
      </c>
    </row>
    <row r="71" spans="2:33" x14ac:dyDescent="0.3">
      <c r="B71" s="22"/>
      <c r="D71" s="64">
        <v>53</v>
      </c>
      <c r="E71" s="94">
        <f t="shared" si="13"/>
        <v>960</v>
      </c>
      <c r="G71" s="68">
        <f t="shared" si="14"/>
        <v>-0.75643491496012105</v>
      </c>
      <c r="H71" s="70">
        <f t="shared" si="15"/>
        <v>-0.86823831383511052</v>
      </c>
      <c r="I71" s="68">
        <f t="shared" si="5"/>
        <v>0.77530575950203384</v>
      </c>
      <c r="J71" s="68">
        <f t="shared" si="6"/>
        <v>0.8073680581328837</v>
      </c>
      <c r="K71" s="70">
        <f t="shared" si="16"/>
        <v>94.527618146422242</v>
      </c>
      <c r="L71" s="68">
        <f t="shared" si="17"/>
        <v>94.527618146422242</v>
      </c>
      <c r="X71" s="21"/>
      <c r="Z71" s="21"/>
      <c r="AA71" s="64">
        <v>54</v>
      </c>
      <c r="AB71" s="94">
        <f t="shared" si="7"/>
        <v>965</v>
      </c>
      <c r="AD71" s="68">
        <f t="shared" si="0"/>
        <v>-0.70997106028865009</v>
      </c>
      <c r="AE71" s="68">
        <f t="shared" si="8"/>
        <v>-0.82177445916363956</v>
      </c>
      <c r="AF71" s="68">
        <f t="shared" si="9"/>
        <v>0.76113895876268423</v>
      </c>
      <c r="AG71" s="68">
        <f t="shared" si="10"/>
        <v>0.79439736373259384</v>
      </c>
    </row>
    <row r="72" spans="2:33" x14ac:dyDescent="0.3">
      <c r="B72" s="22"/>
      <c r="D72" s="64">
        <v>54</v>
      </c>
      <c r="E72" s="94">
        <f t="shared" si="13"/>
        <v>965</v>
      </c>
      <c r="G72" s="68">
        <f t="shared" si="14"/>
        <v>-0.70997106028865009</v>
      </c>
      <c r="H72" s="70">
        <f t="shared" si="15"/>
        <v>-0.82177445916363956</v>
      </c>
      <c r="I72" s="68">
        <f t="shared" si="5"/>
        <v>0.76113895876268423</v>
      </c>
      <c r="J72" s="68">
        <f t="shared" si="6"/>
        <v>0.79439736373259384</v>
      </c>
      <c r="K72" s="70">
        <f t="shared" si="16"/>
        <v>91.051882272303033</v>
      </c>
      <c r="L72" s="68">
        <f t="shared" si="17"/>
        <v>91.051882272303033</v>
      </c>
      <c r="X72" s="21"/>
      <c r="Z72" s="21"/>
      <c r="AA72" s="64">
        <v>55</v>
      </c>
      <c r="AB72" s="94">
        <f t="shared" si="7"/>
        <v>970</v>
      </c>
      <c r="AD72" s="68">
        <f t="shared" si="0"/>
        <v>-0.66374732996877817</v>
      </c>
      <c r="AE72" s="68">
        <f t="shared" si="8"/>
        <v>-0.77555072884376763</v>
      </c>
      <c r="AF72" s="68">
        <f t="shared" si="9"/>
        <v>0.7465739794036611</v>
      </c>
      <c r="AG72" s="68">
        <f t="shared" si="10"/>
        <v>0.78099284906897681</v>
      </c>
    </row>
    <row r="73" spans="2:33" x14ac:dyDescent="0.3">
      <c r="B73" s="22"/>
      <c r="D73" s="64">
        <v>55</v>
      </c>
      <c r="E73" s="94">
        <f t="shared" si="13"/>
        <v>970</v>
      </c>
      <c r="G73" s="68">
        <f t="shared" si="14"/>
        <v>-0.66374732996877817</v>
      </c>
      <c r="H73" s="70">
        <f t="shared" si="15"/>
        <v>-0.77555072884376763</v>
      </c>
      <c r="I73" s="68">
        <f t="shared" si="5"/>
        <v>0.7465739794036611</v>
      </c>
      <c r="J73" s="68">
        <f t="shared" si="6"/>
        <v>0.78099284906897681</v>
      </c>
      <c r="K73" s="70">
        <f t="shared" si="16"/>
        <v>87.641148619508613</v>
      </c>
      <c r="L73" s="68">
        <f t="shared" si="17"/>
        <v>87.641148619508613</v>
      </c>
      <c r="X73" s="21"/>
      <c r="Z73" s="21"/>
      <c r="AA73" s="64">
        <v>56</v>
      </c>
      <c r="AB73" s="94">
        <f t="shared" si="7"/>
        <v>975</v>
      </c>
      <c r="AD73" s="68">
        <f t="shared" si="0"/>
        <v>-0.61776125483909983</v>
      </c>
      <c r="AE73" s="68">
        <f t="shared" si="8"/>
        <v>-0.7295646537140893</v>
      </c>
      <c r="AF73" s="68">
        <f t="shared" si="9"/>
        <v>0.73163363645366797</v>
      </c>
      <c r="AG73" s="68">
        <f t="shared" si="10"/>
        <v>0.76717183280080981</v>
      </c>
    </row>
    <row r="74" spans="2:33" x14ac:dyDescent="0.3">
      <c r="B74" s="22"/>
      <c r="D74" s="64">
        <v>56</v>
      </c>
      <c r="E74" s="94">
        <f t="shared" si="13"/>
        <v>975</v>
      </c>
      <c r="G74" s="68">
        <f t="shared" si="14"/>
        <v>-0.61776125483909983</v>
      </c>
      <c r="H74" s="70">
        <f t="shared" si="15"/>
        <v>-0.7295646537140893</v>
      </c>
      <c r="I74" s="68">
        <f t="shared" si="5"/>
        <v>0.73163363645366797</v>
      </c>
      <c r="J74" s="68">
        <f t="shared" si="6"/>
        <v>0.76717183280080981</v>
      </c>
      <c r="K74" s="70">
        <f t="shared" si="16"/>
        <v>84.29716771520043</v>
      </c>
      <c r="L74" s="68">
        <f t="shared" si="17"/>
        <v>84.29716771520043</v>
      </c>
      <c r="X74" s="21"/>
      <c r="Z74" s="21"/>
      <c r="AA74" s="64">
        <v>57</v>
      </c>
      <c r="AB74" s="94">
        <f t="shared" si="7"/>
        <v>980</v>
      </c>
      <c r="AD74" s="68">
        <f t="shared" si="0"/>
        <v>-0.57201040362848699</v>
      </c>
      <c r="AE74" s="68">
        <f t="shared" si="8"/>
        <v>-0.68381380250347645</v>
      </c>
      <c r="AF74" s="68">
        <f t="shared" si="9"/>
        <v>0.71634253675951753</v>
      </c>
      <c r="AG74" s="68">
        <f t="shared" si="10"/>
        <v>0.75295362514515074</v>
      </c>
    </row>
    <row r="75" spans="2:33" x14ac:dyDescent="0.3">
      <c r="B75" s="22"/>
      <c r="D75" s="64">
        <v>57</v>
      </c>
      <c r="E75" s="94">
        <f t="shared" si="13"/>
        <v>980</v>
      </c>
      <c r="G75" s="68">
        <f t="shared" si="14"/>
        <v>-0.57201040362848699</v>
      </c>
      <c r="H75" s="70">
        <f t="shared" si="15"/>
        <v>-0.68381380250347645</v>
      </c>
      <c r="I75" s="68">
        <f t="shared" si="5"/>
        <v>0.71634253675951753</v>
      </c>
      <c r="J75" s="68">
        <f t="shared" si="6"/>
        <v>0.75295362514515074</v>
      </c>
      <c r="K75" s="70">
        <f t="shared" si="16"/>
        <v>81.021582759552984</v>
      </c>
      <c r="L75" s="68">
        <f t="shared" si="17"/>
        <v>81.021582759552984</v>
      </c>
      <c r="X75" s="21"/>
      <c r="Z75" s="21"/>
      <c r="AA75" s="64">
        <v>58</v>
      </c>
      <c r="AB75" s="94">
        <f t="shared" si="7"/>
        <v>985</v>
      </c>
      <c r="AD75" s="68">
        <f t="shared" si="0"/>
        <v>-0.52649238218477834</v>
      </c>
      <c r="AE75" s="68">
        <f t="shared" si="8"/>
        <v>-0.63829578105976781</v>
      </c>
      <c r="AF75" s="68">
        <f t="shared" si="9"/>
        <v>0.70072692825178617</v>
      </c>
      <c r="AG75" s="68">
        <f t="shared" si="10"/>
        <v>0.73835942108690533</v>
      </c>
    </row>
    <row r="76" spans="2:33" x14ac:dyDescent="0.3">
      <c r="B76" s="22"/>
      <c r="D76" s="64">
        <v>58</v>
      </c>
      <c r="E76" s="94">
        <f t="shared" si="13"/>
        <v>985</v>
      </c>
      <c r="G76" s="68">
        <f t="shared" si="14"/>
        <v>-0.52649238218477834</v>
      </c>
      <c r="H76" s="70">
        <f t="shared" si="15"/>
        <v>-0.63829578105976781</v>
      </c>
      <c r="I76" s="68">
        <f t="shared" si="5"/>
        <v>0.70072692825178617</v>
      </c>
      <c r="J76" s="68">
        <f t="shared" si="6"/>
        <v>0.73835942108690533</v>
      </c>
      <c r="K76" s="70">
        <f t="shared" si="16"/>
        <v>77.815921855176271</v>
      </c>
      <c r="L76" s="68">
        <f t="shared" si="17"/>
        <v>77.815921855176271</v>
      </c>
      <c r="X76" s="21"/>
      <c r="Z76" s="21"/>
      <c r="AA76" s="64">
        <v>59</v>
      </c>
      <c r="AB76" s="94">
        <f t="shared" si="7"/>
        <v>990</v>
      </c>
      <c r="AD76" s="68">
        <f t="shared" si="0"/>
        <v>-0.48120483272299364</v>
      </c>
      <c r="AE76" s="68">
        <f t="shared" si="8"/>
        <v>-0.5930082315979831</v>
      </c>
      <c r="AF76" s="68">
        <f t="shared" si="9"/>
        <v>0.68481453676478155</v>
      </c>
      <c r="AG76" s="68">
        <f t="shared" si="10"/>
        <v>0.72341217831382454</v>
      </c>
    </row>
    <row r="77" spans="2:33" x14ac:dyDescent="0.3">
      <c r="B77" s="22"/>
      <c r="D77" s="64">
        <v>59</v>
      </c>
      <c r="E77" s="94">
        <f t="shared" si="13"/>
        <v>990</v>
      </c>
      <c r="G77" s="68">
        <f t="shared" si="14"/>
        <v>-0.48120483272299364</v>
      </c>
      <c r="H77" s="70">
        <f t="shared" si="15"/>
        <v>-0.5930082315979831</v>
      </c>
      <c r="I77" s="68">
        <f t="shared" si="5"/>
        <v>0.68481453676478155</v>
      </c>
      <c r="J77" s="68">
        <f t="shared" si="6"/>
        <v>0.72341217831382454</v>
      </c>
      <c r="K77" s="70">
        <f t="shared" si="16"/>
        <v>74.681590947328004</v>
      </c>
      <c r="L77" s="68">
        <f t="shared" si="17"/>
        <v>74.681590947328004</v>
      </c>
      <c r="X77" s="21"/>
      <c r="Z77" s="21"/>
      <c r="AA77" s="64">
        <v>60</v>
      </c>
      <c r="AB77" s="94">
        <f t="shared" si="7"/>
        <v>995</v>
      </c>
      <c r="AD77" s="68">
        <f t="shared" si="0"/>
        <v>-0.43614543309248627</v>
      </c>
      <c r="AE77" s="68">
        <f t="shared" si="8"/>
        <v>-0.54794883196747579</v>
      </c>
      <c r="AF77" s="68">
        <f t="shared" si="9"/>
        <v>0.66863439229008459</v>
      </c>
      <c r="AG77" s="68">
        <f t="shared" si="10"/>
        <v>0.7081364812960137</v>
      </c>
    </row>
    <row r="78" spans="2:33" x14ac:dyDescent="0.3">
      <c r="B78" s="22"/>
      <c r="D78" s="64">
        <v>60</v>
      </c>
      <c r="E78" s="94">
        <f t="shared" si="13"/>
        <v>995</v>
      </c>
      <c r="G78" s="68">
        <f t="shared" si="14"/>
        <v>-0.43614543309248627</v>
      </c>
      <c r="H78" s="70">
        <f t="shared" si="15"/>
        <v>-0.54794883196747579</v>
      </c>
      <c r="I78" s="68">
        <f t="shared" si="5"/>
        <v>0.66863439229008459</v>
      </c>
      <c r="J78" s="68">
        <f t="shared" si="6"/>
        <v>0.7081364812960137</v>
      </c>
      <c r="K78" s="70">
        <f t="shared" si="16"/>
        <v>71.619867527013753</v>
      </c>
      <c r="L78" s="68">
        <f t="shared" si="17"/>
        <v>71.619867527013753</v>
      </c>
      <c r="X78" s="21"/>
      <c r="Z78" s="21"/>
      <c r="AA78" s="64">
        <v>61</v>
      </c>
      <c r="AB78" s="94">
        <f t="shared" si="7"/>
        <v>1000</v>
      </c>
      <c r="AD78" s="68">
        <f t="shared" si="0"/>
        <v>-0.39131189606246319</v>
      </c>
      <c r="AE78" s="68">
        <f t="shared" si="8"/>
        <v>-0.50311529493745266</v>
      </c>
      <c r="AF78" s="68">
        <f t="shared" si="9"/>
        <v>0.65221664662713086</v>
      </c>
      <c r="AG78" s="68">
        <f t="shared" si="10"/>
        <v>0.69255839307148281</v>
      </c>
    </row>
    <row r="79" spans="2:33" x14ac:dyDescent="0.3">
      <c r="B79" s="22"/>
      <c r="D79" s="64">
        <v>61</v>
      </c>
      <c r="E79" s="94">
        <f t="shared" si="13"/>
        <v>1000</v>
      </c>
      <c r="G79" s="68">
        <f t="shared" si="14"/>
        <v>-0.39131189606246319</v>
      </c>
      <c r="H79" s="70">
        <f t="shared" si="15"/>
        <v>-0.50311529493745266</v>
      </c>
      <c r="I79" s="68">
        <f t="shared" si="5"/>
        <v>0.65221664662713086</v>
      </c>
      <c r="J79" s="68">
        <f t="shared" si="6"/>
        <v>0.69255839307148281</v>
      </c>
      <c r="K79" s="70">
        <f t="shared" si="16"/>
        <v>68.631895140360939</v>
      </c>
      <c r="L79" s="68">
        <f t="shared" si="17"/>
        <v>68.631895140360939</v>
      </c>
      <c r="X79" s="21"/>
      <c r="Z79" s="21"/>
      <c r="AA79" s="64">
        <v>62</v>
      </c>
      <c r="AB79" s="94">
        <f t="shared" si="7"/>
        <v>1005</v>
      </c>
      <c r="AD79" s="68">
        <f t="shared" si="0"/>
        <v>-0.3467019686253226</v>
      </c>
      <c r="AE79" s="68">
        <f t="shared" si="8"/>
        <v>-0.45850536750031212</v>
      </c>
      <c r="AF79" s="68">
        <f t="shared" si="9"/>
        <v>0.63559238444761967</v>
      </c>
      <c r="AG79" s="68">
        <f t="shared" si="10"/>
        <v>0.67670529641547672</v>
      </c>
    </row>
    <row r="80" spans="2:33" x14ac:dyDescent="0.3">
      <c r="B80" s="22"/>
      <c r="D80" s="64">
        <v>62</v>
      </c>
      <c r="E80" s="94">
        <f t="shared" si="13"/>
        <v>1005</v>
      </c>
      <c r="G80" s="68">
        <f t="shared" si="14"/>
        <v>-0.3467019686253226</v>
      </c>
      <c r="H80" s="70">
        <f t="shared" si="15"/>
        <v>-0.45850536750031212</v>
      </c>
      <c r="I80" s="68">
        <f t="shared" si="5"/>
        <v>0.63559238444761967</v>
      </c>
      <c r="J80" s="68">
        <f t="shared" si="6"/>
        <v>0.67670529641547672</v>
      </c>
      <c r="K80" s="70">
        <f>-EXP(-$G$12*$G$13)*$AB79*AF79+$G$14*EXP(-$G$10*$G$13)*AG79</f>
        <v>65.718678738641302</v>
      </c>
      <c r="L80" s="68">
        <f t="shared" si="17"/>
        <v>65.718678738641302</v>
      </c>
      <c r="X80" s="21"/>
      <c r="Z80" s="21"/>
      <c r="AA80" s="64">
        <v>63</v>
      </c>
      <c r="AB80" s="94">
        <f t="shared" si="7"/>
        <v>1010</v>
      </c>
      <c r="AD80" s="68">
        <f t="shared" si="0"/>
        <v>-0.3023134313172739</v>
      </c>
      <c r="AE80" s="68">
        <f t="shared" si="8"/>
        <v>-0.41411683019226342</v>
      </c>
      <c r="AF80" s="68">
        <f t="shared" si="9"/>
        <v>0.61879342981337093</v>
      </c>
      <c r="AG80" s="68">
        <f t="shared" si="10"/>
        <v>0.66060572616033597</v>
      </c>
    </row>
    <row r="81" spans="2:33" x14ac:dyDescent="0.3">
      <c r="B81" s="22"/>
      <c r="D81" s="64">
        <v>63</v>
      </c>
      <c r="E81" s="94">
        <f t="shared" si="13"/>
        <v>1010</v>
      </c>
      <c r="G81" s="68">
        <f t="shared" si="14"/>
        <v>-0.3023134313172739</v>
      </c>
      <c r="H81" s="70">
        <f t="shared" si="15"/>
        <v>-0.41411683019226342</v>
      </c>
      <c r="I81" s="68">
        <f t="shared" si="5"/>
        <v>0.61879342981337093</v>
      </c>
      <c r="J81" s="68">
        <f t="shared" si="6"/>
        <v>0.66060572616033597</v>
      </c>
      <c r="K81" s="70">
        <f>-EXP(-$G$12*$G$13)*$AB80*AF80+$G$14*EXP(-$G$10*$G$13)*AG80</f>
        <v>62.881080894126967</v>
      </c>
      <c r="L81" s="68">
        <f>-EXP(-$H$12*$H$13)*$E81*I81+$H$14*EXP(-$H$10*$H$13)*J81</f>
        <v>62.881080894126967</v>
      </c>
      <c r="X81" s="21"/>
      <c r="Z81" s="21"/>
      <c r="AA81" s="64">
        <v>64</v>
      </c>
      <c r="AB81" s="94">
        <f t="shared" si="7"/>
        <v>1015</v>
      </c>
      <c r="AD81" s="68">
        <f t="shared" si="0"/>
        <v>-0.25814409755574758</v>
      </c>
      <c r="AE81" s="68">
        <f t="shared" si="8"/>
        <v>-0.3699474964307371</v>
      </c>
      <c r="AF81" s="68">
        <f t="shared" si="9"/>
        <v>0.60185215018054206</v>
      </c>
      <c r="AG81" s="68">
        <f t="shared" si="10"/>
        <v>0.64428919449407529</v>
      </c>
    </row>
    <row r="82" spans="2:33" x14ac:dyDescent="0.3">
      <c r="B82" s="22"/>
      <c r="D82" s="64">
        <v>64</v>
      </c>
      <c r="E82" s="94">
        <f t="shared" si="13"/>
        <v>1015</v>
      </c>
      <c r="G82" s="68">
        <f t="shared" si="14"/>
        <v>-0.25814409755574758</v>
      </c>
      <c r="H82" s="70">
        <f t="shared" si="15"/>
        <v>-0.3699474964307371</v>
      </c>
      <c r="I82" s="68">
        <f t="shared" si="5"/>
        <v>0.60185215018054206</v>
      </c>
      <c r="J82" s="68">
        <f t="shared" si="6"/>
        <v>0.64428919449407529</v>
      </c>
      <c r="K82" s="70">
        <f>-EXP(-$G$12*$G$13)*$AB81*AF81+$G$14*EXP(-$G$10*$G$13)*AG81</f>
        <v>60.119818897744267</v>
      </c>
      <c r="L82" s="68">
        <f t="shared" si="17"/>
        <v>60.119818897744267</v>
      </c>
      <c r="X82" s="21"/>
      <c r="Z82" s="21"/>
      <c r="AA82" s="64">
        <v>65</v>
      </c>
      <c r="AB82" s="94">
        <f t="shared" si="7"/>
        <v>1020</v>
      </c>
      <c r="AD82" s="68">
        <f t="shared" ref="AD82:AD138" si="18">(LN($AB82/$G$14)+($G$10-$G$12+$G$11^2/2)*$G$13)/($G$11*SQRT($G$13))</f>
        <v>-0.21419181299306025</v>
      </c>
      <c r="AE82" s="68">
        <f t="shared" si="8"/>
        <v>-0.32599521186804975</v>
      </c>
      <c r="AF82" s="68">
        <f t="shared" si="9"/>
        <v>0.58480125988824794</v>
      </c>
      <c r="AG82" s="68">
        <f t="shared" si="10"/>
        <v>0.62778601109978549</v>
      </c>
    </row>
    <row r="83" spans="2:33" x14ac:dyDescent="0.3">
      <c r="B83" s="22"/>
      <c r="D83" s="64">
        <v>65</v>
      </c>
      <c r="E83" s="94">
        <f t="shared" si="13"/>
        <v>1020</v>
      </c>
      <c r="G83" s="68">
        <f t="shared" ref="G83:G114" si="19">(LN($E83/$H$14)+($H$10-$H$12+$H$11^2/2)*$H$13)/($H$11*SQRT($H$13))</f>
        <v>-0.21419181299306025</v>
      </c>
      <c r="H83" s="70">
        <f t="shared" ref="H83:H114" si="20">G83-$H$11*SQRT($H$13)</f>
        <v>-0.32599521186804975</v>
      </c>
      <c r="I83" s="68">
        <f t="shared" ref="I83:I139" si="21">_xlfn.NORM.S.DIST(-G83,TRUE)</f>
        <v>0.58480125988824794</v>
      </c>
      <c r="J83" s="68">
        <f t="shared" ref="J83:J139" si="22">_xlfn.NORM.S.DIST(-H83,TRUE)</f>
        <v>0.62778601109978549</v>
      </c>
      <c r="K83" s="70">
        <f>-EXP(-$G$12*$G$13)*$AB82*AF82+$G$14*EXP(-$G$10*$G$13)*AG82</f>
        <v>57.435462745360269</v>
      </c>
      <c r="L83" s="68">
        <f t="shared" ref="L83:L114" si="23">-EXP(-$H$12*$H$13)*$E83*I83+$H$14*EXP(-$H$10*$H$13)*J83</f>
        <v>57.435462745360269</v>
      </c>
      <c r="X83" s="21"/>
      <c r="Z83" s="21"/>
      <c r="AA83" s="64">
        <v>66</v>
      </c>
      <c r="AB83" s="94">
        <f t="shared" ref="AB83:AB138" si="24">E84</f>
        <v>1025</v>
      </c>
      <c r="AD83" s="68">
        <f t="shared" si="18"/>
        <v>-0.17045445488591263</v>
      </c>
      <c r="AE83" s="68">
        <f t="shared" ref="AE83:AE138" si="25">AD83-$G$11*SQRT($G$13)</f>
        <v>-0.28225785376090212</v>
      </c>
      <c r="AF83" s="68">
        <f t="shared" ref="AF83:AF138" si="26">_xlfn.NORM.S.DIST(-AD83,TRUE)</f>
        <v>0.5676736250685438</v>
      </c>
      <c r="AG83" s="68">
        <f t="shared" ref="AG83:AG138" si="27">_xlfn.NORM.S.DIST(-AE83,TRUE)</f>
        <v>0.61112710000506576</v>
      </c>
    </row>
    <row r="84" spans="2:33" x14ac:dyDescent="0.3">
      <c r="B84" s="22"/>
      <c r="D84" s="64">
        <v>66</v>
      </c>
      <c r="E84" s="94">
        <f t="shared" si="13"/>
        <v>1025</v>
      </c>
      <c r="G84" s="68">
        <f t="shared" si="19"/>
        <v>-0.17045445488591263</v>
      </c>
      <c r="H84" s="70">
        <f t="shared" si="20"/>
        <v>-0.28225785376090212</v>
      </c>
      <c r="I84" s="68">
        <f t="shared" si="21"/>
        <v>0.5676736250685438</v>
      </c>
      <c r="J84" s="68">
        <f t="shared" si="22"/>
        <v>0.61112710000506576</v>
      </c>
      <c r="K84" s="70">
        <f t="shared" ref="K84:K114" si="28">-EXP(-$G$12*$G$13)*$AB83*AF83+$G$14*EXP(-$G$10*$G$13)*AG83</f>
        <v>54.828434010621095</v>
      </c>
      <c r="L84" s="68">
        <f t="shared" si="23"/>
        <v>54.828434010621095</v>
      </c>
      <c r="X84" s="21"/>
      <c r="Z84" s="21"/>
      <c r="AA84" s="64">
        <v>67</v>
      </c>
      <c r="AB84" s="94">
        <f t="shared" si="24"/>
        <v>1030</v>
      </c>
      <c r="AD84" s="68">
        <f t="shared" si="18"/>
        <v>-0.12692993148019721</v>
      </c>
      <c r="AE84" s="68">
        <f t="shared" si="25"/>
        <v>-0.23873333035518671</v>
      </c>
      <c r="AF84" s="68">
        <f t="shared" si="26"/>
        <v>0.55050207182951449</v>
      </c>
      <c r="AG84" s="68">
        <f t="shared" si="27"/>
        <v>0.5943438149918816</v>
      </c>
    </row>
    <row r="85" spans="2:33" x14ac:dyDescent="0.3">
      <c r="B85" s="22"/>
      <c r="D85" s="64">
        <v>67</v>
      </c>
      <c r="E85" s="94">
        <f t="shared" ref="E85:E139" si="29">E84+5</f>
        <v>1030</v>
      </c>
      <c r="G85" s="68">
        <f t="shared" si="19"/>
        <v>-0.12692993148019721</v>
      </c>
      <c r="H85" s="70">
        <f t="shared" si="20"/>
        <v>-0.23873333035518671</v>
      </c>
      <c r="I85" s="68">
        <f t="shared" si="21"/>
        <v>0.55050207182951449</v>
      </c>
      <c r="J85" s="68">
        <f t="shared" si="22"/>
        <v>0.5943438149918816</v>
      </c>
      <c r="K85" s="70">
        <f t="shared" si="28"/>
        <v>52.299005593692186</v>
      </c>
      <c r="L85" s="68">
        <f t="shared" si="23"/>
        <v>52.299005593692186</v>
      </c>
      <c r="X85" s="21"/>
      <c r="Z85" s="21"/>
      <c r="AA85" s="64">
        <v>68</v>
      </c>
      <c r="AB85" s="94">
        <f t="shared" si="24"/>
        <v>1035</v>
      </c>
      <c r="AD85" s="68">
        <f t="shared" si="18"/>
        <v>-8.3616181410733209E-2</v>
      </c>
      <c r="AE85" s="68">
        <f t="shared" si="25"/>
        <v>-0.1954195802857227</v>
      </c>
      <c r="AF85" s="68">
        <f t="shared" si="26"/>
        <v>0.53331919945656825</v>
      </c>
      <c r="AG85" s="68">
        <f t="shared" si="27"/>
        <v>0.57746775537414607</v>
      </c>
    </row>
    <row r="86" spans="2:33" x14ac:dyDescent="0.3">
      <c r="B86" s="22"/>
      <c r="D86" s="64">
        <v>68</v>
      </c>
      <c r="E86" s="94">
        <f t="shared" si="29"/>
        <v>1035</v>
      </c>
      <c r="G86" s="68">
        <f t="shared" si="19"/>
        <v>-8.3616181410733209E-2</v>
      </c>
      <c r="H86" s="70">
        <f t="shared" si="20"/>
        <v>-0.1954195802857227</v>
      </c>
      <c r="I86" s="68">
        <f t="shared" si="21"/>
        <v>0.53331919945656825</v>
      </c>
      <c r="J86" s="68">
        <f t="shared" si="22"/>
        <v>0.57746775537414607</v>
      </c>
      <c r="K86" s="70">
        <f t="shared" si="28"/>
        <v>49.847302327096884</v>
      </c>
      <c r="L86" s="68">
        <f t="shared" si="23"/>
        <v>49.847302327096884</v>
      </c>
      <c r="X86" s="21"/>
      <c r="Z86" s="21"/>
      <c r="AA86" s="64">
        <v>69</v>
      </c>
      <c r="AB86" s="94">
        <f t="shared" si="24"/>
        <v>1040</v>
      </c>
      <c r="AD86" s="68">
        <f t="shared" si="18"/>
        <v>-4.0511173115434507E-2</v>
      </c>
      <c r="AE86" s="68">
        <f t="shared" si="25"/>
        <v>-0.152314571990424</v>
      </c>
      <c r="AF86" s="68">
        <f t="shared" si="26"/>
        <v>0.51615720025151879</v>
      </c>
      <c r="AG86" s="68">
        <f t="shared" si="27"/>
        <v>0.56053058388454069</v>
      </c>
    </row>
    <row r="87" spans="2:33" x14ac:dyDescent="0.3">
      <c r="B87" s="22"/>
      <c r="D87" s="64">
        <v>69</v>
      </c>
      <c r="E87" s="94">
        <f t="shared" si="29"/>
        <v>1040</v>
      </c>
      <c r="G87" s="68">
        <f t="shared" si="19"/>
        <v>-4.0511173115434507E-2</v>
      </c>
      <c r="H87" s="70">
        <f t="shared" si="20"/>
        <v>-0.152314571990424</v>
      </c>
      <c r="I87" s="68">
        <f t="shared" si="21"/>
        <v>0.51615720025151879</v>
      </c>
      <c r="J87" s="68">
        <f t="shared" si="22"/>
        <v>0.56053058388454069</v>
      </c>
      <c r="K87" s="70">
        <f t="shared" si="28"/>
        <v>47.473302412236706</v>
      </c>
      <c r="L87" s="68">
        <f t="shared" si="23"/>
        <v>47.473302412236706</v>
      </c>
      <c r="X87" s="21"/>
      <c r="Z87" s="21"/>
      <c r="AA87" s="64">
        <v>70</v>
      </c>
      <c r="AB87" s="94">
        <f t="shared" si="24"/>
        <v>1045</v>
      </c>
      <c r="AD87" s="68">
        <f t="shared" si="18"/>
        <v>2.3870957364423907E-3</v>
      </c>
      <c r="AE87" s="68">
        <f t="shared" si="25"/>
        <v>-0.10941630313854711</v>
      </c>
      <c r="AF87" s="68">
        <f t="shared" si="26"/>
        <v>0.49904768748778255</v>
      </c>
      <c r="AG87" s="68">
        <f t="shared" si="27"/>
        <v>0.54356384832593396</v>
      </c>
    </row>
    <row r="88" spans="2:33" x14ac:dyDescent="0.3">
      <c r="B88" s="22"/>
      <c r="D88" s="64">
        <v>70</v>
      </c>
      <c r="E88" s="94">
        <f t="shared" si="29"/>
        <v>1045</v>
      </c>
      <c r="G88" s="68">
        <f t="shared" si="19"/>
        <v>2.3870957364423907E-3</v>
      </c>
      <c r="H88" s="70">
        <f t="shared" si="20"/>
        <v>-0.10941630313854711</v>
      </c>
      <c r="I88" s="68">
        <f t="shared" si="21"/>
        <v>0.49904768748778255</v>
      </c>
      <c r="J88" s="68">
        <f t="shared" si="22"/>
        <v>0.54356384832593396</v>
      </c>
      <c r="K88" s="70">
        <f t="shared" si="28"/>
        <v>45.176839653163142</v>
      </c>
      <c r="L88" s="68">
        <f t="shared" si="23"/>
        <v>45.176839653163142</v>
      </c>
      <c r="X88" s="21"/>
      <c r="Z88" s="21"/>
      <c r="AA88" s="64">
        <v>71</v>
      </c>
      <c r="AB88" s="94">
        <f t="shared" si="24"/>
        <v>1050</v>
      </c>
      <c r="AD88" s="68">
        <f t="shared" si="18"/>
        <v>4.5080598802435271E-2</v>
      </c>
      <c r="AE88" s="68">
        <f t="shared" si="25"/>
        <v>-6.6722800072554225E-2</v>
      </c>
      <c r="AF88" s="68">
        <f t="shared" si="26"/>
        <v>0.48202153280582877</v>
      </c>
      <c r="AG88" s="68">
        <f t="shared" si="27"/>
        <v>0.52659880853832919</v>
      </c>
    </row>
    <row r="89" spans="2:33" x14ac:dyDescent="0.3">
      <c r="B89" s="22"/>
      <c r="D89" s="64">
        <v>71</v>
      </c>
      <c r="E89" s="94">
        <f t="shared" si="29"/>
        <v>1050</v>
      </c>
      <c r="G89" s="68">
        <f t="shared" si="19"/>
        <v>4.5080598802435271E-2</v>
      </c>
      <c r="H89" s="70">
        <f t="shared" si="20"/>
        <v>-6.6722800072554225E-2</v>
      </c>
      <c r="I89" s="68">
        <f t="shared" si="21"/>
        <v>0.48202153280582877</v>
      </c>
      <c r="J89" s="68">
        <f t="shared" si="22"/>
        <v>0.52659880853832919</v>
      </c>
      <c r="K89" s="70">
        <f t="shared" si="28"/>
        <v>42.957606447826834</v>
      </c>
      <c r="L89" s="68">
        <f t="shared" si="23"/>
        <v>42.957606447826834</v>
      </c>
      <c r="X89" s="21"/>
      <c r="Z89" s="21"/>
      <c r="AA89" s="64">
        <v>72</v>
      </c>
      <c r="AB89" s="94">
        <f t="shared" si="24"/>
        <v>1055</v>
      </c>
      <c r="AD89" s="68">
        <f t="shared" si="18"/>
        <v>8.7571281611725296E-2</v>
      </c>
      <c r="AE89" s="68">
        <f t="shared" si="25"/>
        <v>-2.42321172632642E-2</v>
      </c>
      <c r="AF89" s="68">
        <f t="shared" si="26"/>
        <v>0.46510871420916178</v>
      </c>
      <c r="AG89" s="68">
        <f t="shared" si="27"/>
        <v>0.50966627011230825</v>
      </c>
    </row>
    <row r="90" spans="2:33" x14ac:dyDescent="0.3">
      <c r="B90" s="22"/>
      <c r="D90" s="64">
        <v>72</v>
      </c>
      <c r="E90" s="94">
        <f t="shared" si="29"/>
        <v>1055</v>
      </c>
      <c r="G90" s="68">
        <f t="shared" si="19"/>
        <v>8.7571281611725296E-2</v>
      </c>
      <c r="H90" s="70">
        <f t="shared" si="20"/>
        <v>-2.42321172632642E-2</v>
      </c>
      <c r="I90" s="68">
        <f t="shared" si="21"/>
        <v>0.46510871420916178</v>
      </c>
      <c r="J90" s="68">
        <f t="shared" si="22"/>
        <v>0.50966627011230825</v>
      </c>
      <c r="K90" s="70">
        <f t="shared" si="28"/>
        <v>40.815157491406126</v>
      </c>
      <c r="L90" s="68">
        <f t="shared" si="23"/>
        <v>40.815157491406126</v>
      </c>
      <c r="X90" s="21"/>
      <c r="Z90" s="21"/>
      <c r="AA90" s="64">
        <v>73</v>
      </c>
      <c r="AB90" s="94">
        <f t="shared" si="24"/>
        <v>1060</v>
      </c>
      <c r="AD90" s="68">
        <f t="shared" si="18"/>
        <v>0.12986106209713549</v>
      </c>
      <c r="AE90" s="68">
        <f t="shared" si="25"/>
        <v>1.8057663222145998E-2</v>
      </c>
      <c r="AF90" s="68">
        <f t="shared" si="26"/>
        <v>0.44833817565039807</v>
      </c>
      <c r="AG90" s="68">
        <f t="shared" si="27"/>
        <v>0.49279642614683122</v>
      </c>
    </row>
    <row r="91" spans="2:33" x14ac:dyDescent="0.3">
      <c r="B91" s="22"/>
      <c r="D91" s="64">
        <v>73</v>
      </c>
      <c r="E91" s="94">
        <f t="shared" si="29"/>
        <v>1060</v>
      </c>
      <c r="G91" s="68">
        <f t="shared" si="19"/>
        <v>0.12986106209713549</v>
      </c>
      <c r="H91" s="70">
        <f t="shared" si="20"/>
        <v>1.8057663222145998E-2</v>
      </c>
      <c r="I91" s="68">
        <f t="shared" si="21"/>
        <v>0.44833817565039807</v>
      </c>
      <c r="J91" s="68">
        <f t="shared" si="22"/>
        <v>0.49279642614683122</v>
      </c>
      <c r="K91" s="70">
        <f t="shared" si="28"/>
        <v>38.748914141452701</v>
      </c>
      <c r="L91" s="68">
        <f t="shared" si="23"/>
        <v>38.748914141452701</v>
      </c>
      <c r="X91" s="21"/>
      <c r="Z91" s="21"/>
      <c r="AA91" s="64">
        <v>74</v>
      </c>
      <c r="AB91" s="94">
        <f t="shared" si="24"/>
        <v>1065</v>
      </c>
      <c r="AD91" s="68">
        <f t="shared" si="18"/>
        <v>0.17195183111458148</v>
      </c>
      <c r="AE91" s="68">
        <f t="shared" si="25"/>
        <v>6.0148432239591987E-2</v>
      </c>
      <c r="AF91" s="68">
        <f t="shared" si="26"/>
        <v>0.43173769902257458</v>
      </c>
      <c r="AG91" s="68">
        <f t="shared" si="27"/>
        <v>0.47601870820591458</v>
      </c>
    </row>
    <row r="92" spans="2:33" x14ac:dyDescent="0.3">
      <c r="B92" s="22"/>
      <c r="D92" s="64">
        <v>74</v>
      </c>
      <c r="E92" s="94">
        <f t="shared" si="29"/>
        <v>1065</v>
      </c>
      <c r="G92" s="68">
        <f t="shared" si="19"/>
        <v>0.17195183111458148</v>
      </c>
      <c r="H92" s="70">
        <f t="shared" si="20"/>
        <v>6.0148432239591987E-2</v>
      </c>
      <c r="I92" s="68">
        <f t="shared" si="21"/>
        <v>0.43173769902257458</v>
      </c>
      <c r="J92" s="68">
        <f t="shared" si="22"/>
        <v>0.47601870820591458</v>
      </c>
      <c r="K92" s="70">
        <f t="shared" si="28"/>
        <v>36.758169390508613</v>
      </c>
      <c r="L92" s="68">
        <f t="shared" si="23"/>
        <v>36.758169390508613</v>
      </c>
      <c r="X92" s="21"/>
      <c r="Z92" s="21"/>
      <c r="AA92" s="64">
        <v>75</v>
      </c>
      <c r="AB92" s="94">
        <f t="shared" si="24"/>
        <v>1070</v>
      </c>
      <c r="AD92" s="68">
        <f t="shared" si="18"/>
        <v>0.21384545295038648</v>
      </c>
      <c r="AE92" s="68">
        <f t="shared" si="25"/>
        <v>0.10204205407539699</v>
      </c>
      <c r="AF92" s="68">
        <f t="shared" si="26"/>
        <v>0.41533378919529818</v>
      </c>
      <c r="AG92" s="68">
        <f t="shared" si="27"/>
        <v>0.45936164747760572</v>
      </c>
    </row>
    <row r="93" spans="2:33" x14ac:dyDescent="0.3">
      <c r="B93" s="22"/>
      <c r="D93" s="64">
        <v>75</v>
      </c>
      <c r="E93" s="94">
        <f t="shared" si="29"/>
        <v>1070</v>
      </c>
      <c r="G93" s="68">
        <f t="shared" si="19"/>
        <v>0.21384545295038648</v>
      </c>
      <c r="H93" s="70">
        <f t="shared" si="20"/>
        <v>0.10204205407539699</v>
      </c>
      <c r="I93" s="68">
        <f t="shared" si="21"/>
        <v>0.41533378919529818</v>
      </c>
      <c r="J93" s="68">
        <f t="shared" si="22"/>
        <v>0.45936164747760572</v>
      </c>
      <c r="K93" s="70">
        <f t="shared" si="28"/>
        <v>34.842093388558112</v>
      </c>
      <c r="L93" s="68">
        <f t="shared" si="23"/>
        <v>34.842093388558112</v>
      </c>
      <c r="X93" s="21"/>
      <c r="Z93" s="21"/>
      <c r="AA93" s="64">
        <v>76</v>
      </c>
      <c r="AB93" s="94">
        <f t="shared" si="24"/>
        <v>1075</v>
      </c>
      <c r="AD93" s="68">
        <f t="shared" si="18"/>
        <v>0.25554376581674165</v>
      </c>
      <c r="AE93" s="68">
        <f t="shared" si="25"/>
        <v>0.14374036694175216</v>
      </c>
      <c r="AF93" s="68">
        <f t="shared" si="26"/>
        <v>0.39915157256154693</v>
      </c>
      <c r="AG93" s="68">
        <f t="shared" si="27"/>
        <v>0.44285274698266386</v>
      </c>
    </row>
    <row r="94" spans="2:33" x14ac:dyDescent="0.3">
      <c r="B94" s="22"/>
      <c r="D94" s="64">
        <v>76</v>
      </c>
      <c r="E94" s="94">
        <f t="shared" si="29"/>
        <v>1075</v>
      </c>
      <c r="G94" s="68">
        <f t="shared" si="19"/>
        <v>0.25554376581674165</v>
      </c>
      <c r="H94" s="70">
        <f t="shared" si="20"/>
        <v>0.14374036694175216</v>
      </c>
      <c r="I94" s="68">
        <f t="shared" si="21"/>
        <v>0.39915157256154693</v>
      </c>
      <c r="J94" s="68">
        <f t="shared" si="22"/>
        <v>0.44285274698266386</v>
      </c>
      <c r="K94" s="70">
        <f t="shared" si="28"/>
        <v>32.99973945517786</v>
      </c>
      <c r="L94" s="68">
        <f t="shared" si="23"/>
        <v>32.99973945517786</v>
      </c>
      <c r="X94" s="21"/>
      <c r="Z94" s="21"/>
      <c r="AA94" s="64">
        <v>77</v>
      </c>
      <c r="AB94" s="94">
        <f t="shared" si="24"/>
        <v>1080</v>
      </c>
      <c r="AD94" s="68">
        <f t="shared" si="18"/>
        <v>0.2970485823356997</v>
      </c>
      <c r="AE94" s="68">
        <f t="shared" si="25"/>
        <v>0.1852451834607102</v>
      </c>
      <c r="AF94" s="68">
        <f t="shared" si="26"/>
        <v>0.38321470939110169</v>
      </c>
      <c r="AG94" s="68">
        <f t="shared" si="27"/>
        <v>0.42651836552179512</v>
      </c>
    </row>
    <row r="95" spans="2:33" x14ac:dyDescent="0.3">
      <c r="B95" s="22"/>
      <c r="D95" s="64">
        <v>77</v>
      </c>
      <c r="E95" s="94">
        <f t="shared" si="29"/>
        <v>1080</v>
      </c>
      <c r="G95" s="68">
        <f t="shared" si="19"/>
        <v>0.2970485823356997</v>
      </c>
      <c r="H95" s="70">
        <f t="shared" si="20"/>
        <v>0.1852451834607102</v>
      </c>
      <c r="I95" s="68">
        <f t="shared" si="21"/>
        <v>0.38321470939110169</v>
      </c>
      <c r="J95" s="68">
        <f t="shared" si="22"/>
        <v>0.42651836552179512</v>
      </c>
      <c r="K95" s="70">
        <f t="shared" si="28"/>
        <v>31.230050519529755</v>
      </c>
      <c r="L95" s="68">
        <f t="shared" si="23"/>
        <v>31.230050519529755</v>
      </c>
      <c r="X95" s="21"/>
      <c r="Z95" s="21"/>
      <c r="AA95" s="64">
        <v>78</v>
      </c>
      <c r="AB95" s="94">
        <f t="shared" si="24"/>
        <v>1085</v>
      </c>
      <c r="AD95" s="68">
        <f t="shared" si="18"/>
        <v>0.33836169001196115</v>
      </c>
      <c r="AE95" s="68">
        <f t="shared" si="25"/>
        <v>0.22655829113697165</v>
      </c>
      <c r="AF95" s="68">
        <f t="shared" si="26"/>
        <v>0.36754532012309449</v>
      </c>
      <c r="AG95" s="68">
        <f t="shared" si="27"/>
        <v>0.41038361389179873</v>
      </c>
    </row>
    <row r="96" spans="2:33" x14ac:dyDescent="0.3">
      <c r="B96" s="22"/>
      <c r="D96" s="64">
        <v>78</v>
      </c>
      <c r="E96" s="94">
        <f t="shared" si="29"/>
        <v>1085</v>
      </c>
      <c r="G96" s="68">
        <f t="shared" si="19"/>
        <v>0.33836169001196115</v>
      </c>
      <c r="H96" s="70">
        <f t="shared" si="20"/>
        <v>0.22655829113697165</v>
      </c>
      <c r="I96" s="68">
        <f t="shared" si="21"/>
        <v>0.36754532012309449</v>
      </c>
      <c r="J96" s="68">
        <f t="shared" si="22"/>
        <v>0.41038361389179873</v>
      </c>
      <c r="K96" s="70">
        <f t="shared" si="28"/>
        <v>29.531865925370539</v>
      </c>
      <c r="L96" s="68">
        <f t="shared" si="23"/>
        <v>29.531865925370539</v>
      </c>
      <c r="X96" s="21"/>
      <c r="Z96" s="21"/>
      <c r="AA96" s="64">
        <v>79</v>
      </c>
      <c r="AB96" s="94">
        <f t="shared" si="24"/>
        <v>1090</v>
      </c>
      <c r="AD96" s="68">
        <f t="shared" si="18"/>
        <v>0.37948485169482193</v>
      </c>
      <c r="AE96" s="68">
        <f t="shared" si="25"/>
        <v>0.26768145281983247</v>
      </c>
      <c r="AF96" s="68">
        <f t="shared" si="26"/>
        <v>0.35216392557475112</v>
      </c>
      <c r="AG96" s="68">
        <f t="shared" si="27"/>
        <v>0.39447226374463151</v>
      </c>
    </row>
    <row r="97" spans="2:33" x14ac:dyDescent="0.3">
      <c r="B97" s="22"/>
      <c r="D97" s="64">
        <v>79</v>
      </c>
      <c r="E97" s="94">
        <f t="shared" si="29"/>
        <v>1090</v>
      </c>
      <c r="G97" s="68">
        <f t="shared" si="19"/>
        <v>0.37948485169482193</v>
      </c>
      <c r="H97" s="70">
        <f t="shared" si="20"/>
        <v>0.26768145281983247</v>
      </c>
      <c r="I97" s="68">
        <f t="shared" si="21"/>
        <v>0.35216392557475112</v>
      </c>
      <c r="J97" s="68">
        <f t="shared" si="22"/>
        <v>0.39447226374463151</v>
      </c>
      <c r="K97" s="70">
        <f t="shared" si="28"/>
        <v>27.903928538012224</v>
      </c>
      <c r="L97" s="68">
        <f t="shared" si="23"/>
        <v>27.903928538012224</v>
      </c>
      <c r="X97" s="21"/>
      <c r="Z97" s="21"/>
      <c r="AA97" s="64">
        <v>80</v>
      </c>
      <c r="AB97" s="94">
        <f t="shared" si="24"/>
        <v>1095</v>
      </c>
      <c r="AD97" s="68">
        <f t="shared" si="18"/>
        <v>0.42041980602951978</v>
      </c>
      <c r="AE97" s="68">
        <f t="shared" si="25"/>
        <v>0.30861640715453031</v>
      </c>
      <c r="AF97" s="68">
        <f t="shared" si="26"/>
        <v>0.33708940089792849</v>
      </c>
      <c r="AG97" s="68">
        <f t="shared" si="27"/>
        <v>0.37880666931145557</v>
      </c>
    </row>
    <row r="98" spans="2:33" x14ac:dyDescent="0.3">
      <c r="B98" s="22"/>
      <c r="D98" s="64">
        <v>80</v>
      </c>
      <c r="E98" s="94">
        <f t="shared" si="29"/>
        <v>1095</v>
      </c>
      <c r="G98" s="68">
        <f t="shared" si="19"/>
        <v>0.42041980602951978</v>
      </c>
      <c r="H98" s="70">
        <f t="shared" si="20"/>
        <v>0.30861640715453031</v>
      </c>
      <c r="I98" s="68">
        <f t="shared" si="21"/>
        <v>0.33708940089792849</v>
      </c>
      <c r="J98" s="68">
        <f t="shared" si="22"/>
        <v>0.37880666931145557</v>
      </c>
      <c r="K98" s="70">
        <f t="shared" si="28"/>
        <v>26.344892090599956</v>
      </c>
      <c r="L98" s="68">
        <f t="shared" si="23"/>
        <v>26.344892090599956</v>
      </c>
      <c r="X98" s="21"/>
      <c r="Z98" s="21"/>
      <c r="AA98" s="64">
        <v>81</v>
      </c>
      <c r="AB98" s="94">
        <f t="shared" si="24"/>
        <v>1100</v>
      </c>
      <c r="AD98" s="68">
        <f t="shared" si="18"/>
        <v>0.46116826789832938</v>
      </c>
      <c r="AE98" s="68">
        <f t="shared" si="25"/>
        <v>0.34936486902333985</v>
      </c>
      <c r="AF98" s="68">
        <f t="shared" si="26"/>
        <v>0.32233894298068499</v>
      </c>
      <c r="AG98" s="68">
        <f t="shared" si="27"/>
        <v>0.36340770206786244</v>
      </c>
    </row>
    <row r="99" spans="2:33" x14ac:dyDescent="0.3">
      <c r="B99" s="22"/>
      <c r="D99" s="64">
        <v>81</v>
      </c>
      <c r="E99" s="94">
        <f t="shared" si="29"/>
        <v>1100</v>
      </c>
      <c r="G99" s="68">
        <f t="shared" si="19"/>
        <v>0.46116826789832938</v>
      </c>
      <c r="H99" s="70">
        <f t="shared" si="20"/>
        <v>0.34936486902333985</v>
      </c>
      <c r="I99" s="68">
        <f t="shared" si="21"/>
        <v>0.32233894298068499</v>
      </c>
      <c r="J99" s="68">
        <f t="shared" si="22"/>
        <v>0.36340770206786244</v>
      </c>
      <c r="K99" s="70">
        <f t="shared" si="28"/>
        <v>24.853328708148013</v>
      </c>
      <c r="L99" s="68">
        <f t="shared" si="23"/>
        <v>24.853328708148013</v>
      </c>
      <c r="X99" s="21"/>
      <c r="Z99" s="21"/>
      <c r="AA99" s="64">
        <v>82</v>
      </c>
      <c r="AB99" s="94">
        <f t="shared" si="24"/>
        <v>1105</v>
      </c>
      <c r="AD99" s="68">
        <f t="shared" si="18"/>
        <v>0.50173192885162532</v>
      </c>
      <c r="AE99" s="68">
        <f t="shared" si="25"/>
        <v>0.38992852997663585</v>
      </c>
      <c r="AF99" s="68">
        <f t="shared" si="26"/>
        <v>0.30792805086916247</v>
      </c>
      <c r="AG99" s="68">
        <f t="shared" si="27"/>
        <v>0.34829469827848875</v>
      </c>
    </row>
    <row r="100" spans="2:33" x14ac:dyDescent="0.3">
      <c r="B100" s="22"/>
      <c r="D100" s="64">
        <v>82</v>
      </c>
      <c r="E100" s="94">
        <f t="shared" si="29"/>
        <v>1105</v>
      </c>
      <c r="G100" s="68">
        <f t="shared" si="19"/>
        <v>0.50173192885162532</v>
      </c>
      <c r="H100" s="70">
        <f t="shared" si="20"/>
        <v>0.38992852997663585</v>
      </c>
      <c r="I100" s="68">
        <f t="shared" si="21"/>
        <v>0.30792805086916247</v>
      </c>
      <c r="J100" s="68">
        <f t="shared" si="22"/>
        <v>0.34829469827848875</v>
      </c>
      <c r="K100" s="70">
        <f t="shared" si="28"/>
        <v>23.427736549421809</v>
      </c>
      <c r="L100" s="68">
        <f t="shared" si="23"/>
        <v>23.427736549421809</v>
      </c>
      <c r="X100" s="21"/>
      <c r="Z100" s="21"/>
      <c r="AA100" s="64">
        <v>83</v>
      </c>
      <c r="AB100" s="94">
        <f t="shared" si="24"/>
        <v>1110</v>
      </c>
      <c r="AD100" s="68">
        <f t="shared" si="18"/>
        <v>0.54211245752924386</v>
      </c>
      <c r="AE100" s="68">
        <f t="shared" si="25"/>
        <v>0.43030905865425439</v>
      </c>
      <c r="AF100" s="68">
        <f t="shared" si="26"/>
        <v>0.29387051867612979</v>
      </c>
      <c r="AG100" s="68">
        <f t="shared" si="27"/>
        <v>0.33348541923034913</v>
      </c>
    </row>
    <row r="101" spans="2:33" x14ac:dyDescent="0.3">
      <c r="B101" s="22"/>
      <c r="D101" s="64">
        <v>83</v>
      </c>
      <c r="E101" s="94">
        <f t="shared" si="29"/>
        <v>1110</v>
      </c>
      <c r="G101" s="68">
        <f t="shared" si="19"/>
        <v>0.54211245752924386</v>
      </c>
      <c r="H101" s="70">
        <f t="shared" si="20"/>
        <v>0.43030905865425439</v>
      </c>
      <c r="I101" s="68">
        <f t="shared" si="21"/>
        <v>0.29387051867612979</v>
      </c>
      <c r="J101" s="68">
        <f t="shared" si="22"/>
        <v>0.33348541923034913</v>
      </c>
      <c r="K101" s="70">
        <f t="shared" si="28"/>
        <v>22.066547508929148</v>
      </c>
      <c r="L101" s="68">
        <f t="shared" si="23"/>
        <v>22.066547508929148</v>
      </c>
      <c r="X101" s="21"/>
      <c r="Z101" s="21"/>
      <c r="AA101" s="64">
        <v>84</v>
      </c>
      <c r="AB101" s="94">
        <f t="shared" si="24"/>
        <v>1115</v>
      </c>
      <c r="AD101" s="68">
        <f t="shared" si="18"/>
        <v>0.582311500072347</v>
      </c>
      <c r="AE101" s="68">
        <f t="shared" si="25"/>
        <v>0.47050810119735753</v>
      </c>
      <c r="AF101" s="68">
        <f t="shared" si="26"/>
        <v>0.28017844034737194</v>
      </c>
      <c r="AG101" s="68">
        <f t="shared" si="27"/>
        <v>0.31899602384574166</v>
      </c>
    </row>
    <row r="102" spans="2:33" x14ac:dyDescent="0.3">
      <c r="B102" s="22"/>
      <c r="D102" s="64">
        <v>84</v>
      </c>
      <c r="E102" s="94">
        <f t="shared" si="29"/>
        <v>1115</v>
      </c>
      <c r="G102" s="68">
        <f t="shared" si="19"/>
        <v>0.582311500072347</v>
      </c>
      <c r="H102" s="70">
        <f t="shared" si="20"/>
        <v>0.47050810119735753</v>
      </c>
      <c r="I102" s="68">
        <f t="shared" si="21"/>
        <v>0.28017844034737194</v>
      </c>
      <c r="J102" s="68">
        <f t="shared" si="22"/>
        <v>0.31899602384574166</v>
      </c>
      <c r="K102" s="70">
        <f t="shared" si="28"/>
        <v>20.768134923918069</v>
      </c>
      <c r="L102" s="68">
        <f t="shared" si="23"/>
        <v>20.768134923918069</v>
      </c>
      <c r="X102" s="21"/>
      <c r="Z102" s="21"/>
      <c r="AA102" s="64">
        <v>85</v>
      </c>
      <c r="AB102" s="94">
        <f t="shared" si="24"/>
        <v>1120</v>
      </c>
      <c r="AD102" s="68">
        <f t="shared" si="18"/>
        <v>0.62233068052610041</v>
      </c>
      <c r="AE102" s="68">
        <f t="shared" si="25"/>
        <v>0.51052728165111094</v>
      </c>
      <c r="AF102" s="68">
        <f t="shared" si="26"/>
        <v>0.26686222557582362</v>
      </c>
      <c r="AG102" s="68">
        <f t="shared" si="27"/>
        <v>0.30484105325824518</v>
      </c>
    </row>
    <row r="103" spans="2:33" x14ac:dyDescent="0.3">
      <c r="B103" s="22"/>
      <c r="D103" s="64">
        <v>85</v>
      </c>
      <c r="E103" s="94">
        <f t="shared" si="29"/>
        <v>1120</v>
      </c>
      <c r="G103" s="68">
        <f t="shared" si="19"/>
        <v>0.62233068052610041</v>
      </c>
      <c r="H103" s="70">
        <f t="shared" si="20"/>
        <v>0.51052728165111094</v>
      </c>
      <c r="I103" s="68">
        <f t="shared" si="21"/>
        <v>0.26686222557582362</v>
      </c>
      <c r="J103" s="68">
        <f t="shared" si="22"/>
        <v>0.30484105325824518</v>
      </c>
      <c r="K103" s="70">
        <f t="shared" si="28"/>
        <v>19.530821234311077</v>
      </c>
      <c r="L103" s="68">
        <f t="shared" si="23"/>
        <v>19.530821234311077</v>
      </c>
      <c r="X103" s="21"/>
      <c r="Z103" s="21"/>
      <c r="AA103" s="64">
        <v>86</v>
      </c>
      <c r="AB103" s="94">
        <f t="shared" si="24"/>
        <v>1125</v>
      </c>
      <c r="AD103" s="68">
        <f t="shared" si="18"/>
        <v>0.6621716012333565</v>
      </c>
      <c r="AE103" s="68">
        <f t="shared" si="25"/>
        <v>0.55036820235836703</v>
      </c>
      <c r="AF103" s="68">
        <f t="shared" si="26"/>
        <v>0.25393062608616301</v>
      </c>
      <c r="AG103" s="68">
        <f t="shared" si="27"/>
        <v>0.29103342683995825</v>
      </c>
    </row>
    <row r="104" spans="2:33" x14ac:dyDescent="0.3">
      <c r="B104" s="22"/>
      <c r="D104" s="64">
        <v>86</v>
      </c>
      <c r="E104" s="94">
        <f t="shared" si="29"/>
        <v>1125</v>
      </c>
      <c r="G104" s="68">
        <f t="shared" si="19"/>
        <v>0.6621716012333565</v>
      </c>
      <c r="H104" s="70">
        <f t="shared" si="20"/>
        <v>0.55036820235836703</v>
      </c>
      <c r="I104" s="68">
        <f t="shared" si="21"/>
        <v>0.25393062608616301</v>
      </c>
      <c r="J104" s="68">
        <f t="shared" si="22"/>
        <v>0.29103342683995825</v>
      </c>
      <c r="K104" s="70">
        <f t="shared" si="28"/>
        <v>18.35288554687844</v>
      </c>
      <c r="L104" s="68">
        <f t="shared" si="23"/>
        <v>18.35288554687844</v>
      </c>
      <c r="X104" s="21"/>
      <c r="Z104" s="21"/>
      <c r="AA104" s="64">
        <v>87</v>
      </c>
      <c r="AB104" s="94">
        <f t="shared" si="24"/>
        <v>1130</v>
      </c>
      <c r="AD104" s="68">
        <f t="shared" si="18"/>
        <v>0.70183584321963211</v>
      </c>
      <c r="AE104" s="68">
        <f t="shared" si="25"/>
        <v>0.59003244434464264</v>
      </c>
      <c r="AF104" s="68">
        <f t="shared" si="26"/>
        <v>0.24139077145918392</v>
      </c>
      <c r="AG104" s="68">
        <f t="shared" si="27"/>
        <v>0.27758444908498614</v>
      </c>
    </row>
    <row r="105" spans="2:33" x14ac:dyDescent="0.3">
      <c r="B105" s="22"/>
      <c r="D105" s="64">
        <v>87</v>
      </c>
      <c r="E105" s="94">
        <f t="shared" si="29"/>
        <v>1130</v>
      </c>
      <c r="G105" s="68">
        <f t="shared" si="19"/>
        <v>0.70183584321963211</v>
      </c>
      <c r="H105" s="70">
        <f t="shared" si="20"/>
        <v>0.59003244434464264</v>
      </c>
      <c r="I105" s="68">
        <f t="shared" si="21"/>
        <v>0.24139077145918392</v>
      </c>
      <c r="J105" s="68">
        <f t="shared" si="22"/>
        <v>0.27758444908498614</v>
      </c>
      <c r="K105" s="70">
        <f t="shared" si="28"/>
        <v>17.232571058594004</v>
      </c>
      <c r="L105" s="68">
        <f t="shared" si="23"/>
        <v>17.232571058594004</v>
      </c>
      <c r="X105" s="21"/>
      <c r="Z105" s="21"/>
      <c r="AA105" s="64">
        <v>88</v>
      </c>
      <c r="AB105" s="94">
        <f t="shared" si="24"/>
        <v>1135</v>
      </c>
      <c r="AD105" s="68">
        <f t="shared" si="18"/>
        <v>0.74132496656957103</v>
      </c>
      <c r="AE105" s="68">
        <f t="shared" si="25"/>
        <v>0.62952156769458156</v>
      </c>
      <c r="AF105" s="68">
        <f t="shared" si="26"/>
        <v>0.22924821362543152</v>
      </c>
      <c r="AG105" s="68">
        <f t="shared" si="27"/>
        <v>0.26450382668361971</v>
      </c>
    </row>
    <row r="106" spans="2:33" x14ac:dyDescent="0.3">
      <c r="B106" s="22"/>
      <c r="D106" s="64">
        <v>88</v>
      </c>
      <c r="E106" s="94">
        <f t="shared" si="29"/>
        <v>1135</v>
      </c>
      <c r="G106" s="68">
        <f t="shared" si="19"/>
        <v>0.74132496656957103</v>
      </c>
      <c r="H106" s="70">
        <f t="shared" si="20"/>
        <v>0.62952156769458156</v>
      </c>
      <c r="I106" s="68">
        <f t="shared" si="21"/>
        <v>0.22924821362543152</v>
      </c>
      <c r="J106" s="68">
        <f t="shared" si="22"/>
        <v>0.26450382668361971</v>
      </c>
      <c r="K106" s="70">
        <f t="shared" si="28"/>
        <v>16.168092297968798</v>
      </c>
      <c r="L106" s="68">
        <f t="shared" si="23"/>
        <v>16.168092297968798</v>
      </c>
      <c r="X106" s="21"/>
      <c r="Z106" s="21"/>
      <c r="AA106" s="64">
        <v>89</v>
      </c>
      <c r="AB106" s="94">
        <f t="shared" si="24"/>
        <v>1140</v>
      </c>
      <c r="AD106" s="68">
        <f t="shared" si="18"/>
        <v>0.78064051079513475</v>
      </c>
      <c r="AE106" s="68">
        <f t="shared" si="25"/>
        <v>0.66883711192014528</v>
      </c>
      <c r="AF106" s="68">
        <f t="shared" si="26"/>
        <v>0.21750697913067193</v>
      </c>
      <c r="AG106" s="68">
        <f t="shared" si="27"/>
        <v>0.25179969506355498</v>
      </c>
    </row>
    <row r="107" spans="2:33" x14ac:dyDescent="0.3">
      <c r="B107" s="22"/>
      <c r="D107" s="64">
        <v>89</v>
      </c>
      <c r="E107" s="94">
        <f t="shared" si="29"/>
        <v>1140</v>
      </c>
      <c r="G107" s="68">
        <f t="shared" si="19"/>
        <v>0.78064051079513475</v>
      </c>
      <c r="H107" s="70">
        <f t="shared" si="20"/>
        <v>0.66883711192014528</v>
      </c>
      <c r="I107" s="68">
        <f t="shared" si="21"/>
        <v>0.21750697913067193</v>
      </c>
      <c r="J107" s="68">
        <f t="shared" si="22"/>
        <v>0.25179969506355498</v>
      </c>
      <c r="K107" s="70">
        <f t="shared" si="28"/>
        <v>15.157642147166371</v>
      </c>
      <c r="L107" s="68">
        <f t="shared" si="23"/>
        <v>15.157642147166371</v>
      </c>
      <c r="X107" s="21"/>
      <c r="Z107" s="21"/>
      <c r="AA107" s="64">
        <v>90</v>
      </c>
      <c r="AB107" s="94">
        <f t="shared" si="24"/>
        <v>1145</v>
      </c>
      <c r="AD107" s="68">
        <f t="shared" si="18"/>
        <v>0.81978399519575051</v>
      </c>
      <c r="AE107" s="68">
        <f t="shared" si="25"/>
        <v>0.70798059632076105</v>
      </c>
      <c r="AF107" s="68">
        <f t="shared" si="26"/>
        <v>0.20616962826116719</v>
      </c>
      <c r="AG107" s="68">
        <f t="shared" si="27"/>
        <v>0.23947865362875478</v>
      </c>
    </row>
    <row r="108" spans="2:33" x14ac:dyDescent="0.3">
      <c r="B108" s="22"/>
      <c r="D108" s="64">
        <v>90</v>
      </c>
      <c r="E108" s="94">
        <f t="shared" si="29"/>
        <v>1145</v>
      </c>
      <c r="G108" s="68">
        <f t="shared" si="19"/>
        <v>0.81978399519575051</v>
      </c>
      <c r="H108" s="70">
        <f t="shared" si="20"/>
        <v>0.70798059632076105</v>
      </c>
      <c r="I108" s="68">
        <f t="shared" si="21"/>
        <v>0.20616962826116719</v>
      </c>
      <c r="J108" s="68">
        <f t="shared" si="22"/>
        <v>0.23947865362875478</v>
      </c>
      <c r="K108" s="70">
        <f t="shared" si="28"/>
        <v>14.199398611794237</v>
      </c>
      <c r="L108" s="68">
        <f t="shared" si="23"/>
        <v>14.199398611794237</v>
      </c>
      <c r="X108" s="21"/>
      <c r="Z108" s="21"/>
      <c r="AA108" s="64">
        <v>91</v>
      </c>
      <c r="AB108" s="94">
        <f t="shared" si="24"/>
        <v>1150</v>
      </c>
      <c r="AD108" s="68">
        <f t="shared" si="18"/>
        <v>0.85875691921058905</v>
      </c>
      <c r="AE108" s="68">
        <f t="shared" si="25"/>
        <v>0.74695352033559959</v>
      </c>
      <c r="AF108" s="68">
        <f t="shared" si="26"/>
        <v>0.19523732011361905</v>
      </c>
      <c r="AG108" s="68">
        <f t="shared" si="27"/>
        <v>0.22754580889281276</v>
      </c>
    </row>
    <row r="109" spans="2:33" x14ac:dyDescent="0.3">
      <c r="B109" s="22"/>
      <c r="D109" s="64">
        <v>91</v>
      </c>
      <c r="E109" s="94">
        <f t="shared" si="29"/>
        <v>1150</v>
      </c>
      <c r="G109" s="68">
        <f t="shared" si="19"/>
        <v>0.85875691921058905</v>
      </c>
      <c r="H109" s="70">
        <f t="shared" si="20"/>
        <v>0.74695352033559959</v>
      </c>
      <c r="I109" s="68">
        <f t="shared" si="21"/>
        <v>0.19523732011361905</v>
      </c>
      <c r="J109" s="68">
        <f t="shared" si="22"/>
        <v>0.22754580889281276</v>
      </c>
      <c r="K109" s="70">
        <f t="shared" si="28"/>
        <v>13.291531309412477</v>
      </c>
      <c r="L109" s="68">
        <f t="shared" si="23"/>
        <v>13.291531309412477</v>
      </c>
      <c r="X109" s="21"/>
      <c r="Z109" s="21"/>
      <c r="AA109" s="64">
        <v>92</v>
      </c>
      <c r="AB109" s="94">
        <f t="shared" si="24"/>
        <v>1155</v>
      </c>
      <c r="AD109" s="68">
        <f t="shared" si="18"/>
        <v>0.89756076276322672</v>
      </c>
      <c r="AE109" s="68">
        <f t="shared" si="25"/>
        <v>0.78575736388823725</v>
      </c>
      <c r="AF109" s="68">
        <f t="shared" si="26"/>
        <v>0.18470988270209052</v>
      </c>
      <c r="AG109" s="68">
        <f t="shared" si="27"/>
        <v>0.21600482468136709</v>
      </c>
    </row>
    <row r="110" spans="2:33" x14ac:dyDescent="0.3">
      <c r="B110" s="22"/>
      <c r="D110" s="64">
        <v>92</v>
      </c>
      <c r="E110" s="94">
        <f t="shared" si="29"/>
        <v>1155</v>
      </c>
      <c r="G110" s="68">
        <f t="shared" si="19"/>
        <v>0.89756076276322672</v>
      </c>
      <c r="H110" s="70">
        <f t="shared" si="20"/>
        <v>0.78575736388823725</v>
      </c>
      <c r="I110" s="68">
        <f t="shared" si="21"/>
        <v>0.18470988270209052</v>
      </c>
      <c r="J110" s="68">
        <f t="shared" si="22"/>
        <v>0.21600482468136709</v>
      </c>
      <c r="K110" s="70">
        <f t="shared" si="28"/>
        <v>12.432207651917793</v>
      </c>
      <c r="L110" s="68">
        <f t="shared" si="23"/>
        <v>12.432207651917793</v>
      </c>
      <c r="X110" s="21"/>
      <c r="Z110" s="21"/>
      <c r="AA110" s="64">
        <v>93</v>
      </c>
      <c r="AB110" s="94">
        <f t="shared" si="24"/>
        <v>1160</v>
      </c>
      <c r="AD110" s="68">
        <f t="shared" si="18"/>
        <v>0.9361969865988391</v>
      </c>
      <c r="AE110" s="68">
        <f t="shared" si="25"/>
        <v>0.82439358772384963</v>
      </c>
      <c r="AF110" s="68">
        <f t="shared" si="26"/>
        <v>0.17458588721131965</v>
      </c>
      <c r="AG110" s="68">
        <f t="shared" si="27"/>
        <v>0.2048579785667381</v>
      </c>
    </row>
    <row r="111" spans="2:33" x14ac:dyDescent="0.3">
      <c r="B111" s="22"/>
      <c r="D111" s="64">
        <v>93</v>
      </c>
      <c r="E111" s="94">
        <f t="shared" si="29"/>
        <v>1160</v>
      </c>
      <c r="G111" s="68">
        <f t="shared" si="19"/>
        <v>0.9361969865988391</v>
      </c>
      <c r="H111" s="70">
        <f t="shared" si="20"/>
        <v>0.82439358772384963</v>
      </c>
      <c r="I111" s="68">
        <f t="shared" si="21"/>
        <v>0.17458588721131965</v>
      </c>
      <c r="J111" s="68">
        <f t="shared" si="22"/>
        <v>0.2048579785667381</v>
      </c>
      <c r="K111" s="70">
        <f t="shared" si="28"/>
        <v>11.619598701040928</v>
      </c>
      <c r="L111" s="68">
        <f t="shared" si="23"/>
        <v>11.619598701040928</v>
      </c>
      <c r="X111" s="21"/>
      <c r="Z111" s="21"/>
      <c r="AA111" s="64">
        <v>94</v>
      </c>
      <c r="AB111" s="94">
        <f t="shared" si="24"/>
        <v>1165</v>
      </c>
      <c r="AD111" s="68">
        <f t="shared" si="18"/>
        <v>0.97466703261416532</v>
      </c>
      <c r="AE111" s="68">
        <f t="shared" si="25"/>
        <v>0.86286363373917585</v>
      </c>
      <c r="AF111" s="68">
        <f t="shared" si="26"/>
        <v>0.1648627255314726</v>
      </c>
      <c r="AG111" s="68">
        <f t="shared" si="27"/>
        <v>0.19410622369665681</v>
      </c>
    </row>
    <row r="112" spans="2:33" x14ac:dyDescent="0.3">
      <c r="B112" s="22"/>
      <c r="D112" s="64">
        <v>94</v>
      </c>
      <c r="E112" s="94">
        <f t="shared" si="29"/>
        <v>1165</v>
      </c>
      <c r="G112" s="68">
        <f t="shared" si="19"/>
        <v>0.97466703261416532</v>
      </c>
      <c r="H112" s="70">
        <f t="shared" si="20"/>
        <v>0.86286363373917585</v>
      </c>
      <c r="I112" s="68">
        <f t="shared" si="21"/>
        <v>0.1648627255314726</v>
      </c>
      <c r="J112" s="68">
        <f t="shared" si="22"/>
        <v>0.19410622369665681</v>
      </c>
      <c r="K112" s="70">
        <f t="shared" si="28"/>
        <v>10.85188468016463</v>
      </c>
      <c r="L112" s="68">
        <f t="shared" si="23"/>
        <v>10.85188468016463</v>
      </c>
      <c r="X112" s="21"/>
      <c r="Z112" s="21"/>
      <c r="AA112" s="64">
        <v>95</v>
      </c>
      <c r="AB112" s="94">
        <f t="shared" si="24"/>
        <v>1170</v>
      </c>
      <c r="AD112" s="68">
        <f t="shared" si="18"/>
        <v>1.0129723241803843</v>
      </c>
      <c r="AE112" s="68">
        <f t="shared" si="25"/>
        <v>0.90116892530539483</v>
      </c>
      <c r="AF112" s="68">
        <f t="shared" si="26"/>
        <v>0.1555366902425965</v>
      </c>
      <c r="AG112" s="68">
        <f t="shared" si="27"/>
        <v>0.18374925518704421</v>
      </c>
    </row>
    <row r="113" spans="2:33" x14ac:dyDescent="0.3">
      <c r="B113" s="22"/>
      <c r="D113" s="64">
        <v>95</v>
      </c>
      <c r="E113" s="94">
        <f t="shared" si="29"/>
        <v>1170</v>
      </c>
      <c r="G113" s="68">
        <f t="shared" si="19"/>
        <v>1.0129723241803843</v>
      </c>
      <c r="H113" s="70">
        <f t="shared" si="20"/>
        <v>0.90116892530539483</v>
      </c>
      <c r="I113" s="68">
        <f t="shared" si="21"/>
        <v>0.1555366902425965</v>
      </c>
      <c r="J113" s="68">
        <f t="shared" si="22"/>
        <v>0.18374925518704421</v>
      </c>
      <c r="K113" s="70">
        <f t="shared" si="28"/>
        <v>10.127260129512194</v>
      </c>
      <c r="L113" s="68">
        <f t="shared" si="23"/>
        <v>10.127260129512194</v>
      </c>
      <c r="X113" s="21"/>
      <c r="Z113" s="21"/>
      <c r="AA113" s="64">
        <v>96</v>
      </c>
      <c r="AB113" s="94">
        <f t="shared" si="24"/>
        <v>1175</v>
      </c>
      <c r="AD113" s="68">
        <f t="shared" si="18"/>
        <v>1.0511142664591318</v>
      </c>
      <c r="AE113" s="68">
        <f t="shared" si="25"/>
        <v>0.93931086758414228</v>
      </c>
      <c r="AF113" s="68">
        <f t="shared" si="26"/>
        <v>0.14660305625665218</v>
      </c>
      <c r="AG113" s="68">
        <f t="shared" si="27"/>
        <v>0.17378558026529969</v>
      </c>
    </row>
    <row r="114" spans="2:33" x14ac:dyDescent="0.3">
      <c r="B114" s="22"/>
      <c r="D114" s="64">
        <v>96</v>
      </c>
      <c r="E114" s="94">
        <f t="shared" si="29"/>
        <v>1175</v>
      </c>
      <c r="G114" s="68">
        <f t="shared" si="19"/>
        <v>1.0511142664591318</v>
      </c>
      <c r="H114" s="70">
        <f t="shared" si="20"/>
        <v>0.93931086758414228</v>
      </c>
      <c r="I114" s="68">
        <f t="shared" si="21"/>
        <v>0.14660305625665218</v>
      </c>
      <c r="J114" s="68">
        <f t="shared" si="22"/>
        <v>0.17378558026529969</v>
      </c>
      <c r="K114" s="70">
        <f t="shared" si="28"/>
        <v>9.4439386954302904</v>
      </c>
      <c r="L114" s="68">
        <f t="shared" si="23"/>
        <v>9.4439386954302904</v>
      </c>
      <c r="X114" s="21"/>
      <c r="Z114" s="21"/>
      <c r="AA114" s="64">
        <v>97</v>
      </c>
      <c r="AB114" s="94">
        <f t="shared" si="24"/>
        <v>1180</v>
      </c>
      <c r="AD114" s="68">
        <f t="shared" si="18"/>
        <v>1.0890942467117797</v>
      </c>
      <c r="AE114" s="68">
        <f t="shared" si="25"/>
        <v>0.97729084783679021</v>
      </c>
      <c r="AF114" s="68">
        <f t="shared" si="26"/>
        <v>0.13805616337007448</v>
      </c>
      <c r="AG114" s="68">
        <f t="shared" si="27"/>
        <v>0.16421259137466904</v>
      </c>
    </row>
    <row r="115" spans="2:33" x14ac:dyDescent="0.3">
      <c r="B115" s="22"/>
      <c r="D115" s="64">
        <v>97</v>
      </c>
      <c r="E115" s="94">
        <f t="shared" si="29"/>
        <v>1180</v>
      </c>
      <c r="G115" s="68">
        <f t="shared" ref="G115:G139" si="30">(LN($E115/$H$14)+($H$10-$H$12+$H$11^2/2)*$H$13)/($H$11*SQRT($H$13))</f>
        <v>1.0890942467117797</v>
      </c>
      <c r="H115" s="70">
        <f t="shared" ref="H115:H139" si="31">G115-$H$11*SQRT($H$13)</f>
        <v>0.97729084783679021</v>
      </c>
      <c r="I115" s="68">
        <f t="shared" si="21"/>
        <v>0.13805616337007448</v>
      </c>
      <c r="J115" s="68">
        <f t="shared" si="22"/>
        <v>0.16421259137466904</v>
      </c>
      <c r="K115" s="70">
        <f t="shared" ref="K115:K139" si="32">-EXP(-$G$12*$G$13)*$AB114*AF114+$G$14*EXP(-$G$10*$G$13)*AG114</f>
        <v>8.8001575479773635</v>
      </c>
      <c r="L115" s="68">
        <f t="shared" ref="L115:L139" si="33">-EXP(-$H$12*$H$13)*$E115*I115+$H$14*EXP(-$H$10*$H$13)*J115</f>
        <v>8.8001575479773635</v>
      </c>
      <c r="X115" s="21"/>
      <c r="Z115" s="21"/>
      <c r="AA115" s="64">
        <v>98</v>
      </c>
      <c r="AB115" s="94">
        <f t="shared" si="24"/>
        <v>1185</v>
      </c>
      <c r="AD115" s="68">
        <f t="shared" si="18"/>
        <v>1.1269136346022055</v>
      </c>
      <c r="AE115" s="68">
        <f t="shared" si="25"/>
        <v>1.0151102357272159</v>
      </c>
      <c r="AF115" s="68">
        <f t="shared" si="26"/>
        <v>0.12988949902918495</v>
      </c>
      <c r="AG115" s="68">
        <f t="shared" si="27"/>
        <v>0.15502664148092768</v>
      </c>
    </row>
    <row r="116" spans="2:33" x14ac:dyDescent="0.3">
      <c r="B116" s="22"/>
      <c r="D116" s="64">
        <v>98</v>
      </c>
      <c r="E116" s="94">
        <f t="shared" si="29"/>
        <v>1185</v>
      </c>
      <c r="G116" s="68">
        <f t="shared" si="30"/>
        <v>1.1269136346022055</v>
      </c>
      <c r="H116" s="70">
        <f t="shared" si="31"/>
        <v>1.0151102357272159</v>
      </c>
      <c r="I116" s="68">
        <f t="shared" si="21"/>
        <v>0.12988949902918495</v>
      </c>
      <c r="J116" s="68">
        <f t="shared" si="22"/>
        <v>0.15502664148092768</v>
      </c>
      <c r="K116" s="70">
        <f t="shared" si="32"/>
        <v>8.1941814242922533</v>
      </c>
      <c r="L116" s="68">
        <f t="shared" si="33"/>
        <v>8.1941814242922533</v>
      </c>
      <c r="X116" s="21"/>
      <c r="Z116" s="21"/>
      <c r="AA116" s="64">
        <v>99</v>
      </c>
      <c r="AB116" s="94">
        <f t="shared" si="24"/>
        <v>1190</v>
      </c>
      <c r="AD116" s="68">
        <f t="shared" si="18"/>
        <v>1.1645737824931595</v>
      </c>
      <c r="AE116" s="68">
        <f t="shared" si="25"/>
        <v>1.0527703836181699</v>
      </c>
      <c r="AF116" s="68">
        <f t="shared" si="26"/>
        <v>0.12209578066357139</v>
      </c>
      <c r="AG116" s="68">
        <f t="shared" si="27"/>
        <v>0.14622312085902406</v>
      </c>
    </row>
    <row r="117" spans="2:33" x14ac:dyDescent="0.3">
      <c r="B117" s="22"/>
      <c r="D117" s="64">
        <v>99</v>
      </c>
      <c r="E117" s="94">
        <f t="shared" si="29"/>
        <v>1190</v>
      </c>
      <c r="G117" s="68">
        <f t="shared" si="30"/>
        <v>1.1645737824931595</v>
      </c>
      <c r="H117" s="70">
        <f t="shared" si="31"/>
        <v>1.0527703836181699</v>
      </c>
      <c r="I117" s="68">
        <f t="shared" si="21"/>
        <v>0.12209578066357139</v>
      </c>
      <c r="J117" s="68">
        <f t="shared" si="22"/>
        <v>0.14622312085902406</v>
      </c>
      <c r="K117" s="70">
        <f t="shared" si="32"/>
        <v>7.6243062982619847</v>
      </c>
      <c r="L117" s="68">
        <f t="shared" si="33"/>
        <v>7.6243062982619847</v>
      </c>
      <c r="X117" s="21"/>
      <c r="Z117" s="21"/>
      <c r="AA117" s="64">
        <v>100</v>
      </c>
      <c r="AB117" s="94">
        <f t="shared" si="24"/>
        <v>1195</v>
      </c>
      <c r="AD117" s="68">
        <f t="shared" si="18"/>
        <v>1.2020760257364462</v>
      </c>
      <c r="AE117" s="68">
        <f t="shared" si="25"/>
        <v>1.0902726268614567</v>
      </c>
      <c r="AF117" s="68">
        <f t="shared" si="26"/>
        <v>0.11466703699769867</v>
      </c>
      <c r="AG117" s="68">
        <f t="shared" si="27"/>
        <v>0.13779653467841524</v>
      </c>
    </row>
    <row r="118" spans="2:33" x14ac:dyDescent="0.3">
      <c r="B118" s="22"/>
      <c r="D118" s="64">
        <v>100</v>
      </c>
      <c r="E118" s="94">
        <f t="shared" si="29"/>
        <v>1195</v>
      </c>
      <c r="G118" s="68">
        <f t="shared" si="30"/>
        <v>1.2020760257364462</v>
      </c>
      <c r="H118" s="70">
        <f t="shared" si="31"/>
        <v>1.0902726268614567</v>
      </c>
      <c r="I118" s="68">
        <f t="shared" si="21"/>
        <v>0.11466703699769867</v>
      </c>
      <c r="J118" s="68">
        <f t="shared" si="22"/>
        <v>0.13779653467841524</v>
      </c>
      <c r="K118" s="70">
        <f t="shared" si="32"/>
        <v>7.0888626797979413</v>
      </c>
      <c r="L118" s="68">
        <f t="shared" si="33"/>
        <v>7.0888626797979413</v>
      </c>
      <c r="X118" s="21"/>
      <c r="Z118" s="21"/>
      <c r="AA118" s="64">
        <v>101</v>
      </c>
      <c r="AB118" s="94">
        <f t="shared" si="24"/>
        <v>1200</v>
      </c>
      <c r="AD118" s="68">
        <f t="shared" si="18"/>
        <v>1.2394216829570208</v>
      </c>
      <c r="AE118" s="68">
        <f t="shared" si="25"/>
        <v>1.1276182840820312</v>
      </c>
      <c r="AF118" s="68">
        <f t="shared" si="26"/>
        <v>0.10759468780773235</v>
      </c>
      <c r="AG118" s="68">
        <f t="shared" si="27"/>
        <v>0.12974058075079725</v>
      </c>
    </row>
    <row r="119" spans="2:33" x14ac:dyDescent="0.3">
      <c r="B119" s="22"/>
      <c r="D119" s="64">
        <v>101</v>
      </c>
      <c r="E119" s="94">
        <f t="shared" si="29"/>
        <v>1200</v>
      </c>
      <c r="G119" s="68">
        <f t="shared" si="30"/>
        <v>1.2394216829570208</v>
      </c>
      <c r="H119" s="70">
        <f t="shared" si="31"/>
        <v>1.1276182840820312</v>
      </c>
      <c r="I119" s="68">
        <f t="shared" si="21"/>
        <v>0.10759468780773235</v>
      </c>
      <c r="J119" s="68">
        <f t="shared" si="22"/>
        <v>0.12974058075079725</v>
      </c>
      <c r="K119" s="70">
        <f t="shared" si="32"/>
        <v>6.5862185495688834</v>
      </c>
      <c r="L119" s="68">
        <f t="shared" si="33"/>
        <v>6.5862185495688834</v>
      </c>
      <c r="X119" s="21"/>
      <c r="Z119" s="21"/>
      <c r="AA119" s="64">
        <v>102</v>
      </c>
      <c r="AB119" s="94">
        <f t="shared" si="24"/>
        <v>1205</v>
      </c>
      <c r="AD119" s="68">
        <f t="shared" si="18"/>
        <v>1.276612056331206</v>
      </c>
      <c r="AE119" s="68">
        <f t="shared" si="25"/>
        <v>1.1648086574562164</v>
      </c>
      <c r="AF119" s="68">
        <f t="shared" si="26"/>
        <v>0.10086962164791788</v>
      </c>
      <c r="AG119" s="68">
        <f t="shared" si="27"/>
        <v>0.12204822685180465</v>
      </c>
    </row>
    <row r="120" spans="2:33" x14ac:dyDescent="0.3">
      <c r="B120" s="22"/>
      <c r="D120" s="64">
        <v>102</v>
      </c>
      <c r="E120" s="94">
        <f t="shared" si="29"/>
        <v>1205</v>
      </c>
      <c r="G120" s="68">
        <f t="shared" si="30"/>
        <v>1.276612056331206</v>
      </c>
      <c r="H120" s="70">
        <f t="shared" si="31"/>
        <v>1.1648086574562164</v>
      </c>
      <c r="I120" s="68">
        <f t="shared" si="21"/>
        <v>0.10086962164791788</v>
      </c>
      <c r="J120" s="68">
        <f t="shared" si="22"/>
        <v>0.12204822685180465</v>
      </c>
      <c r="K120" s="70">
        <f t="shared" si="32"/>
        <v>6.1147819373245369</v>
      </c>
      <c r="L120" s="68">
        <f t="shared" si="33"/>
        <v>6.1147819373245369</v>
      </c>
      <c r="X120" s="21"/>
      <c r="Z120" s="21"/>
      <c r="AA120" s="64">
        <v>103</v>
      </c>
      <c r="AB120" s="94">
        <f t="shared" si="24"/>
        <v>1210</v>
      </c>
      <c r="AD120" s="68">
        <f t="shared" si="18"/>
        <v>1.3136484318591204</v>
      </c>
      <c r="AE120" s="68">
        <f t="shared" si="25"/>
        <v>1.2018450329841308</v>
      </c>
      <c r="AF120" s="68">
        <f t="shared" si="26"/>
        <v>9.4482271128205481E-2</v>
      </c>
      <c r="AG120" s="68">
        <f t="shared" si="27"/>
        <v>0.11471178707828296</v>
      </c>
    </row>
    <row r="121" spans="2:33" x14ac:dyDescent="0.3">
      <c r="B121" s="22"/>
      <c r="D121" s="64">
        <v>103</v>
      </c>
      <c r="E121" s="94">
        <f t="shared" si="29"/>
        <v>1210</v>
      </c>
      <c r="G121" s="68">
        <f t="shared" si="30"/>
        <v>1.3136484318591204</v>
      </c>
      <c r="H121" s="70">
        <f t="shared" si="31"/>
        <v>1.2018450329841308</v>
      </c>
      <c r="I121" s="68">
        <f t="shared" si="21"/>
        <v>9.4482271128205481E-2</v>
      </c>
      <c r="J121" s="68">
        <f t="shared" si="22"/>
        <v>0.11471178707828296</v>
      </c>
      <c r="K121" s="70">
        <f t="shared" si="32"/>
        <v>5.6730031539626395</v>
      </c>
      <c r="L121" s="68">
        <f t="shared" si="33"/>
        <v>5.6730031539626395</v>
      </c>
      <c r="X121" s="21"/>
      <c r="Z121" s="21"/>
      <c r="AA121" s="64">
        <v>104</v>
      </c>
      <c r="AB121" s="94">
        <f t="shared" si="24"/>
        <v>1215</v>
      </c>
      <c r="AD121" s="68">
        <f t="shared" si="18"/>
        <v>1.3505320796315194</v>
      </c>
      <c r="AE121" s="68">
        <f t="shared" si="25"/>
        <v>1.2387286807565299</v>
      </c>
      <c r="AF121" s="68">
        <f t="shared" si="26"/>
        <v>8.8422685381371879E-2</v>
      </c>
      <c r="AG121" s="68">
        <f t="shared" si="27"/>
        <v>0.10772299675404852</v>
      </c>
    </row>
    <row r="122" spans="2:33" x14ac:dyDescent="0.3">
      <c r="B122" s="22"/>
      <c r="D122" s="64">
        <v>104</v>
      </c>
      <c r="E122" s="94">
        <f t="shared" si="29"/>
        <v>1215</v>
      </c>
      <c r="G122" s="68">
        <f t="shared" si="30"/>
        <v>1.3505320796315194</v>
      </c>
      <c r="H122" s="70">
        <f t="shared" si="31"/>
        <v>1.2387286807565299</v>
      </c>
      <c r="I122" s="68">
        <f t="shared" si="21"/>
        <v>8.8422685381371879E-2</v>
      </c>
      <c r="J122" s="68">
        <f t="shared" si="22"/>
        <v>0.10772299675404852</v>
      </c>
      <c r="K122" s="70">
        <f t="shared" si="32"/>
        <v>5.2593766892577491</v>
      </c>
      <c r="L122" s="68">
        <f t="shared" si="33"/>
        <v>5.2593766892577491</v>
      </c>
      <c r="X122" s="21"/>
      <c r="Z122" s="21"/>
      <c r="AA122" s="64">
        <v>105</v>
      </c>
      <c r="AB122" s="94">
        <f t="shared" si="24"/>
        <v>1220</v>
      </c>
      <c r="AD122" s="68">
        <f t="shared" si="18"/>
        <v>1.387264254091128</v>
      </c>
      <c r="AE122" s="68">
        <f t="shared" si="25"/>
        <v>1.2754608552161384</v>
      </c>
      <c r="AF122" s="68">
        <f t="shared" si="26"/>
        <v>8.2680599413155448E-2</v>
      </c>
      <c r="AG122" s="68">
        <f t="shared" si="27"/>
        <v>0.10107308544900866</v>
      </c>
    </row>
    <row r="123" spans="2:33" x14ac:dyDescent="0.3">
      <c r="B123" s="22"/>
      <c r="D123" s="64">
        <v>105</v>
      </c>
      <c r="E123" s="94">
        <f t="shared" si="29"/>
        <v>1220</v>
      </c>
      <c r="G123" s="68">
        <f t="shared" si="30"/>
        <v>1.387264254091128</v>
      </c>
      <c r="H123" s="70">
        <f t="shared" si="31"/>
        <v>1.2754608552161384</v>
      </c>
      <c r="I123" s="68">
        <f t="shared" si="21"/>
        <v>8.2680599413155448E-2</v>
      </c>
      <c r="J123" s="68">
        <f t="shared" si="22"/>
        <v>0.10107308544900866</v>
      </c>
      <c r="K123" s="70">
        <f t="shared" si="32"/>
        <v>4.8724427886806438</v>
      </c>
      <c r="L123" s="68">
        <f t="shared" si="33"/>
        <v>4.8724427886806438</v>
      </c>
      <c r="X123" s="21"/>
      <c r="Z123" s="21"/>
      <c r="AA123" s="64">
        <v>106</v>
      </c>
      <c r="AB123" s="94">
        <f t="shared" si="24"/>
        <v>1225</v>
      </c>
      <c r="AD123" s="68">
        <f t="shared" si="18"/>
        <v>1.4238461942886558</v>
      </c>
      <c r="AE123" s="68">
        <f t="shared" si="25"/>
        <v>1.3120427954136662</v>
      </c>
      <c r="AF123" s="68">
        <f t="shared" si="26"/>
        <v>7.7245500082283342E-2</v>
      </c>
      <c r="AG123" s="68">
        <f t="shared" si="27"/>
        <v>9.4752847728364772E-2</v>
      </c>
    </row>
    <row r="124" spans="2:33" x14ac:dyDescent="0.3">
      <c r="B124" s="22"/>
      <c r="D124" s="64">
        <v>106</v>
      </c>
      <c r="E124" s="94">
        <f t="shared" si="29"/>
        <v>1225</v>
      </c>
      <c r="G124" s="68">
        <f t="shared" si="30"/>
        <v>1.4238461942886558</v>
      </c>
      <c r="H124" s="70">
        <f t="shared" si="31"/>
        <v>1.3120427954136662</v>
      </c>
      <c r="I124" s="68">
        <f t="shared" si="21"/>
        <v>7.7245500082283342E-2</v>
      </c>
      <c r="J124" s="68">
        <f t="shared" si="22"/>
        <v>9.4752847728364772E-2</v>
      </c>
      <c r="K124" s="70">
        <f t="shared" si="32"/>
        <v>4.5107887240027509</v>
      </c>
      <c r="L124" s="68">
        <f t="shared" si="33"/>
        <v>4.5107887240027509</v>
      </c>
      <c r="X124" s="21"/>
      <c r="Z124" s="21"/>
      <c r="AA124" s="64">
        <v>107</v>
      </c>
      <c r="AB124" s="94">
        <f t="shared" si="24"/>
        <v>1230</v>
      </c>
      <c r="AD124" s="68">
        <f t="shared" si="18"/>
        <v>1.4602791241335726</v>
      </c>
      <c r="AE124" s="68">
        <f t="shared" si="25"/>
        <v>1.3484757252585831</v>
      </c>
      <c r="AF124" s="68">
        <f t="shared" si="26"/>
        <v>7.2106688508362132E-2</v>
      </c>
      <c r="AG124" s="68">
        <f t="shared" si="27"/>
        <v>8.875271129985024E-2</v>
      </c>
    </row>
    <row r="125" spans="2:33" x14ac:dyDescent="0.3">
      <c r="B125" s="22"/>
      <c r="D125" s="64">
        <v>107</v>
      </c>
      <c r="E125" s="94">
        <f t="shared" si="29"/>
        <v>1230</v>
      </c>
      <c r="G125" s="68">
        <f t="shared" si="30"/>
        <v>1.4602791241335726</v>
      </c>
      <c r="H125" s="70">
        <f t="shared" si="31"/>
        <v>1.3484757252585831</v>
      </c>
      <c r="I125" s="68">
        <f t="shared" si="21"/>
        <v>7.2106688508362132E-2</v>
      </c>
      <c r="J125" s="68">
        <f t="shared" si="22"/>
        <v>8.875271129985024E-2</v>
      </c>
      <c r="K125" s="70">
        <f t="shared" si="32"/>
        <v>4.1730497734081808</v>
      </c>
      <c r="L125" s="68">
        <f t="shared" si="33"/>
        <v>4.1730497734081808</v>
      </c>
      <c r="X125" s="21"/>
      <c r="Z125" s="21"/>
      <c r="AA125" s="64">
        <v>108</v>
      </c>
      <c r="AB125" s="94">
        <f t="shared" si="24"/>
        <v>1235</v>
      </c>
      <c r="AD125" s="68">
        <f t="shared" si="18"/>
        <v>1.4965642526398222</v>
      </c>
      <c r="AE125" s="68">
        <f t="shared" si="25"/>
        <v>1.3847608537648326</v>
      </c>
      <c r="AF125" s="68">
        <f t="shared" si="26"/>
        <v>6.7253338753988937E-2</v>
      </c>
      <c r="AG125" s="68">
        <f t="shared" si="27"/>
        <v>8.30628022769547E-2</v>
      </c>
    </row>
    <row r="126" spans="2:33" x14ac:dyDescent="0.3">
      <c r="B126" s="22"/>
      <c r="D126" s="64">
        <v>108</v>
      </c>
      <c r="E126" s="94">
        <f t="shared" si="29"/>
        <v>1235</v>
      </c>
      <c r="G126" s="68">
        <f t="shared" si="30"/>
        <v>1.4965642526398222</v>
      </c>
      <c r="H126" s="70">
        <f t="shared" si="31"/>
        <v>1.3847608537648326</v>
      </c>
      <c r="I126" s="68">
        <f t="shared" si="21"/>
        <v>6.7253338753988937E-2</v>
      </c>
      <c r="J126" s="68">
        <f t="shared" si="22"/>
        <v>8.30628022769547E-2</v>
      </c>
      <c r="K126" s="70">
        <f t="shared" si="32"/>
        <v>3.8579099276397102</v>
      </c>
      <c r="L126" s="68">
        <f t="shared" si="33"/>
        <v>3.8579099276397102</v>
      </c>
      <c r="X126" s="21"/>
      <c r="Z126" s="21"/>
      <c r="AA126" s="64">
        <v>109</v>
      </c>
      <c r="AB126" s="94">
        <f t="shared" si="24"/>
        <v>1240</v>
      </c>
      <c r="AD126" s="68">
        <f t="shared" si="18"/>
        <v>1.5327027741665478</v>
      </c>
      <c r="AE126" s="68">
        <f t="shared" si="25"/>
        <v>1.4208993752915582</v>
      </c>
      <c r="AF126" s="68">
        <f t="shared" si="26"/>
        <v>6.2674552672885811E-2</v>
      </c>
      <c r="AG126" s="68">
        <f t="shared" si="27"/>
        <v>7.7673007324465818E-2</v>
      </c>
    </row>
    <row r="127" spans="2:33" x14ac:dyDescent="0.3">
      <c r="B127" s="22"/>
      <c r="D127" s="64">
        <v>109</v>
      </c>
      <c r="E127" s="94">
        <f t="shared" si="29"/>
        <v>1240</v>
      </c>
      <c r="G127" s="68">
        <f t="shared" si="30"/>
        <v>1.5327027741665478</v>
      </c>
      <c r="H127" s="70">
        <f t="shared" si="31"/>
        <v>1.4208993752915582</v>
      </c>
      <c r="I127" s="68">
        <f t="shared" si="21"/>
        <v>6.2674552672885811E-2</v>
      </c>
      <c r="J127" s="68">
        <f t="shared" si="22"/>
        <v>7.7673007324465818E-2</v>
      </c>
      <c r="K127" s="70">
        <f t="shared" si="32"/>
        <v>3.5641023392963547</v>
      </c>
      <c r="L127" s="68">
        <f t="shared" si="33"/>
        <v>3.5641023392963547</v>
      </c>
      <c r="X127" s="21"/>
      <c r="Z127" s="21"/>
      <c r="AA127" s="64">
        <v>110</v>
      </c>
      <c r="AB127" s="94">
        <f t="shared" si="24"/>
        <v>1245</v>
      </c>
      <c r="AD127" s="68">
        <f t="shared" si="18"/>
        <v>1.5686958686539973</v>
      </c>
      <c r="AE127" s="68">
        <f t="shared" si="25"/>
        <v>1.4568924697790078</v>
      </c>
      <c r="AF127" s="68">
        <f t="shared" si="26"/>
        <v>5.8359410858085055E-2</v>
      </c>
      <c r="AG127" s="68">
        <f t="shared" si="27"/>
        <v>7.2573032498961743E-2</v>
      </c>
    </row>
    <row r="128" spans="2:33" x14ac:dyDescent="0.3">
      <c r="B128" s="22"/>
      <c r="D128" s="64">
        <v>110</v>
      </c>
      <c r="E128" s="94">
        <f t="shared" si="29"/>
        <v>1245</v>
      </c>
      <c r="G128" s="68">
        <f t="shared" si="30"/>
        <v>1.5686958686539973</v>
      </c>
      <c r="H128" s="70">
        <f t="shared" si="31"/>
        <v>1.4568924697790078</v>
      </c>
      <c r="I128" s="68">
        <f t="shared" si="21"/>
        <v>5.8359410858085055E-2</v>
      </c>
      <c r="J128" s="68">
        <f t="shared" si="22"/>
        <v>7.2573032498961743E-2</v>
      </c>
      <c r="K128" s="70">
        <f t="shared" si="32"/>
        <v>3.2904095327918697</v>
      </c>
      <c r="L128" s="68">
        <f t="shared" si="33"/>
        <v>3.2904095327918697</v>
      </c>
      <c r="X128" s="21"/>
      <c r="Z128" s="21"/>
      <c r="AA128" s="64">
        <v>111</v>
      </c>
      <c r="AB128" s="94">
        <f t="shared" si="24"/>
        <v>1250</v>
      </c>
      <c r="AD128" s="68">
        <f t="shared" si="18"/>
        <v>1.6045447018546788</v>
      </c>
      <c r="AE128" s="68">
        <f t="shared" si="25"/>
        <v>1.4927413029796892</v>
      </c>
      <c r="AF128" s="68">
        <f t="shared" si="26"/>
        <v>5.4297019663083271E-2</v>
      </c>
      <c r="AG128" s="68">
        <f t="shared" si="27"/>
        <v>6.7752458640840216E-2</v>
      </c>
    </row>
    <row r="129" spans="2:33" x14ac:dyDescent="0.3">
      <c r="B129" s="22"/>
      <c r="D129" s="64">
        <v>111</v>
      </c>
      <c r="E129" s="94">
        <f t="shared" si="29"/>
        <v>1250</v>
      </c>
      <c r="G129" s="68">
        <f t="shared" si="30"/>
        <v>1.6045447018546788</v>
      </c>
      <c r="H129" s="70">
        <f t="shared" si="31"/>
        <v>1.4927413029796892</v>
      </c>
      <c r="I129" s="68">
        <f t="shared" si="21"/>
        <v>5.4297019663083271E-2</v>
      </c>
      <c r="J129" s="68">
        <f t="shared" si="22"/>
        <v>6.7752458640840216E-2</v>
      </c>
      <c r="K129" s="70">
        <f t="shared" si="32"/>
        <v>3.0356633926948717</v>
      </c>
      <c r="L129" s="68">
        <f t="shared" si="33"/>
        <v>3.0356633926948717</v>
      </c>
      <c r="X129" s="21"/>
      <c r="Z129" s="21"/>
      <c r="AA129" s="64">
        <v>112</v>
      </c>
      <c r="AB129" s="94">
        <f t="shared" si="24"/>
        <v>1255</v>
      </c>
      <c r="AD129" s="68">
        <f t="shared" si="18"/>
        <v>1.6402504255599208</v>
      </c>
      <c r="AE129" s="68">
        <f t="shared" si="25"/>
        <v>1.5284470266849313</v>
      </c>
      <c r="AF129" s="68">
        <f t="shared" si="26"/>
        <v>5.0476554304296914E-2</v>
      </c>
      <c r="AG129" s="68">
        <f t="shared" si="27"/>
        <v>6.320079321575893E-2</v>
      </c>
    </row>
    <row r="130" spans="2:33" x14ac:dyDescent="0.3">
      <c r="B130" s="22"/>
      <c r="D130" s="64">
        <v>112</v>
      </c>
      <c r="E130" s="94">
        <f t="shared" si="29"/>
        <v>1255</v>
      </c>
      <c r="G130" s="68">
        <f t="shared" si="30"/>
        <v>1.6402504255599208</v>
      </c>
      <c r="H130" s="70">
        <f t="shared" si="31"/>
        <v>1.5284470266849313</v>
      </c>
      <c r="I130" s="68">
        <f t="shared" si="21"/>
        <v>5.0476554304296914E-2</v>
      </c>
      <c r="J130" s="68">
        <f t="shared" si="22"/>
        <v>6.320079321575893E-2</v>
      </c>
      <c r="K130" s="70">
        <f t="shared" si="32"/>
        <v>2.798744948209837</v>
      </c>
      <c r="L130" s="68">
        <f t="shared" si="33"/>
        <v>2.798744948209837</v>
      </c>
      <c r="X130" s="21"/>
      <c r="Z130" s="21"/>
      <c r="AA130" s="64">
        <v>113</v>
      </c>
      <c r="AB130" s="94">
        <f t="shared" si="24"/>
        <v>1260</v>
      </c>
      <c r="AD130" s="68">
        <f t="shared" si="18"/>
        <v>1.6758141778219193</v>
      </c>
      <c r="AE130" s="68">
        <f t="shared" si="25"/>
        <v>1.5640107789469297</v>
      </c>
      <c r="AF130" s="68">
        <f t="shared" si="26"/>
        <v>4.6887298085079111E-2</v>
      </c>
      <c r="AG130" s="68">
        <f t="shared" si="27"/>
        <v>5.8907518541830267E-2</v>
      </c>
    </row>
    <row r="131" spans="2:33" x14ac:dyDescent="0.3">
      <c r="B131" s="22"/>
      <c r="D131" s="64">
        <v>113</v>
      </c>
      <c r="E131" s="94">
        <f t="shared" si="29"/>
        <v>1260</v>
      </c>
      <c r="G131" s="68">
        <f t="shared" si="30"/>
        <v>1.6758141778219193</v>
      </c>
      <c r="H131" s="70">
        <f t="shared" si="31"/>
        <v>1.5640107789469297</v>
      </c>
      <c r="I131" s="68">
        <f t="shared" si="21"/>
        <v>4.6887298085079111E-2</v>
      </c>
      <c r="J131" s="68">
        <f t="shared" si="22"/>
        <v>5.8907518541830267E-2</v>
      </c>
      <c r="K131" s="70">
        <f t="shared" si="32"/>
        <v>2.5785839714487793</v>
      </c>
      <c r="L131" s="68">
        <f t="shared" si="33"/>
        <v>2.5785839714487793</v>
      </c>
      <c r="X131" s="21"/>
      <c r="Z131" s="21"/>
      <c r="AA131" s="64">
        <v>114</v>
      </c>
      <c r="AB131" s="94">
        <f t="shared" si="24"/>
        <v>1265</v>
      </c>
      <c r="AD131" s="68">
        <f t="shared" si="18"/>
        <v>1.7112370831713808</v>
      </c>
      <c r="AE131" s="68">
        <f t="shared" si="25"/>
        <v>1.5994336842963912</v>
      </c>
      <c r="AF131" s="68">
        <f t="shared" si="26"/>
        <v>4.3518677809973899E-2</v>
      </c>
      <c r="AG131" s="68">
        <f t="shared" si="27"/>
        <v>5.4862136374377146E-2</v>
      </c>
    </row>
    <row r="132" spans="2:33" x14ac:dyDescent="0.3">
      <c r="B132" s="22"/>
      <c r="D132" s="64">
        <v>114</v>
      </c>
      <c r="E132" s="94">
        <f t="shared" si="29"/>
        <v>1265</v>
      </c>
      <c r="G132" s="68">
        <f t="shared" si="30"/>
        <v>1.7112370831713808</v>
      </c>
      <c r="H132" s="70">
        <f t="shared" si="31"/>
        <v>1.5994336842963912</v>
      </c>
      <c r="I132" s="68">
        <f t="shared" si="21"/>
        <v>4.3518677809973899E-2</v>
      </c>
      <c r="J132" s="68">
        <f t="shared" si="22"/>
        <v>5.4862136374377146E-2</v>
      </c>
      <c r="K132" s="70">
        <f t="shared" si="32"/>
        <v>2.3741584068952406</v>
      </c>
      <c r="L132" s="68">
        <f t="shared" si="33"/>
        <v>2.3741584068952406</v>
      </c>
      <c r="X132" s="21"/>
      <c r="Z132" s="21"/>
      <c r="AA132" s="64">
        <v>115</v>
      </c>
      <c r="AB132" s="94">
        <f t="shared" si="24"/>
        <v>1270</v>
      </c>
      <c r="AD132" s="68">
        <f t="shared" si="18"/>
        <v>1.7465202528308936</v>
      </c>
      <c r="AE132" s="68">
        <f t="shared" si="25"/>
        <v>1.634716853955904</v>
      </c>
      <c r="AF132" s="68">
        <f t="shared" si="26"/>
        <v>4.036029548284685E-2</v>
      </c>
      <c r="AG132" s="68">
        <f t="shared" si="27"/>
        <v>5.1054208852439109E-2</v>
      </c>
    </row>
    <row r="133" spans="2:33" x14ac:dyDescent="0.3">
      <c r="B133" s="22"/>
      <c r="D133" s="64">
        <v>115</v>
      </c>
      <c r="E133" s="94">
        <f t="shared" si="29"/>
        <v>1270</v>
      </c>
      <c r="G133" s="68">
        <f t="shared" si="30"/>
        <v>1.7465202528308936</v>
      </c>
      <c r="H133" s="70">
        <f t="shared" si="31"/>
        <v>1.634716853955904</v>
      </c>
      <c r="I133" s="68">
        <f t="shared" si="21"/>
        <v>4.036029548284685E-2</v>
      </c>
      <c r="J133" s="68">
        <f t="shared" si="22"/>
        <v>5.1054208852439109E-2</v>
      </c>
      <c r="K133" s="70">
        <f t="shared" si="32"/>
        <v>2.1844936490931346</v>
      </c>
      <c r="L133" s="68">
        <f t="shared" si="33"/>
        <v>2.1844936490931346</v>
      </c>
      <c r="X133" s="21"/>
      <c r="Z133" s="21"/>
      <c r="AA133" s="64">
        <v>116</v>
      </c>
      <c r="AB133" s="94">
        <f t="shared" si="24"/>
        <v>1275</v>
      </c>
      <c r="AD133" s="68">
        <f t="shared" si="18"/>
        <v>1.7816647849240808</v>
      </c>
      <c r="AE133" s="68">
        <f t="shared" si="25"/>
        <v>1.6698613860490912</v>
      </c>
      <c r="AF133" s="68">
        <f t="shared" si="26"/>
        <v>3.7401956404135406E-2</v>
      </c>
      <c r="AG133" s="68">
        <f t="shared" si="27"/>
        <v>4.7473395840485468E-2</v>
      </c>
    </row>
    <row r="134" spans="2:33" x14ac:dyDescent="0.3">
      <c r="B134" s="22"/>
      <c r="D134" s="64">
        <v>116</v>
      </c>
      <c r="E134" s="94">
        <f t="shared" si="29"/>
        <v>1275</v>
      </c>
      <c r="G134" s="68">
        <f t="shared" si="30"/>
        <v>1.7816647849240808</v>
      </c>
      <c r="H134" s="70">
        <f t="shared" si="31"/>
        <v>1.6698613860490912</v>
      </c>
      <c r="I134" s="68">
        <f t="shared" si="21"/>
        <v>3.7401956404135406E-2</v>
      </c>
      <c r="J134" s="68">
        <f t="shared" si="22"/>
        <v>4.7473395840485468E-2</v>
      </c>
      <c r="K134" s="70">
        <f t="shared" si="32"/>
        <v>2.0086616851200461</v>
      </c>
      <c r="L134" s="68">
        <f t="shared" si="33"/>
        <v>2.0086616851200461</v>
      </c>
      <c r="X134" s="21"/>
      <c r="Z134" s="21"/>
      <c r="AA134" s="64">
        <v>117</v>
      </c>
      <c r="AB134" s="94">
        <f t="shared" si="24"/>
        <v>1280</v>
      </c>
      <c r="AD134" s="68">
        <f t="shared" si="18"/>
        <v>1.816671764680686</v>
      </c>
      <c r="AE134" s="68">
        <f t="shared" si="25"/>
        <v>1.7048683658056965</v>
      </c>
      <c r="AF134" s="68">
        <f t="shared" si="26"/>
        <v>3.4633693800795312E-2</v>
      </c>
      <c r="AG134" s="68">
        <f t="shared" si="27"/>
        <v>4.4109488724905402E-2</v>
      </c>
    </row>
    <row r="135" spans="2:33" x14ac:dyDescent="0.3">
      <c r="B135" s="22"/>
      <c r="D135" s="64">
        <v>117</v>
      </c>
      <c r="E135" s="94">
        <f t="shared" si="29"/>
        <v>1280</v>
      </c>
      <c r="G135" s="68">
        <f t="shared" si="30"/>
        <v>1.816671764680686</v>
      </c>
      <c r="H135" s="70">
        <f t="shared" si="31"/>
        <v>1.7048683658056965</v>
      </c>
      <c r="I135" s="68">
        <f t="shared" si="21"/>
        <v>3.4633693800795312E-2</v>
      </c>
      <c r="J135" s="68">
        <f t="shared" si="22"/>
        <v>4.4109488724905402E-2</v>
      </c>
      <c r="K135" s="70">
        <f t="shared" si="32"/>
        <v>1.8457801178401496</v>
      </c>
      <c r="L135" s="68">
        <f t="shared" si="33"/>
        <v>1.8457801178401496</v>
      </c>
      <c r="X135" s="21"/>
      <c r="Z135" s="21"/>
      <c r="AA135" s="64">
        <v>118</v>
      </c>
      <c r="AB135" s="94">
        <f t="shared" si="24"/>
        <v>1285</v>
      </c>
      <c r="AD135" s="68">
        <f t="shared" si="18"/>
        <v>1.8515422646376365</v>
      </c>
      <c r="AE135" s="68">
        <f t="shared" si="25"/>
        <v>1.7397388657626469</v>
      </c>
      <c r="AF135" s="68">
        <f t="shared" si="26"/>
        <v>3.2045790137763874E-2</v>
      </c>
      <c r="AG135" s="68">
        <f t="shared" si="27"/>
        <v>4.0952440747888744E-2</v>
      </c>
    </row>
    <row r="136" spans="2:33" x14ac:dyDescent="0.3">
      <c r="B136" s="22"/>
      <c r="D136" s="64">
        <v>118</v>
      </c>
      <c r="E136" s="94">
        <f t="shared" si="29"/>
        <v>1285</v>
      </c>
      <c r="G136" s="68">
        <f t="shared" si="30"/>
        <v>1.8515422646376365</v>
      </c>
      <c r="H136" s="70">
        <f t="shared" si="31"/>
        <v>1.7397388657626469</v>
      </c>
      <c r="I136" s="68">
        <f t="shared" si="21"/>
        <v>3.2045790137763874E-2</v>
      </c>
      <c r="J136" s="68">
        <f t="shared" si="22"/>
        <v>4.0952440747888744E-2</v>
      </c>
      <c r="K136" s="70">
        <f t="shared" si="32"/>
        <v>1.6950110852920304</v>
      </c>
      <c r="L136" s="68">
        <f t="shared" si="33"/>
        <v>1.6950110852920304</v>
      </c>
      <c r="X136" s="21"/>
      <c r="Z136" s="21"/>
      <c r="AA136" s="64">
        <v>119</v>
      </c>
      <c r="AB136" s="94">
        <f t="shared" si="24"/>
        <v>1290</v>
      </c>
      <c r="AD136" s="68">
        <f t="shared" si="18"/>
        <v>1.8862773448362264</v>
      </c>
      <c r="AE136" s="68">
        <f t="shared" si="25"/>
        <v>1.7744739459612369</v>
      </c>
      <c r="AF136" s="68">
        <f t="shared" si="26"/>
        <v>2.962879527204423E-2</v>
      </c>
      <c r="AG136" s="68">
        <f t="shared" si="27"/>
        <v>3.7992393981307881E-2</v>
      </c>
    </row>
    <row r="137" spans="2:33" x14ac:dyDescent="0.3">
      <c r="B137" s="22"/>
      <c r="D137" s="64">
        <v>119</v>
      </c>
      <c r="E137" s="94">
        <f t="shared" si="29"/>
        <v>1290</v>
      </c>
      <c r="G137" s="68">
        <f t="shared" si="30"/>
        <v>1.8862773448362264</v>
      </c>
      <c r="H137" s="70">
        <f t="shared" si="31"/>
        <v>1.7744739459612369</v>
      </c>
      <c r="I137" s="68">
        <f t="shared" si="21"/>
        <v>2.962879527204423E-2</v>
      </c>
      <c r="J137" s="68">
        <f t="shared" si="22"/>
        <v>3.7992393981307881E-2</v>
      </c>
      <c r="K137" s="70">
        <f t="shared" si="32"/>
        <v>1.5555600908642973</v>
      </c>
      <c r="L137" s="68">
        <f t="shared" si="33"/>
        <v>1.5555600908642973</v>
      </c>
      <c r="X137" s="21"/>
      <c r="Z137" s="21"/>
      <c r="AA137" s="64">
        <v>120</v>
      </c>
      <c r="AB137" s="94">
        <f t="shared" si="24"/>
        <v>1295</v>
      </c>
      <c r="AD137" s="68">
        <f t="shared" si="18"/>
        <v>1.9208780530154625</v>
      </c>
      <c r="AE137" s="68">
        <f t="shared" si="25"/>
        <v>1.809074654140473</v>
      </c>
      <c r="AF137" s="68">
        <f t="shared" si="26"/>
        <v>2.7373541620053843E-2</v>
      </c>
      <c r="AG137" s="68">
        <f t="shared" si="27"/>
        <v>3.5219703060302289E-2</v>
      </c>
    </row>
    <row r="138" spans="2:33" x14ac:dyDescent="0.3">
      <c r="B138" s="22"/>
      <c r="D138" s="64">
        <v>120</v>
      </c>
      <c r="E138" s="94">
        <f t="shared" si="29"/>
        <v>1295</v>
      </c>
      <c r="G138" s="68">
        <f t="shared" si="30"/>
        <v>1.9208780530154625</v>
      </c>
      <c r="H138" s="70">
        <f t="shared" si="31"/>
        <v>1.809074654140473</v>
      </c>
      <c r="I138" s="68">
        <f t="shared" si="21"/>
        <v>2.7373541620053843E-2</v>
      </c>
      <c r="J138" s="68">
        <f t="shared" si="22"/>
        <v>3.5219703060302289E-2</v>
      </c>
      <c r="K138" s="70">
        <f t="shared" si="32"/>
        <v>1.4266747581611199</v>
      </c>
      <c r="L138" s="68">
        <f t="shared" si="33"/>
        <v>1.4266747581611199</v>
      </c>
      <c r="X138" s="21"/>
      <c r="Z138" s="21"/>
      <c r="AA138" s="65">
        <v>121</v>
      </c>
      <c r="AB138" s="94">
        <f t="shared" si="24"/>
        <v>1300</v>
      </c>
      <c r="AD138" s="69">
        <f t="shared" si="18"/>
        <v>1.9553454248017073</v>
      </c>
      <c r="AE138" s="68">
        <f t="shared" si="25"/>
        <v>1.8435420259267177</v>
      </c>
      <c r="AF138" s="69">
        <f t="shared" si="26"/>
        <v>2.5271156515841442E-2</v>
      </c>
      <c r="AG138" s="69">
        <f t="shared" si="27"/>
        <v>3.2624955810538189E-2</v>
      </c>
    </row>
    <row r="139" spans="2:33" x14ac:dyDescent="0.3">
      <c r="B139" s="22"/>
      <c r="D139" s="65">
        <v>121</v>
      </c>
      <c r="E139" s="238">
        <f t="shared" si="29"/>
        <v>1300</v>
      </c>
      <c r="G139" s="69">
        <f t="shared" si="30"/>
        <v>1.9553454248017073</v>
      </c>
      <c r="H139" s="69">
        <f t="shared" si="31"/>
        <v>1.8435420259267177</v>
      </c>
      <c r="I139" s="69">
        <f t="shared" si="21"/>
        <v>2.5271156515841442E-2</v>
      </c>
      <c r="J139" s="69">
        <f t="shared" si="22"/>
        <v>3.2624955810538189E-2</v>
      </c>
      <c r="K139" s="69">
        <f t="shared" si="32"/>
        <v>1.3076435236699098</v>
      </c>
      <c r="L139" s="69">
        <f t="shared" si="33"/>
        <v>1.3076435236699098</v>
      </c>
      <c r="X139" s="21"/>
    </row>
    <row r="140" spans="2:33" x14ac:dyDescent="0.3">
      <c r="B140" s="22"/>
      <c r="X140" s="21"/>
    </row>
    <row r="141" spans="2:33" ht="15.6" thickBot="1" x14ac:dyDescent="0.35">
      <c r="B141" s="27"/>
      <c r="C141" s="28"/>
      <c r="D141" s="28"/>
      <c r="E141" s="28"/>
      <c r="F141" s="28"/>
      <c r="G141" s="28"/>
      <c r="H141" s="28"/>
      <c r="I141" s="28"/>
      <c r="J141" s="28"/>
      <c r="K141" s="28"/>
      <c r="L141" s="28"/>
      <c r="M141" s="28"/>
      <c r="N141" s="28"/>
      <c r="O141" s="28"/>
      <c r="P141" s="28"/>
      <c r="Q141" s="28"/>
      <c r="R141" s="28"/>
      <c r="S141" s="28"/>
      <c r="T141" s="28"/>
      <c r="U141" s="28"/>
      <c r="V141" s="28"/>
      <c r="W141" s="28"/>
      <c r="X141" s="29"/>
    </row>
    <row r="142" spans="2:33" ht="18" x14ac:dyDescent="0.45">
      <c r="N142"/>
      <c r="O142"/>
      <c r="P142"/>
      <c r="Q142"/>
      <c r="R142"/>
      <c r="S142"/>
      <c r="T142"/>
      <c r="U142"/>
      <c r="V142"/>
      <c r="W142"/>
      <c r="X142"/>
      <c r="Y142"/>
    </row>
    <row r="143" spans="2:33" ht="18" hidden="1" x14ac:dyDescent="0.45">
      <c r="N143"/>
      <c r="O143"/>
      <c r="P143"/>
      <c r="Q143"/>
      <c r="R143"/>
      <c r="S143"/>
      <c r="T143"/>
      <c r="U143"/>
      <c r="V143"/>
      <c r="W143"/>
      <c r="X143"/>
      <c r="Y143"/>
    </row>
  </sheetData>
  <mergeCells count="3">
    <mergeCell ref="N38:W41"/>
    <mergeCell ref="N43:W46"/>
    <mergeCell ref="N48:W51"/>
  </mergeCells>
  <phoneticPr fontId="5"/>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P159"/>
  <sheetViews>
    <sheetView showGridLines="0" zoomScaleNormal="100" workbookViewId="0">
      <selection activeCell="N33" sqref="N33:N34"/>
    </sheetView>
  </sheetViews>
  <sheetFormatPr defaultColWidth="0" defaultRowHeight="15" zeroHeight="1" x14ac:dyDescent="0.3"/>
  <cols>
    <col min="1" max="3" width="2.59765625" style="4" customWidth="1"/>
    <col min="4" max="6" width="9" style="4" customWidth="1"/>
    <col min="7" max="7" width="1.59765625" style="4" customWidth="1"/>
    <col min="8" max="12" width="9" style="4" customWidth="1"/>
    <col min="13" max="13" width="2.59765625" style="4" customWidth="1"/>
    <col min="14" max="16" width="9" style="4" customWidth="1"/>
    <col min="17" max="17" width="1.59765625" style="4" customWidth="1"/>
    <col min="18" max="22" width="9" style="4" customWidth="1"/>
    <col min="23" max="23" width="2.59765625" style="4" customWidth="1"/>
    <col min="24" max="26" width="9" style="4" customWidth="1"/>
    <col min="27" max="27" width="1.59765625" style="4" customWidth="1"/>
    <col min="28" max="32" width="9" style="4" customWidth="1"/>
    <col min="33" max="34" width="2.59765625" style="4" customWidth="1"/>
    <col min="35" max="42" width="0" style="4" hidden="1" customWidth="1"/>
    <col min="43" max="16384" width="9" style="4" hidden="1"/>
  </cols>
  <sheetData>
    <row r="1" spans="2:33" ht="15.6" thickBot="1" x14ac:dyDescent="0.35"/>
    <row r="2" spans="2:33" ht="15.6" thickBot="1" x14ac:dyDescent="0.35">
      <c r="B2" s="16"/>
      <c r="C2" s="17"/>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9"/>
    </row>
    <row r="3" spans="2:33" x14ac:dyDescent="0.3">
      <c r="B3" s="20"/>
      <c r="C3" s="6" t="s">
        <v>35</v>
      </c>
      <c r="D3" s="7"/>
      <c r="E3" s="7"/>
      <c r="F3" s="7"/>
      <c r="G3" s="7"/>
      <c r="H3" s="7"/>
      <c r="I3" s="7"/>
      <c r="J3" s="7"/>
      <c r="K3" s="7"/>
      <c r="L3" s="7"/>
      <c r="M3" s="7"/>
      <c r="N3" s="7"/>
      <c r="O3" s="7"/>
      <c r="P3" s="7"/>
      <c r="Q3" s="7"/>
      <c r="R3" s="7"/>
      <c r="S3" s="8"/>
      <c r="AG3" s="21"/>
    </row>
    <row r="4" spans="2:33" x14ac:dyDescent="0.3">
      <c r="B4" s="20"/>
      <c r="C4" s="9"/>
      <c r="D4" s="10" t="s">
        <v>36</v>
      </c>
      <c r="E4" s="10"/>
      <c r="F4" s="10"/>
      <c r="G4" s="10"/>
      <c r="H4" s="10"/>
      <c r="I4" s="10"/>
      <c r="J4" s="10"/>
      <c r="K4" s="10"/>
      <c r="L4" s="10"/>
      <c r="M4" s="10"/>
      <c r="N4" s="10"/>
      <c r="O4" s="10"/>
      <c r="P4" s="10"/>
      <c r="Q4" s="10"/>
      <c r="R4" s="10"/>
      <c r="S4" s="11"/>
      <c r="AG4" s="21"/>
    </row>
    <row r="5" spans="2:33" x14ac:dyDescent="0.3">
      <c r="B5" s="20"/>
      <c r="C5" s="9"/>
      <c r="D5" s="10" t="s">
        <v>37</v>
      </c>
      <c r="E5" s="10"/>
      <c r="F5" s="10"/>
      <c r="G5" s="10"/>
      <c r="H5" s="10"/>
      <c r="I5" s="10"/>
      <c r="J5" s="10"/>
      <c r="K5" s="10"/>
      <c r="L5" s="10"/>
      <c r="M5" s="10"/>
      <c r="N5" s="10"/>
      <c r="O5" s="10"/>
      <c r="P5" s="10"/>
      <c r="Q5" s="10"/>
      <c r="R5" s="10"/>
      <c r="S5" s="11"/>
      <c r="AG5" s="21"/>
    </row>
    <row r="6" spans="2:33" ht="15.6" thickBot="1" x14ac:dyDescent="0.35">
      <c r="B6" s="20"/>
      <c r="C6" s="12"/>
      <c r="D6" s="13" t="s">
        <v>38</v>
      </c>
      <c r="E6" s="13"/>
      <c r="F6" s="13"/>
      <c r="G6" s="13"/>
      <c r="H6" s="13"/>
      <c r="I6" s="13"/>
      <c r="J6" s="13"/>
      <c r="K6" s="13"/>
      <c r="L6" s="13"/>
      <c r="M6" s="13"/>
      <c r="N6" s="13"/>
      <c r="O6" s="13"/>
      <c r="P6" s="13"/>
      <c r="Q6" s="13"/>
      <c r="R6" s="13"/>
      <c r="S6" s="14"/>
      <c r="AG6" s="21"/>
    </row>
    <row r="7" spans="2:33" x14ac:dyDescent="0.3">
      <c r="B7" s="22"/>
      <c r="C7" s="15"/>
      <c r="D7" s="15"/>
      <c r="E7" s="15"/>
      <c r="F7" s="15"/>
      <c r="G7" s="15"/>
      <c r="H7" s="15"/>
      <c r="I7" s="15"/>
      <c r="J7" s="15"/>
      <c r="K7" s="15"/>
      <c r="L7" s="15"/>
      <c r="M7" s="15"/>
      <c r="N7" s="15"/>
      <c r="AG7" s="21"/>
    </row>
    <row r="8" spans="2:33" ht="18" x14ac:dyDescent="0.45">
      <c r="B8" s="22"/>
      <c r="C8" s="86" t="s">
        <v>39</v>
      </c>
      <c r="D8" s="15"/>
      <c r="E8" s="15"/>
      <c r="F8" s="15"/>
      <c r="G8" s="15"/>
      <c r="H8" s="15"/>
      <c r="I8" s="15"/>
      <c r="J8"/>
      <c r="K8"/>
      <c r="L8"/>
      <c r="M8"/>
      <c r="N8" s="15"/>
      <c r="AG8" s="21"/>
    </row>
    <row r="9" spans="2:33" ht="18" x14ac:dyDescent="0.45">
      <c r="B9" s="22"/>
      <c r="C9" s="3"/>
      <c r="D9" s="75" t="s">
        <v>40</v>
      </c>
      <c r="E9" s="76" t="s">
        <v>41</v>
      </c>
      <c r="F9" s="76"/>
      <c r="G9" s="219"/>
      <c r="H9" s="82">
        <v>1000</v>
      </c>
      <c r="J9"/>
      <c r="K9"/>
      <c r="L9"/>
      <c r="M9"/>
      <c r="AG9" s="21"/>
    </row>
    <row r="10" spans="2:33" ht="18" x14ac:dyDescent="0.45">
      <c r="B10" s="22"/>
      <c r="C10" s="3"/>
      <c r="D10" s="77" t="s">
        <v>10</v>
      </c>
      <c r="E10" s="57" t="s">
        <v>11</v>
      </c>
      <c r="F10" s="57"/>
      <c r="G10" s="220"/>
      <c r="H10" s="83">
        <v>0.03</v>
      </c>
      <c r="J10"/>
      <c r="K10"/>
      <c r="L10"/>
      <c r="M10"/>
      <c r="AG10" s="21"/>
    </row>
    <row r="11" spans="2:33" ht="18" x14ac:dyDescent="0.45">
      <c r="B11" s="22"/>
      <c r="D11" s="77" t="s">
        <v>12</v>
      </c>
      <c r="E11" s="57" t="s">
        <v>13</v>
      </c>
      <c r="F11" s="57"/>
      <c r="G11" s="220"/>
      <c r="H11" s="83">
        <v>7.5000026668333664E-2</v>
      </c>
      <c r="J11"/>
      <c r="K11"/>
      <c r="L11"/>
      <c r="M11"/>
      <c r="AG11" s="21"/>
    </row>
    <row r="12" spans="2:33" ht="18" x14ac:dyDescent="0.45">
      <c r="B12" s="22"/>
      <c r="D12" s="77" t="s">
        <v>14</v>
      </c>
      <c r="E12" s="57" t="s">
        <v>15</v>
      </c>
      <c r="F12" s="57"/>
      <c r="G12" s="220"/>
      <c r="H12" s="83">
        <v>0.02</v>
      </c>
      <c r="J12"/>
      <c r="K12"/>
      <c r="L12"/>
      <c r="M12"/>
      <c r="AG12" s="21"/>
    </row>
    <row r="13" spans="2:33" ht="18" x14ac:dyDescent="0.45">
      <c r="B13" s="22"/>
      <c r="D13" s="77" t="s">
        <v>18</v>
      </c>
      <c r="E13" s="58" t="s">
        <v>19</v>
      </c>
      <c r="F13" s="58"/>
      <c r="G13" s="221"/>
      <c r="H13" s="84">
        <v>1000</v>
      </c>
      <c r="J13"/>
      <c r="K13"/>
      <c r="L13"/>
      <c r="M13"/>
      <c r="AG13" s="21"/>
    </row>
    <row r="14" spans="2:33" x14ac:dyDescent="0.3">
      <c r="B14" s="22"/>
      <c r="D14" s="79" t="s">
        <v>42</v>
      </c>
      <c r="E14" s="80" t="s">
        <v>17</v>
      </c>
      <c r="F14" s="80"/>
      <c r="G14" s="222"/>
      <c r="H14" s="85">
        <v>5</v>
      </c>
      <c r="AG14" s="21"/>
    </row>
    <row r="15" spans="2:33" x14ac:dyDescent="0.3">
      <c r="B15" s="22"/>
      <c r="AG15" s="21"/>
    </row>
    <row r="16" spans="2:33" ht="15.6" thickBot="1" x14ac:dyDescent="0.35">
      <c r="B16" s="22"/>
      <c r="C16" s="87" t="s">
        <v>43</v>
      </c>
      <c r="D16" s="88" t="s">
        <v>44</v>
      </c>
      <c r="H16" s="4" t="s">
        <v>45</v>
      </c>
      <c r="M16" s="87" t="s">
        <v>46</v>
      </c>
      <c r="N16" s="88" t="s">
        <v>47</v>
      </c>
      <c r="R16" s="4" t="s">
        <v>45</v>
      </c>
      <c r="W16" s="87" t="s">
        <v>46</v>
      </c>
      <c r="X16" s="88" t="s">
        <v>48</v>
      </c>
      <c r="AB16" s="4" t="s">
        <v>45</v>
      </c>
      <c r="AG16" s="21"/>
    </row>
    <row r="17" spans="2:33" ht="18" x14ac:dyDescent="0.45">
      <c r="B17" s="22"/>
      <c r="D17" s="59" t="s">
        <v>49</v>
      </c>
      <c r="E17" s="60" t="s">
        <v>50</v>
      </c>
      <c r="F17" s="223" t="s">
        <v>51</v>
      </c>
      <c r="G17"/>
      <c r="H17" s="242"/>
      <c r="I17" s="243"/>
      <c r="J17" s="243"/>
      <c r="K17" s="243"/>
      <c r="L17" s="244"/>
      <c r="N17" s="59" t="s">
        <v>49</v>
      </c>
      <c r="O17" s="60" t="s">
        <v>50</v>
      </c>
      <c r="P17" s="223" t="s">
        <v>51</v>
      </c>
      <c r="Q17"/>
      <c r="R17" s="242"/>
      <c r="S17" s="243"/>
      <c r="T17" s="243"/>
      <c r="U17" s="243"/>
      <c r="V17" s="244"/>
      <c r="X17" s="59" t="s">
        <v>49</v>
      </c>
      <c r="Y17" s="60" t="s">
        <v>50</v>
      </c>
      <c r="Z17" s="223" t="s">
        <v>51</v>
      </c>
      <c r="AA17"/>
      <c r="AB17" s="242"/>
      <c r="AC17" s="243"/>
      <c r="AD17" s="243"/>
      <c r="AE17" s="243"/>
      <c r="AF17" s="244"/>
      <c r="AG17" s="21"/>
    </row>
    <row r="18" spans="2:33" ht="18.600000000000001" thickBot="1" x14ac:dyDescent="0.5">
      <c r="B18" s="22"/>
      <c r="D18" s="61" t="s">
        <v>52</v>
      </c>
      <c r="E18" s="133"/>
      <c r="F18" s="133"/>
      <c r="G18"/>
      <c r="H18" s="245"/>
      <c r="I18" s="246"/>
      <c r="J18" s="246"/>
      <c r="K18" s="246"/>
      <c r="L18" s="247"/>
      <c r="N18" s="61" t="s">
        <v>53</v>
      </c>
      <c r="O18" s="134"/>
      <c r="P18" s="134"/>
      <c r="Q18"/>
      <c r="R18" s="248"/>
      <c r="S18" s="249"/>
      <c r="T18" s="249"/>
      <c r="U18" s="249"/>
      <c r="V18" s="250"/>
      <c r="X18" s="61"/>
      <c r="Y18" s="134"/>
      <c r="Z18" s="134"/>
      <c r="AA18"/>
      <c r="AB18" s="248"/>
      <c r="AC18" s="249"/>
      <c r="AD18" s="249"/>
      <c r="AE18" s="249"/>
      <c r="AF18" s="250"/>
      <c r="AG18" s="21"/>
    </row>
    <row r="19" spans="2:33" ht="6" customHeight="1" thickBot="1" x14ac:dyDescent="0.5">
      <c r="B19" s="22"/>
      <c r="D19" s="5"/>
      <c r="H19" s="248"/>
      <c r="I19" s="249"/>
      <c r="J19" s="249"/>
      <c r="K19" s="249"/>
      <c r="L19" s="250"/>
      <c r="N19" s="5"/>
      <c r="Q19"/>
      <c r="X19" s="5"/>
      <c r="AG19" s="21"/>
    </row>
    <row r="20" spans="2:33" x14ac:dyDescent="0.3">
      <c r="B20" s="22"/>
      <c r="D20" s="62"/>
      <c r="E20" s="63" t="s">
        <v>16</v>
      </c>
      <c r="N20" s="62"/>
      <c r="O20" s="63" t="s">
        <v>54</v>
      </c>
      <c r="X20" s="62"/>
      <c r="Y20" s="63" t="s">
        <v>14</v>
      </c>
      <c r="AG20" s="21"/>
    </row>
    <row r="21" spans="2:33" x14ac:dyDescent="0.3">
      <c r="B21" s="22"/>
      <c r="C21" s="3"/>
      <c r="D21" s="67" t="s">
        <v>23</v>
      </c>
      <c r="E21" s="67" t="s">
        <v>24</v>
      </c>
      <c r="H21" s="71" t="s">
        <v>25</v>
      </c>
      <c r="I21" s="71" t="s">
        <v>26</v>
      </c>
      <c r="J21" s="71" t="s">
        <v>27</v>
      </c>
      <c r="K21" s="71" t="s">
        <v>28</v>
      </c>
      <c r="L21" s="71" t="s">
        <v>55</v>
      </c>
      <c r="N21" s="67" t="s">
        <v>23</v>
      </c>
      <c r="O21" s="67" t="s">
        <v>56</v>
      </c>
      <c r="R21" s="71" t="s">
        <v>25</v>
      </c>
      <c r="S21" s="71" t="s">
        <v>26</v>
      </c>
      <c r="T21" s="71" t="s">
        <v>27</v>
      </c>
      <c r="U21" s="71" t="s">
        <v>28</v>
      </c>
      <c r="V21" s="71" t="s">
        <v>55</v>
      </c>
      <c r="X21" s="67" t="s">
        <v>23</v>
      </c>
      <c r="Y21" s="67" t="s">
        <v>57</v>
      </c>
      <c r="AB21" s="71" t="s">
        <v>25</v>
      </c>
      <c r="AC21" s="71" t="s">
        <v>26</v>
      </c>
      <c r="AD21" s="71" t="s">
        <v>27</v>
      </c>
      <c r="AE21" s="71" t="s">
        <v>28</v>
      </c>
      <c r="AF21" s="71" t="s">
        <v>55</v>
      </c>
      <c r="AG21" s="21"/>
    </row>
    <row r="22" spans="2:33" x14ac:dyDescent="0.3">
      <c r="B22" s="22"/>
      <c r="D22" s="66">
        <v>1</v>
      </c>
      <c r="E22" s="99">
        <f>E18</f>
        <v>0</v>
      </c>
      <c r="H22" s="70" t="e">
        <f>(LN($H$9/$H$13)+($H$10-$H$12+$H$11^2/2)*$E22)/($H$11*SQRT($E22))</f>
        <v>#DIV/0!</v>
      </c>
      <c r="I22" s="70" t="e">
        <f>H22-$H$11*SQRT($E22)</f>
        <v>#DIV/0!</v>
      </c>
      <c r="J22" s="70" t="e">
        <f>_xlfn.NORM.S.DIST(-H22,TRUE)</f>
        <v>#DIV/0!</v>
      </c>
      <c r="K22" s="70" t="e">
        <f>_xlfn.NORM.S.DIST(-I22,TRUE)</f>
        <v>#DIV/0!</v>
      </c>
      <c r="L22" s="70" t="e">
        <f>-EXP(-$H$12*$E22)*$H$9*J22+$H$13*EXP(-$H$10*$E22)*$K$22</f>
        <v>#DIV/0!</v>
      </c>
      <c r="N22" s="66">
        <v>1</v>
      </c>
      <c r="O22" s="74">
        <f>O18</f>
        <v>0</v>
      </c>
      <c r="R22" s="70" t="e">
        <f>(LN($H$9/$H$13)+($H$10-$H$12+O22^2/2)*$H$14)/(O22*SQRT($H$14))</f>
        <v>#DIV/0!</v>
      </c>
      <c r="S22" s="70" t="e">
        <f>R22-O22*SQRT($H$14)</f>
        <v>#DIV/0!</v>
      </c>
      <c r="T22" s="70" t="e">
        <f>_xlfn.NORM.S.DIST(-R22,TRUE)</f>
        <v>#DIV/0!</v>
      </c>
      <c r="U22" s="70" t="e">
        <f>_xlfn.NORM.S.DIST(-S22,TRUE)</f>
        <v>#DIV/0!</v>
      </c>
      <c r="V22" s="70" t="e">
        <f>-EXP(-$H$12*$H$14)*$H$9*T22+$H$13*EXP(-$H$10*$H$14)*U22</f>
        <v>#DIV/0!</v>
      </c>
      <c r="X22" s="66">
        <v>1</v>
      </c>
      <c r="Y22" s="74">
        <f>Y18</f>
        <v>0</v>
      </c>
      <c r="AB22" s="68">
        <f>(LN($H$9/$H$13)+($H$10-$Y22+$H$11^2/2)*$H$14)/($H$11*SQRT($H$14))</f>
        <v>0.97827945193393751</v>
      </c>
      <c r="AC22" s="68">
        <f>AB22-$H$11*SQRT($H$14)</f>
        <v>0.81057429398924641</v>
      </c>
      <c r="AD22" s="68">
        <f>_xlfn.NORM.S.DIST(-AB22,TRUE)</f>
        <v>0.16396806491792684</v>
      </c>
      <c r="AE22" s="68">
        <f>_xlfn.NORM.S.DIST(-AC22,TRUE)</f>
        <v>0.20880509202963629</v>
      </c>
      <c r="AF22" s="68">
        <f>-EXP(-$Y22*$H$14)*$H$9*AD22+$H$13*EXP(-$H$10*$H$14)*AE22</f>
        <v>15.752143310149364</v>
      </c>
      <c r="AG22" s="21"/>
    </row>
    <row r="23" spans="2:33" x14ac:dyDescent="0.3">
      <c r="B23" s="22"/>
      <c r="D23" s="64">
        <v>2</v>
      </c>
      <c r="E23" s="100">
        <f>($F$18-$E$18)/$D$141+E22</f>
        <v>0</v>
      </c>
      <c r="H23" s="68" t="e">
        <f t="shared" ref="H23:H86" si="0">(LN($H$9/$H$13)+($H$10-$H$12+$H$11^2/2)*$E23)/($H$11*SQRT($E23))</f>
        <v>#DIV/0!</v>
      </c>
      <c r="I23" s="68" t="e">
        <f t="shared" ref="I23:I86" si="1">H23-$H$11*SQRT($E23)</f>
        <v>#DIV/0!</v>
      </c>
      <c r="J23" s="68" t="e">
        <f t="shared" ref="J23:J86" si="2">_xlfn.NORM.S.DIST(-H23,TRUE)</f>
        <v>#DIV/0!</v>
      </c>
      <c r="K23" s="68" t="e">
        <f t="shared" ref="K23:K86" si="3">_xlfn.NORM.S.DIST(-I23,TRUE)</f>
        <v>#DIV/0!</v>
      </c>
      <c r="L23" s="68" t="e">
        <f t="shared" ref="L23:L86" si="4">-EXP(-$H$12*$E23)*$H$9*J23+$H$13*EXP(-$H$10*$E23)*$K$22</f>
        <v>#DIV/0!</v>
      </c>
      <c r="N23" s="64">
        <v>2</v>
      </c>
      <c r="O23" s="72">
        <f>($P$18-$O$18)/$D$141+O22</f>
        <v>0</v>
      </c>
      <c r="R23" s="68" t="e">
        <f t="shared" ref="R23:R86" si="5">(LN($H$9/$H$13)+($H$10-$H$12+O23^2/2)*$H$14)/(O23*SQRT($H$14))</f>
        <v>#DIV/0!</v>
      </c>
      <c r="S23" s="68" t="e">
        <f t="shared" ref="S23:S86" si="6">R23-O23*SQRT($H$14)</f>
        <v>#DIV/0!</v>
      </c>
      <c r="T23" s="68" t="e">
        <f t="shared" ref="T23:T86" si="7">_xlfn.NORM.S.DIST(-R23,TRUE)</f>
        <v>#DIV/0!</v>
      </c>
      <c r="U23" s="68" t="e">
        <f t="shared" ref="U23:U86" si="8">_xlfn.NORM.S.DIST(-S23,TRUE)</f>
        <v>#DIV/0!</v>
      </c>
      <c r="V23" s="68" t="e">
        <f t="shared" ref="V23:V86" si="9">-EXP(-$H$12*$H$14)*$H$9*T23+$H$13*EXP(-$H$10*$H$14)*U23</f>
        <v>#DIV/0!</v>
      </c>
      <c r="X23" s="64">
        <v>2</v>
      </c>
      <c r="Y23" s="72">
        <f>($Z$18-$Y$18)/$D$141+Y22</f>
        <v>0</v>
      </c>
      <c r="AB23" s="68">
        <f t="shared" ref="AB23:AB86" si="10">(LN($H$9/$H$13)+($H$10-$Y23+$H$11^2/2)*$H$14)/($H$11*SQRT($H$14))</f>
        <v>0.97827945193393751</v>
      </c>
      <c r="AC23" s="68">
        <f t="shared" ref="AC23:AC86" si="11">AB23-$H$11*SQRT($H$14)</f>
        <v>0.81057429398924641</v>
      </c>
      <c r="AD23" s="68">
        <f t="shared" ref="AD23:AD86" si="12">_xlfn.NORM.S.DIST(-AB23,TRUE)</f>
        <v>0.16396806491792684</v>
      </c>
      <c r="AE23" s="68">
        <f t="shared" ref="AE23:AE86" si="13">_xlfn.NORM.S.DIST(-AC23,TRUE)</f>
        <v>0.20880509202963629</v>
      </c>
      <c r="AF23" s="68">
        <f t="shared" ref="AF23:AF86" si="14">-EXP(-$Y23*$H$14)*$H$9*AD23+$H$13*EXP(-$H$10*$H$14)*AE23</f>
        <v>15.752143310149364</v>
      </c>
      <c r="AG23" s="21"/>
    </row>
    <row r="24" spans="2:33" x14ac:dyDescent="0.3">
      <c r="B24" s="22"/>
      <c r="D24" s="64">
        <v>3</v>
      </c>
      <c r="E24" s="100">
        <f t="shared" ref="E24:E87" si="15">($F$18-$E$18)/$D$141+E23</f>
        <v>0</v>
      </c>
      <c r="H24" s="68" t="e">
        <f t="shared" si="0"/>
        <v>#DIV/0!</v>
      </c>
      <c r="I24" s="68" t="e">
        <f t="shared" si="1"/>
        <v>#DIV/0!</v>
      </c>
      <c r="J24" s="68" t="e">
        <f t="shared" si="2"/>
        <v>#DIV/0!</v>
      </c>
      <c r="K24" s="68" t="e">
        <f t="shared" si="3"/>
        <v>#DIV/0!</v>
      </c>
      <c r="L24" s="68" t="e">
        <f t="shared" si="4"/>
        <v>#DIV/0!</v>
      </c>
      <c r="N24" s="64">
        <v>3</v>
      </c>
      <c r="O24" s="72">
        <f t="shared" ref="O24:O87" si="16">($P$18-$O$18)/$D$141+O23</f>
        <v>0</v>
      </c>
      <c r="R24" s="68" t="e">
        <f t="shared" si="5"/>
        <v>#DIV/0!</v>
      </c>
      <c r="S24" s="68" t="e">
        <f t="shared" si="6"/>
        <v>#DIV/0!</v>
      </c>
      <c r="T24" s="68" t="e">
        <f t="shared" si="7"/>
        <v>#DIV/0!</v>
      </c>
      <c r="U24" s="68" t="e">
        <f t="shared" si="8"/>
        <v>#DIV/0!</v>
      </c>
      <c r="V24" s="68" t="e">
        <f t="shared" si="9"/>
        <v>#DIV/0!</v>
      </c>
      <c r="X24" s="64">
        <v>3</v>
      </c>
      <c r="Y24" s="72">
        <f t="shared" ref="Y24:Y87" si="17">($Z$18-$Y$18)/$D$141+Y23</f>
        <v>0</v>
      </c>
      <c r="AB24" s="68">
        <f t="shared" si="10"/>
        <v>0.97827945193393751</v>
      </c>
      <c r="AC24" s="68">
        <f t="shared" si="11"/>
        <v>0.81057429398924641</v>
      </c>
      <c r="AD24" s="68">
        <f t="shared" si="12"/>
        <v>0.16396806491792684</v>
      </c>
      <c r="AE24" s="68">
        <f t="shared" si="13"/>
        <v>0.20880509202963629</v>
      </c>
      <c r="AF24" s="68">
        <f t="shared" si="14"/>
        <v>15.752143310149364</v>
      </c>
      <c r="AG24" s="21"/>
    </row>
    <row r="25" spans="2:33" x14ac:dyDescent="0.3">
      <c r="B25" s="22"/>
      <c r="D25" s="64">
        <v>4</v>
      </c>
      <c r="E25" s="100">
        <f t="shared" si="15"/>
        <v>0</v>
      </c>
      <c r="H25" s="68" t="e">
        <f t="shared" si="0"/>
        <v>#DIV/0!</v>
      </c>
      <c r="I25" s="68" t="e">
        <f t="shared" si="1"/>
        <v>#DIV/0!</v>
      </c>
      <c r="J25" s="68" t="e">
        <f t="shared" si="2"/>
        <v>#DIV/0!</v>
      </c>
      <c r="K25" s="68" t="e">
        <f t="shared" si="3"/>
        <v>#DIV/0!</v>
      </c>
      <c r="L25" s="68" t="e">
        <f t="shared" si="4"/>
        <v>#DIV/0!</v>
      </c>
      <c r="N25" s="64">
        <v>4</v>
      </c>
      <c r="O25" s="72">
        <f t="shared" si="16"/>
        <v>0</v>
      </c>
      <c r="R25" s="68" t="e">
        <f t="shared" si="5"/>
        <v>#DIV/0!</v>
      </c>
      <c r="S25" s="68" t="e">
        <f t="shared" si="6"/>
        <v>#DIV/0!</v>
      </c>
      <c r="T25" s="68" t="e">
        <f t="shared" si="7"/>
        <v>#DIV/0!</v>
      </c>
      <c r="U25" s="68" t="e">
        <f t="shared" si="8"/>
        <v>#DIV/0!</v>
      </c>
      <c r="V25" s="68" t="e">
        <f t="shared" si="9"/>
        <v>#DIV/0!</v>
      </c>
      <c r="X25" s="64">
        <v>4</v>
      </c>
      <c r="Y25" s="72">
        <f t="shared" si="17"/>
        <v>0</v>
      </c>
      <c r="AB25" s="68">
        <f t="shared" si="10"/>
        <v>0.97827945193393751</v>
      </c>
      <c r="AC25" s="68">
        <f t="shared" si="11"/>
        <v>0.81057429398924641</v>
      </c>
      <c r="AD25" s="68">
        <f t="shared" si="12"/>
        <v>0.16396806491792684</v>
      </c>
      <c r="AE25" s="68">
        <f t="shared" si="13"/>
        <v>0.20880509202963629</v>
      </c>
      <c r="AF25" s="68">
        <f t="shared" si="14"/>
        <v>15.752143310149364</v>
      </c>
      <c r="AG25" s="21"/>
    </row>
    <row r="26" spans="2:33" x14ac:dyDescent="0.3">
      <c r="B26" s="22"/>
      <c r="D26" s="64">
        <v>5</v>
      </c>
      <c r="E26" s="100">
        <f t="shared" si="15"/>
        <v>0</v>
      </c>
      <c r="H26" s="68" t="e">
        <f t="shared" si="0"/>
        <v>#DIV/0!</v>
      </c>
      <c r="I26" s="68" t="e">
        <f t="shared" si="1"/>
        <v>#DIV/0!</v>
      </c>
      <c r="J26" s="68" t="e">
        <f t="shared" si="2"/>
        <v>#DIV/0!</v>
      </c>
      <c r="K26" s="68" t="e">
        <f t="shared" si="3"/>
        <v>#DIV/0!</v>
      </c>
      <c r="L26" s="68" t="e">
        <f t="shared" si="4"/>
        <v>#DIV/0!</v>
      </c>
      <c r="N26" s="64">
        <v>5</v>
      </c>
      <c r="O26" s="72">
        <f t="shared" si="16"/>
        <v>0</v>
      </c>
      <c r="R26" s="68" t="e">
        <f t="shared" si="5"/>
        <v>#DIV/0!</v>
      </c>
      <c r="S26" s="68" t="e">
        <f t="shared" si="6"/>
        <v>#DIV/0!</v>
      </c>
      <c r="T26" s="68" t="e">
        <f t="shared" si="7"/>
        <v>#DIV/0!</v>
      </c>
      <c r="U26" s="68" t="e">
        <f t="shared" si="8"/>
        <v>#DIV/0!</v>
      </c>
      <c r="V26" s="68" t="e">
        <f t="shared" si="9"/>
        <v>#DIV/0!</v>
      </c>
      <c r="X26" s="64">
        <v>5</v>
      </c>
      <c r="Y26" s="72">
        <f t="shared" si="17"/>
        <v>0</v>
      </c>
      <c r="AB26" s="68">
        <f t="shared" si="10"/>
        <v>0.97827945193393751</v>
      </c>
      <c r="AC26" s="68">
        <f t="shared" si="11"/>
        <v>0.81057429398924641</v>
      </c>
      <c r="AD26" s="68">
        <f t="shared" si="12"/>
        <v>0.16396806491792684</v>
      </c>
      <c r="AE26" s="68">
        <f t="shared" si="13"/>
        <v>0.20880509202963629</v>
      </c>
      <c r="AF26" s="68">
        <f t="shared" si="14"/>
        <v>15.752143310149364</v>
      </c>
      <c r="AG26" s="21"/>
    </row>
    <row r="27" spans="2:33" x14ac:dyDescent="0.3">
      <c r="B27" s="22"/>
      <c r="D27" s="64">
        <v>6</v>
      </c>
      <c r="E27" s="100">
        <f t="shared" si="15"/>
        <v>0</v>
      </c>
      <c r="H27" s="68" t="e">
        <f t="shared" si="0"/>
        <v>#DIV/0!</v>
      </c>
      <c r="I27" s="68" t="e">
        <f t="shared" si="1"/>
        <v>#DIV/0!</v>
      </c>
      <c r="J27" s="68" t="e">
        <f t="shared" si="2"/>
        <v>#DIV/0!</v>
      </c>
      <c r="K27" s="68" t="e">
        <f t="shared" si="3"/>
        <v>#DIV/0!</v>
      </c>
      <c r="L27" s="68" t="e">
        <f t="shared" si="4"/>
        <v>#DIV/0!</v>
      </c>
      <c r="N27" s="64">
        <v>6</v>
      </c>
      <c r="O27" s="72">
        <f t="shared" si="16"/>
        <v>0</v>
      </c>
      <c r="R27" s="68" t="e">
        <f t="shared" si="5"/>
        <v>#DIV/0!</v>
      </c>
      <c r="S27" s="68" t="e">
        <f t="shared" si="6"/>
        <v>#DIV/0!</v>
      </c>
      <c r="T27" s="68" t="e">
        <f t="shared" si="7"/>
        <v>#DIV/0!</v>
      </c>
      <c r="U27" s="68" t="e">
        <f t="shared" si="8"/>
        <v>#DIV/0!</v>
      </c>
      <c r="V27" s="68" t="e">
        <f t="shared" si="9"/>
        <v>#DIV/0!</v>
      </c>
      <c r="X27" s="64">
        <v>6</v>
      </c>
      <c r="Y27" s="72">
        <f t="shared" si="17"/>
        <v>0</v>
      </c>
      <c r="AB27" s="68">
        <f t="shared" si="10"/>
        <v>0.97827945193393751</v>
      </c>
      <c r="AC27" s="68">
        <f t="shared" si="11"/>
        <v>0.81057429398924641</v>
      </c>
      <c r="AD27" s="68">
        <f t="shared" si="12"/>
        <v>0.16396806491792684</v>
      </c>
      <c r="AE27" s="68">
        <f t="shared" si="13"/>
        <v>0.20880509202963629</v>
      </c>
      <c r="AF27" s="68">
        <f t="shared" si="14"/>
        <v>15.752143310149364</v>
      </c>
      <c r="AG27" s="21"/>
    </row>
    <row r="28" spans="2:33" x14ac:dyDescent="0.3">
      <c r="B28" s="22"/>
      <c r="D28" s="64">
        <v>7</v>
      </c>
      <c r="E28" s="100">
        <f t="shared" si="15"/>
        <v>0</v>
      </c>
      <c r="H28" s="68" t="e">
        <f t="shared" si="0"/>
        <v>#DIV/0!</v>
      </c>
      <c r="I28" s="68" t="e">
        <f t="shared" si="1"/>
        <v>#DIV/0!</v>
      </c>
      <c r="J28" s="68" t="e">
        <f t="shared" si="2"/>
        <v>#DIV/0!</v>
      </c>
      <c r="K28" s="68" t="e">
        <f t="shared" si="3"/>
        <v>#DIV/0!</v>
      </c>
      <c r="L28" s="68" t="e">
        <f t="shared" si="4"/>
        <v>#DIV/0!</v>
      </c>
      <c r="N28" s="64">
        <v>7</v>
      </c>
      <c r="O28" s="72">
        <f t="shared" si="16"/>
        <v>0</v>
      </c>
      <c r="R28" s="68" t="e">
        <f t="shared" si="5"/>
        <v>#DIV/0!</v>
      </c>
      <c r="S28" s="68" t="e">
        <f t="shared" si="6"/>
        <v>#DIV/0!</v>
      </c>
      <c r="T28" s="68" t="e">
        <f t="shared" si="7"/>
        <v>#DIV/0!</v>
      </c>
      <c r="U28" s="68" t="e">
        <f t="shared" si="8"/>
        <v>#DIV/0!</v>
      </c>
      <c r="V28" s="68" t="e">
        <f t="shared" si="9"/>
        <v>#DIV/0!</v>
      </c>
      <c r="X28" s="64">
        <v>7</v>
      </c>
      <c r="Y28" s="72">
        <f t="shared" si="17"/>
        <v>0</v>
      </c>
      <c r="AB28" s="68">
        <f t="shared" si="10"/>
        <v>0.97827945193393751</v>
      </c>
      <c r="AC28" s="68">
        <f t="shared" si="11"/>
        <v>0.81057429398924641</v>
      </c>
      <c r="AD28" s="68">
        <f t="shared" si="12"/>
        <v>0.16396806491792684</v>
      </c>
      <c r="AE28" s="68">
        <f t="shared" si="13"/>
        <v>0.20880509202963629</v>
      </c>
      <c r="AF28" s="68">
        <f t="shared" si="14"/>
        <v>15.752143310149364</v>
      </c>
      <c r="AG28" s="21"/>
    </row>
    <row r="29" spans="2:33" x14ac:dyDescent="0.3">
      <c r="B29" s="22"/>
      <c r="D29" s="64">
        <v>8</v>
      </c>
      <c r="E29" s="100">
        <f t="shared" si="15"/>
        <v>0</v>
      </c>
      <c r="H29" s="68" t="e">
        <f t="shared" si="0"/>
        <v>#DIV/0!</v>
      </c>
      <c r="I29" s="68" t="e">
        <f t="shared" si="1"/>
        <v>#DIV/0!</v>
      </c>
      <c r="J29" s="68" t="e">
        <f t="shared" si="2"/>
        <v>#DIV/0!</v>
      </c>
      <c r="K29" s="68" t="e">
        <f t="shared" si="3"/>
        <v>#DIV/0!</v>
      </c>
      <c r="L29" s="68" t="e">
        <f t="shared" si="4"/>
        <v>#DIV/0!</v>
      </c>
      <c r="N29" s="64">
        <v>8</v>
      </c>
      <c r="O29" s="72">
        <f t="shared" si="16"/>
        <v>0</v>
      </c>
      <c r="R29" s="68" t="e">
        <f t="shared" si="5"/>
        <v>#DIV/0!</v>
      </c>
      <c r="S29" s="68" t="e">
        <f t="shared" si="6"/>
        <v>#DIV/0!</v>
      </c>
      <c r="T29" s="68" t="e">
        <f t="shared" si="7"/>
        <v>#DIV/0!</v>
      </c>
      <c r="U29" s="68" t="e">
        <f t="shared" si="8"/>
        <v>#DIV/0!</v>
      </c>
      <c r="V29" s="68" t="e">
        <f t="shared" si="9"/>
        <v>#DIV/0!</v>
      </c>
      <c r="X29" s="64">
        <v>8</v>
      </c>
      <c r="Y29" s="72">
        <f t="shared" si="17"/>
        <v>0</v>
      </c>
      <c r="AB29" s="68">
        <f t="shared" si="10"/>
        <v>0.97827945193393751</v>
      </c>
      <c r="AC29" s="68">
        <f t="shared" si="11"/>
        <v>0.81057429398924641</v>
      </c>
      <c r="AD29" s="68">
        <f t="shared" si="12"/>
        <v>0.16396806491792684</v>
      </c>
      <c r="AE29" s="68">
        <f t="shared" si="13"/>
        <v>0.20880509202963629</v>
      </c>
      <c r="AF29" s="68">
        <f t="shared" si="14"/>
        <v>15.752143310149364</v>
      </c>
      <c r="AG29" s="21"/>
    </row>
    <row r="30" spans="2:33" x14ac:dyDescent="0.3">
      <c r="B30" s="22"/>
      <c r="D30" s="64">
        <v>9</v>
      </c>
      <c r="E30" s="100">
        <f t="shared" si="15"/>
        <v>0</v>
      </c>
      <c r="H30" s="68" t="e">
        <f t="shared" si="0"/>
        <v>#DIV/0!</v>
      </c>
      <c r="I30" s="68" t="e">
        <f t="shared" si="1"/>
        <v>#DIV/0!</v>
      </c>
      <c r="J30" s="68" t="e">
        <f t="shared" si="2"/>
        <v>#DIV/0!</v>
      </c>
      <c r="K30" s="68" t="e">
        <f t="shared" si="3"/>
        <v>#DIV/0!</v>
      </c>
      <c r="L30" s="68" t="e">
        <f t="shared" si="4"/>
        <v>#DIV/0!</v>
      </c>
      <c r="N30" s="64">
        <v>9</v>
      </c>
      <c r="O30" s="72">
        <f t="shared" si="16"/>
        <v>0</v>
      </c>
      <c r="R30" s="68" t="e">
        <f t="shared" si="5"/>
        <v>#DIV/0!</v>
      </c>
      <c r="S30" s="68" t="e">
        <f t="shared" si="6"/>
        <v>#DIV/0!</v>
      </c>
      <c r="T30" s="68" t="e">
        <f t="shared" si="7"/>
        <v>#DIV/0!</v>
      </c>
      <c r="U30" s="68" t="e">
        <f t="shared" si="8"/>
        <v>#DIV/0!</v>
      </c>
      <c r="V30" s="68" t="e">
        <f t="shared" si="9"/>
        <v>#DIV/0!</v>
      </c>
      <c r="X30" s="64">
        <v>9</v>
      </c>
      <c r="Y30" s="72">
        <f t="shared" si="17"/>
        <v>0</v>
      </c>
      <c r="AB30" s="68">
        <f t="shared" si="10"/>
        <v>0.97827945193393751</v>
      </c>
      <c r="AC30" s="68">
        <f t="shared" si="11"/>
        <v>0.81057429398924641</v>
      </c>
      <c r="AD30" s="68">
        <f t="shared" si="12"/>
        <v>0.16396806491792684</v>
      </c>
      <c r="AE30" s="68">
        <f t="shared" si="13"/>
        <v>0.20880509202963629</v>
      </c>
      <c r="AF30" s="68">
        <f t="shared" si="14"/>
        <v>15.752143310149364</v>
      </c>
      <c r="AG30" s="21"/>
    </row>
    <row r="31" spans="2:33" x14ac:dyDescent="0.3">
      <c r="B31" s="22"/>
      <c r="D31" s="64">
        <v>10</v>
      </c>
      <c r="E31" s="100">
        <f t="shared" si="15"/>
        <v>0</v>
      </c>
      <c r="H31" s="68" t="e">
        <f t="shared" si="0"/>
        <v>#DIV/0!</v>
      </c>
      <c r="I31" s="68" t="e">
        <f t="shared" si="1"/>
        <v>#DIV/0!</v>
      </c>
      <c r="J31" s="68" t="e">
        <f t="shared" si="2"/>
        <v>#DIV/0!</v>
      </c>
      <c r="K31" s="68" t="e">
        <f t="shared" si="3"/>
        <v>#DIV/0!</v>
      </c>
      <c r="L31" s="68" t="e">
        <f t="shared" si="4"/>
        <v>#DIV/0!</v>
      </c>
      <c r="N31" s="64">
        <v>10</v>
      </c>
      <c r="O31" s="72">
        <f t="shared" si="16"/>
        <v>0</v>
      </c>
      <c r="R31" s="68" t="e">
        <f t="shared" si="5"/>
        <v>#DIV/0!</v>
      </c>
      <c r="S31" s="68" t="e">
        <f t="shared" si="6"/>
        <v>#DIV/0!</v>
      </c>
      <c r="T31" s="68" t="e">
        <f t="shared" si="7"/>
        <v>#DIV/0!</v>
      </c>
      <c r="U31" s="68" t="e">
        <f t="shared" si="8"/>
        <v>#DIV/0!</v>
      </c>
      <c r="V31" s="68" t="e">
        <f t="shared" si="9"/>
        <v>#DIV/0!</v>
      </c>
      <c r="X31" s="64">
        <v>10</v>
      </c>
      <c r="Y31" s="72">
        <f t="shared" si="17"/>
        <v>0</v>
      </c>
      <c r="AB31" s="68">
        <f t="shared" si="10"/>
        <v>0.97827945193393751</v>
      </c>
      <c r="AC31" s="68">
        <f t="shared" si="11"/>
        <v>0.81057429398924641</v>
      </c>
      <c r="AD31" s="68">
        <f t="shared" si="12"/>
        <v>0.16396806491792684</v>
      </c>
      <c r="AE31" s="68">
        <f t="shared" si="13"/>
        <v>0.20880509202963629</v>
      </c>
      <c r="AF31" s="68">
        <f t="shared" si="14"/>
        <v>15.752143310149364</v>
      </c>
      <c r="AG31" s="21"/>
    </row>
    <row r="32" spans="2:33" x14ac:dyDescent="0.3">
      <c r="B32" s="22"/>
      <c r="D32" s="64">
        <v>11</v>
      </c>
      <c r="E32" s="100">
        <f t="shared" si="15"/>
        <v>0</v>
      </c>
      <c r="H32" s="68" t="e">
        <f t="shared" si="0"/>
        <v>#DIV/0!</v>
      </c>
      <c r="I32" s="68" t="e">
        <f t="shared" si="1"/>
        <v>#DIV/0!</v>
      </c>
      <c r="J32" s="68" t="e">
        <f t="shared" si="2"/>
        <v>#DIV/0!</v>
      </c>
      <c r="K32" s="68" t="e">
        <f t="shared" si="3"/>
        <v>#DIV/0!</v>
      </c>
      <c r="L32" s="68" t="e">
        <f t="shared" si="4"/>
        <v>#DIV/0!</v>
      </c>
      <c r="N32" s="64">
        <v>11</v>
      </c>
      <c r="O32" s="72">
        <f t="shared" si="16"/>
        <v>0</v>
      </c>
      <c r="R32" s="68" t="e">
        <f t="shared" si="5"/>
        <v>#DIV/0!</v>
      </c>
      <c r="S32" s="68" t="e">
        <f t="shared" si="6"/>
        <v>#DIV/0!</v>
      </c>
      <c r="T32" s="68" t="e">
        <f t="shared" si="7"/>
        <v>#DIV/0!</v>
      </c>
      <c r="U32" s="68" t="e">
        <f t="shared" si="8"/>
        <v>#DIV/0!</v>
      </c>
      <c r="V32" s="68" t="e">
        <f t="shared" si="9"/>
        <v>#DIV/0!</v>
      </c>
      <c r="X32" s="64">
        <v>11</v>
      </c>
      <c r="Y32" s="72">
        <f t="shared" si="17"/>
        <v>0</v>
      </c>
      <c r="AB32" s="68">
        <f t="shared" si="10"/>
        <v>0.97827945193393751</v>
      </c>
      <c r="AC32" s="68">
        <f t="shared" si="11"/>
        <v>0.81057429398924641</v>
      </c>
      <c r="AD32" s="68">
        <f t="shared" si="12"/>
        <v>0.16396806491792684</v>
      </c>
      <c r="AE32" s="68">
        <f t="shared" si="13"/>
        <v>0.20880509202963629</v>
      </c>
      <c r="AF32" s="68">
        <f t="shared" si="14"/>
        <v>15.752143310149364</v>
      </c>
      <c r="AG32" s="21"/>
    </row>
    <row r="33" spans="2:33" x14ac:dyDescent="0.3">
      <c r="B33" s="22"/>
      <c r="D33" s="64">
        <v>12</v>
      </c>
      <c r="E33" s="100">
        <f t="shared" si="15"/>
        <v>0</v>
      </c>
      <c r="H33" s="68" t="e">
        <f t="shared" si="0"/>
        <v>#DIV/0!</v>
      </c>
      <c r="I33" s="68" t="e">
        <f t="shared" si="1"/>
        <v>#DIV/0!</v>
      </c>
      <c r="J33" s="68" t="e">
        <f t="shared" si="2"/>
        <v>#DIV/0!</v>
      </c>
      <c r="K33" s="68" t="e">
        <f t="shared" si="3"/>
        <v>#DIV/0!</v>
      </c>
      <c r="L33" s="68" t="e">
        <f t="shared" si="4"/>
        <v>#DIV/0!</v>
      </c>
      <c r="N33" s="64">
        <v>12</v>
      </c>
      <c r="O33" s="72">
        <f t="shared" si="16"/>
        <v>0</v>
      </c>
      <c r="R33" s="68" t="e">
        <f t="shared" si="5"/>
        <v>#DIV/0!</v>
      </c>
      <c r="S33" s="68" t="e">
        <f t="shared" si="6"/>
        <v>#DIV/0!</v>
      </c>
      <c r="T33" s="68" t="e">
        <f t="shared" si="7"/>
        <v>#DIV/0!</v>
      </c>
      <c r="U33" s="68" t="e">
        <f t="shared" si="8"/>
        <v>#DIV/0!</v>
      </c>
      <c r="V33" s="68" t="e">
        <f t="shared" si="9"/>
        <v>#DIV/0!</v>
      </c>
      <c r="X33" s="64">
        <v>12</v>
      </c>
      <c r="Y33" s="72">
        <f t="shared" si="17"/>
        <v>0</v>
      </c>
      <c r="AB33" s="68">
        <f t="shared" si="10"/>
        <v>0.97827945193393751</v>
      </c>
      <c r="AC33" s="68">
        <f t="shared" si="11"/>
        <v>0.81057429398924641</v>
      </c>
      <c r="AD33" s="68">
        <f t="shared" si="12"/>
        <v>0.16396806491792684</v>
      </c>
      <c r="AE33" s="68">
        <f t="shared" si="13"/>
        <v>0.20880509202963629</v>
      </c>
      <c r="AF33" s="68">
        <f t="shared" si="14"/>
        <v>15.752143310149364</v>
      </c>
      <c r="AG33" s="21"/>
    </row>
    <row r="34" spans="2:33" x14ac:dyDescent="0.3">
      <c r="B34" s="22"/>
      <c r="D34" s="64">
        <v>13</v>
      </c>
      <c r="E34" s="100">
        <f t="shared" si="15"/>
        <v>0</v>
      </c>
      <c r="H34" s="68" t="e">
        <f t="shared" si="0"/>
        <v>#DIV/0!</v>
      </c>
      <c r="I34" s="68" t="e">
        <f t="shared" si="1"/>
        <v>#DIV/0!</v>
      </c>
      <c r="J34" s="68" t="e">
        <f t="shared" si="2"/>
        <v>#DIV/0!</v>
      </c>
      <c r="K34" s="68" t="e">
        <f t="shared" si="3"/>
        <v>#DIV/0!</v>
      </c>
      <c r="L34" s="68" t="e">
        <f t="shared" si="4"/>
        <v>#DIV/0!</v>
      </c>
      <c r="N34" s="64">
        <v>13</v>
      </c>
      <c r="O34" s="72">
        <f t="shared" si="16"/>
        <v>0</v>
      </c>
      <c r="R34" s="68" t="e">
        <f t="shared" si="5"/>
        <v>#DIV/0!</v>
      </c>
      <c r="S34" s="68" t="e">
        <f t="shared" si="6"/>
        <v>#DIV/0!</v>
      </c>
      <c r="T34" s="68" t="e">
        <f t="shared" si="7"/>
        <v>#DIV/0!</v>
      </c>
      <c r="U34" s="68" t="e">
        <f t="shared" si="8"/>
        <v>#DIV/0!</v>
      </c>
      <c r="V34" s="68" t="e">
        <f t="shared" si="9"/>
        <v>#DIV/0!</v>
      </c>
      <c r="X34" s="64">
        <v>13</v>
      </c>
      <c r="Y34" s="72">
        <f t="shared" si="17"/>
        <v>0</v>
      </c>
      <c r="AB34" s="68">
        <f t="shared" si="10"/>
        <v>0.97827945193393751</v>
      </c>
      <c r="AC34" s="68">
        <f t="shared" si="11"/>
        <v>0.81057429398924641</v>
      </c>
      <c r="AD34" s="68">
        <f t="shared" si="12"/>
        <v>0.16396806491792684</v>
      </c>
      <c r="AE34" s="68">
        <f t="shared" si="13"/>
        <v>0.20880509202963629</v>
      </c>
      <c r="AF34" s="68">
        <f t="shared" si="14"/>
        <v>15.752143310149364</v>
      </c>
      <c r="AG34" s="21"/>
    </row>
    <row r="35" spans="2:33" x14ac:dyDescent="0.3">
      <c r="B35" s="22"/>
      <c r="D35" s="64">
        <v>14</v>
      </c>
      <c r="E35" s="100">
        <f t="shared" si="15"/>
        <v>0</v>
      </c>
      <c r="H35" s="68" t="e">
        <f t="shared" si="0"/>
        <v>#DIV/0!</v>
      </c>
      <c r="I35" s="68" t="e">
        <f t="shared" si="1"/>
        <v>#DIV/0!</v>
      </c>
      <c r="J35" s="68" t="e">
        <f t="shared" si="2"/>
        <v>#DIV/0!</v>
      </c>
      <c r="K35" s="68" t="e">
        <f t="shared" si="3"/>
        <v>#DIV/0!</v>
      </c>
      <c r="L35" s="68" t="e">
        <f t="shared" si="4"/>
        <v>#DIV/0!</v>
      </c>
      <c r="N35" s="64">
        <v>14</v>
      </c>
      <c r="O35" s="72">
        <f t="shared" si="16"/>
        <v>0</v>
      </c>
      <c r="R35" s="68" t="e">
        <f t="shared" si="5"/>
        <v>#DIV/0!</v>
      </c>
      <c r="S35" s="68" t="e">
        <f t="shared" si="6"/>
        <v>#DIV/0!</v>
      </c>
      <c r="T35" s="68" t="e">
        <f t="shared" si="7"/>
        <v>#DIV/0!</v>
      </c>
      <c r="U35" s="68" t="e">
        <f t="shared" si="8"/>
        <v>#DIV/0!</v>
      </c>
      <c r="V35" s="68" t="e">
        <f t="shared" si="9"/>
        <v>#DIV/0!</v>
      </c>
      <c r="X35" s="64">
        <v>14</v>
      </c>
      <c r="Y35" s="72">
        <f t="shared" si="17"/>
        <v>0</v>
      </c>
      <c r="AB35" s="68">
        <f t="shared" si="10"/>
        <v>0.97827945193393751</v>
      </c>
      <c r="AC35" s="68">
        <f t="shared" si="11"/>
        <v>0.81057429398924641</v>
      </c>
      <c r="AD35" s="68">
        <f t="shared" si="12"/>
        <v>0.16396806491792684</v>
      </c>
      <c r="AE35" s="68">
        <f t="shared" si="13"/>
        <v>0.20880509202963629</v>
      </c>
      <c r="AF35" s="68">
        <f t="shared" si="14"/>
        <v>15.752143310149364</v>
      </c>
      <c r="AG35" s="21"/>
    </row>
    <row r="36" spans="2:33" x14ac:dyDescent="0.3">
      <c r="B36" s="22"/>
      <c r="D36" s="64">
        <v>15</v>
      </c>
      <c r="E36" s="100">
        <f t="shared" si="15"/>
        <v>0</v>
      </c>
      <c r="H36" s="68" t="e">
        <f t="shared" si="0"/>
        <v>#DIV/0!</v>
      </c>
      <c r="I36" s="68" t="e">
        <f t="shared" si="1"/>
        <v>#DIV/0!</v>
      </c>
      <c r="J36" s="68" t="e">
        <f t="shared" si="2"/>
        <v>#DIV/0!</v>
      </c>
      <c r="K36" s="68" t="e">
        <f t="shared" si="3"/>
        <v>#DIV/0!</v>
      </c>
      <c r="L36" s="68" t="e">
        <f t="shared" si="4"/>
        <v>#DIV/0!</v>
      </c>
      <c r="N36" s="64">
        <v>15</v>
      </c>
      <c r="O36" s="72">
        <f t="shared" si="16"/>
        <v>0</v>
      </c>
      <c r="R36" s="68" t="e">
        <f t="shared" si="5"/>
        <v>#DIV/0!</v>
      </c>
      <c r="S36" s="68" t="e">
        <f t="shared" si="6"/>
        <v>#DIV/0!</v>
      </c>
      <c r="T36" s="68" t="e">
        <f t="shared" si="7"/>
        <v>#DIV/0!</v>
      </c>
      <c r="U36" s="68" t="e">
        <f t="shared" si="8"/>
        <v>#DIV/0!</v>
      </c>
      <c r="V36" s="68" t="e">
        <f t="shared" si="9"/>
        <v>#DIV/0!</v>
      </c>
      <c r="X36" s="64">
        <v>15</v>
      </c>
      <c r="Y36" s="72">
        <f t="shared" si="17"/>
        <v>0</v>
      </c>
      <c r="AB36" s="68">
        <f t="shared" si="10"/>
        <v>0.97827945193393751</v>
      </c>
      <c r="AC36" s="68">
        <f t="shared" si="11"/>
        <v>0.81057429398924641</v>
      </c>
      <c r="AD36" s="68">
        <f t="shared" si="12"/>
        <v>0.16396806491792684</v>
      </c>
      <c r="AE36" s="68">
        <f t="shared" si="13"/>
        <v>0.20880509202963629</v>
      </c>
      <c r="AF36" s="68">
        <f t="shared" si="14"/>
        <v>15.752143310149364</v>
      </c>
      <c r="AG36" s="21"/>
    </row>
    <row r="37" spans="2:33" x14ac:dyDescent="0.3">
      <c r="B37" s="22"/>
      <c r="D37" s="64">
        <v>16</v>
      </c>
      <c r="E37" s="100">
        <f t="shared" si="15"/>
        <v>0</v>
      </c>
      <c r="H37" s="68" t="e">
        <f t="shared" si="0"/>
        <v>#DIV/0!</v>
      </c>
      <c r="I37" s="68" t="e">
        <f t="shared" si="1"/>
        <v>#DIV/0!</v>
      </c>
      <c r="J37" s="68" t="e">
        <f t="shared" si="2"/>
        <v>#DIV/0!</v>
      </c>
      <c r="K37" s="68" t="e">
        <f t="shared" si="3"/>
        <v>#DIV/0!</v>
      </c>
      <c r="L37" s="68" t="e">
        <f t="shared" si="4"/>
        <v>#DIV/0!</v>
      </c>
      <c r="N37" s="64">
        <v>16</v>
      </c>
      <c r="O37" s="72">
        <f t="shared" si="16"/>
        <v>0</v>
      </c>
      <c r="R37" s="68" t="e">
        <f t="shared" si="5"/>
        <v>#DIV/0!</v>
      </c>
      <c r="S37" s="68" t="e">
        <f t="shared" si="6"/>
        <v>#DIV/0!</v>
      </c>
      <c r="T37" s="68" t="e">
        <f t="shared" si="7"/>
        <v>#DIV/0!</v>
      </c>
      <c r="U37" s="68" t="e">
        <f t="shared" si="8"/>
        <v>#DIV/0!</v>
      </c>
      <c r="V37" s="68" t="e">
        <f t="shared" si="9"/>
        <v>#DIV/0!</v>
      </c>
      <c r="X37" s="64">
        <v>16</v>
      </c>
      <c r="Y37" s="72">
        <f t="shared" si="17"/>
        <v>0</v>
      </c>
      <c r="AB37" s="68">
        <f t="shared" si="10"/>
        <v>0.97827945193393751</v>
      </c>
      <c r="AC37" s="68">
        <f t="shared" si="11"/>
        <v>0.81057429398924641</v>
      </c>
      <c r="AD37" s="68">
        <f t="shared" si="12"/>
        <v>0.16396806491792684</v>
      </c>
      <c r="AE37" s="68">
        <f t="shared" si="13"/>
        <v>0.20880509202963629</v>
      </c>
      <c r="AF37" s="68">
        <f t="shared" si="14"/>
        <v>15.752143310149364</v>
      </c>
      <c r="AG37" s="21"/>
    </row>
    <row r="38" spans="2:33" x14ac:dyDescent="0.3">
      <c r="B38" s="22"/>
      <c r="D38" s="64">
        <v>17</v>
      </c>
      <c r="E38" s="100">
        <f t="shared" si="15"/>
        <v>0</v>
      </c>
      <c r="H38" s="68" t="e">
        <f t="shared" si="0"/>
        <v>#DIV/0!</v>
      </c>
      <c r="I38" s="68" t="e">
        <f t="shared" si="1"/>
        <v>#DIV/0!</v>
      </c>
      <c r="J38" s="68" t="e">
        <f t="shared" si="2"/>
        <v>#DIV/0!</v>
      </c>
      <c r="K38" s="68" t="e">
        <f t="shared" si="3"/>
        <v>#DIV/0!</v>
      </c>
      <c r="L38" s="68" t="e">
        <f t="shared" si="4"/>
        <v>#DIV/0!</v>
      </c>
      <c r="N38" s="64">
        <v>17</v>
      </c>
      <c r="O38" s="72">
        <f t="shared" si="16"/>
        <v>0</v>
      </c>
      <c r="R38" s="68" t="e">
        <f t="shared" si="5"/>
        <v>#DIV/0!</v>
      </c>
      <c r="S38" s="68" t="e">
        <f t="shared" si="6"/>
        <v>#DIV/0!</v>
      </c>
      <c r="T38" s="68" t="e">
        <f t="shared" si="7"/>
        <v>#DIV/0!</v>
      </c>
      <c r="U38" s="68" t="e">
        <f t="shared" si="8"/>
        <v>#DIV/0!</v>
      </c>
      <c r="V38" s="68" t="e">
        <f t="shared" si="9"/>
        <v>#DIV/0!</v>
      </c>
      <c r="X38" s="64">
        <v>17</v>
      </c>
      <c r="Y38" s="72">
        <f t="shared" si="17"/>
        <v>0</v>
      </c>
      <c r="AB38" s="68">
        <f t="shared" si="10"/>
        <v>0.97827945193393751</v>
      </c>
      <c r="AC38" s="68">
        <f t="shared" si="11"/>
        <v>0.81057429398924641</v>
      </c>
      <c r="AD38" s="68">
        <f t="shared" si="12"/>
        <v>0.16396806491792684</v>
      </c>
      <c r="AE38" s="68">
        <f t="shared" si="13"/>
        <v>0.20880509202963629</v>
      </c>
      <c r="AF38" s="68">
        <f t="shared" si="14"/>
        <v>15.752143310149364</v>
      </c>
      <c r="AG38" s="21"/>
    </row>
    <row r="39" spans="2:33" x14ac:dyDescent="0.3">
      <c r="B39" s="22"/>
      <c r="D39" s="64">
        <v>18</v>
      </c>
      <c r="E39" s="100">
        <f t="shared" si="15"/>
        <v>0</v>
      </c>
      <c r="H39" s="68" t="e">
        <f t="shared" si="0"/>
        <v>#DIV/0!</v>
      </c>
      <c r="I39" s="68" t="e">
        <f t="shared" si="1"/>
        <v>#DIV/0!</v>
      </c>
      <c r="J39" s="68" t="e">
        <f t="shared" si="2"/>
        <v>#DIV/0!</v>
      </c>
      <c r="K39" s="68" t="e">
        <f t="shared" si="3"/>
        <v>#DIV/0!</v>
      </c>
      <c r="L39" s="68" t="e">
        <f t="shared" si="4"/>
        <v>#DIV/0!</v>
      </c>
      <c r="N39" s="64">
        <v>18</v>
      </c>
      <c r="O39" s="72">
        <f t="shared" si="16"/>
        <v>0</v>
      </c>
      <c r="R39" s="68" t="e">
        <f t="shared" si="5"/>
        <v>#DIV/0!</v>
      </c>
      <c r="S39" s="68" t="e">
        <f t="shared" si="6"/>
        <v>#DIV/0!</v>
      </c>
      <c r="T39" s="68" t="e">
        <f t="shared" si="7"/>
        <v>#DIV/0!</v>
      </c>
      <c r="U39" s="68" t="e">
        <f t="shared" si="8"/>
        <v>#DIV/0!</v>
      </c>
      <c r="V39" s="68" t="e">
        <f t="shared" si="9"/>
        <v>#DIV/0!</v>
      </c>
      <c r="X39" s="64">
        <v>18</v>
      </c>
      <c r="Y39" s="72">
        <f t="shared" si="17"/>
        <v>0</v>
      </c>
      <c r="AB39" s="68">
        <f t="shared" si="10"/>
        <v>0.97827945193393751</v>
      </c>
      <c r="AC39" s="68">
        <f t="shared" si="11"/>
        <v>0.81057429398924641</v>
      </c>
      <c r="AD39" s="68">
        <f t="shared" si="12"/>
        <v>0.16396806491792684</v>
      </c>
      <c r="AE39" s="68">
        <f t="shared" si="13"/>
        <v>0.20880509202963629</v>
      </c>
      <c r="AF39" s="68">
        <f t="shared" si="14"/>
        <v>15.752143310149364</v>
      </c>
      <c r="AG39" s="21"/>
    </row>
    <row r="40" spans="2:33" x14ac:dyDescent="0.3">
      <c r="B40" s="22"/>
      <c r="D40" s="64">
        <v>19</v>
      </c>
      <c r="E40" s="100">
        <f t="shared" si="15"/>
        <v>0</v>
      </c>
      <c r="H40" s="68" t="e">
        <f t="shared" si="0"/>
        <v>#DIV/0!</v>
      </c>
      <c r="I40" s="68" t="e">
        <f t="shared" si="1"/>
        <v>#DIV/0!</v>
      </c>
      <c r="J40" s="68" t="e">
        <f t="shared" si="2"/>
        <v>#DIV/0!</v>
      </c>
      <c r="K40" s="68" t="e">
        <f t="shared" si="3"/>
        <v>#DIV/0!</v>
      </c>
      <c r="L40" s="68" t="e">
        <f t="shared" si="4"/>
        <v>#DIV/0!</v>
      </c>
      <c r="N40" s="64">
        <v>19</v>
      </c>
      <c r="O40" s="72">
        <f t="shared" si="16"/>
        <v>0</v>
      </c>
      <c r="R40" s="68" t="e">
        <f t="shared" si="5"/>
        <v>#DIV/0!</v>
      </c>
      <c r="S40" s="68" t="e">
        <f t="shared" si="6"/>
        <v>#DIV/0!</v>
      </c>
      <c r="T40" s="68" t="e">
        <f t="shared" si="7"/>
        <v>#DIV/0!</v>
      </c>
      <c r="U40" s="68" t="e">
        <f t="shared" si="8"/>
        <v>#DIV/0!</v>
      </c>
      <c r="V40" s="68" t="e">
        <f t="shared" si="9"/>
        <v>#DIV/0!</v>
      </c>
      <c r="X40" s="64">
        <v>19</v>
      </c>
      <c r="Y40" s="72">
        <f t="shared" si="17"/>
        <v>0</v>
      </c>
      <c r="AB40" s="68">
        <f t="shared" si="10"/>
        <v>0.97827945193393751</v>
      </c>
      <c r="AC40" s="68">
        <f t="shared" si="11"/>
        <v>0.81057429398924641</v>
      </c>
      <c r="AD40" s="68">
        <f t="shared" si="12"/>
        <v>0.16396806491792684</v>
      </c>
      <c r="AE40" s="68">
        <f t="shared" si="13"/>
        <v>0.20880509202963629</v>
      </c>
      <c r="AF40" s="68">
        <f t="shared" si="14"/>
        <v>15.752143310149364</v>
      </c>
      <c r="AG40" s="21"/>
    </row>
    <row r="41" spans="2:33" x14ac:dyDescent="0.3">
      <c r="B41" s="22"/>
      <c r="D41" s="64">
        <v>20</v>
      </c>
      <c r="E41" s="100">
        <f t="shared" si="15"/>
        <v>0</v>
      </c>
      <c r="H41" s="68" t="e">
        <f t="shared" si="0"/>
        <v>#DIV/0!</v>
      </c>
      <c r="I41" s="68" t="e">
        <f t="shared" si="1"/>
        <v>#DIV/0!</v>
      </c>
      <c r="J41" s="68" t="e">
        <f t="shared" si="2"/>
        <v>#DIV/0!</v>
      </c>
      <c r="K41" s="68" t="e">
        <f t="shared" si="3"/>
        <v>#DIV/0!</v>
      </c>
      <c r="L41" s="68" t="e">
        <f t="shared" si="4"/>
        <v>#DIV/0!</v>
      </c>
      <c r="N41" s="64">
        <v>20</v>
      </c>
      <c r="O41" s="72">
        <f t="shared" si="16"/>
        <v>0</v>
      </c>
      <c r="R41" s="68" t="e">
        <f t="shared" si="5"/>
        <v>#DIV/0!</v>
      </c>
      <c r="S41" s="68" t="e">
        <f t="shared" si="6"/>
        <v>#DIV/0!</v>
      </c>
      <c r="T41" s="68" t="e">
        <f t="shared" si="7"/>
        <v>#DIV/0!</v>
      </c>
      <c r="U41" s="68" t="e">
        <f t="shared" si="8"/>
        <v>#DIV/0!</v>
      </c>
      <c r="V41" s="68" t="e">
        <f t="shared" si="9"/>
        <v>#DIV/0!</v>
      </c>
      <c r="X41" s="64">
        <v>20</v>
      </c>
      <c r="Y41" s="72">
        <f t="shared" si="17"/>
        <v>0</v>
      </c>
      <c r="AB41" s="68">
        <f t="shared" si="10"/>
        <v>0.97827945193393751</v>
      </c>
      <c r="AC41" s="68">
        <f t="shared" si="11"/>
        <v>0.81057429398924641</v>
      </c>
      <c r="AD41" s="68">
        <f t="shared" si="12"/>
        <v>0.16396806491792684</v>
      </c>
      <c r="AE41" s="68">
        <f t="shared" si="13"/>
        <v>0.20880509202963629</v>
      </c>
      <c r="AF41" s="68">
        <f t="shared" si="14"/>
        <v>15.752143310149364</v>
      </c>
      <c r="AG41" s="21"/>
    </row>
    <row r="42" spans="2:33" x14ac:dyDescent="0.3">
      <c r="B42" s="22"/>
      <c r="D42" s="64">
        <v>21</v>
      </c>
      <c r="E42" s="100">
        <f t="shared" si="15"/>
        <v>0</v>
      </c>
      <c r="H42" s="68" t="e">
        <f t="shared" si="0"/>
        <v>#DIV/0!</v>
      </c>
      <c r="I42" s="68" t="e">
        <f t="shared" si="1"/>
        <v>#DIV/0!</v>
      </c>
      <c r="J42" s="68" t="e">
        <f t="shared" si="2"/>
        <v>#DIV/0!</v>
      </c>
      <c r="K42" s="68" t="e">
        <f t="shared" si="3"/>
        <v>#DIV/0!</v>
      </c>
      <c r="L42" s="68" t="e">
        <f t="shared" si="4"/>
        <v>#DIV/0!</v>
      </c>
      <c r="N42" s="64">
        <v>21</v>
      </c>
      <c r="O42" s="72">
        <f t="shared" si="16"/>
        <v>0</v>
      </c>
      <c r="R42" s="68" t="e">
        <f t="shared" si="5"/>
        <v>#DIV/0!</v>
      </c>
      <c r="S42" s="68" t="e">
        <f t="shared" si="6"/>
        <v>#DIV/0!</v>
      </c>
      <c r="T42" s="68" t="e">
        <f t="shared" si="7"/>
        <v>#DIV/0!</v>
      </c>
      <c r="U42" s="68" t="e">
        <f t="shared" si="8"/>
        <v>#DIV/0!</v>
      </c>
      <c r="V42" s="68" t="e">
        <f t="shared" si="9"/>
        <v>#DIV/0!</v>
      </c>
      <c r="X42" s="64">
        <v>21</v>
      </c>
      <c r="Y42" s="72">
        <f t="shared" si="17"/>
        <v>0</v>
      </c>
      <c r="AB42" s="68">
        <f t="shared" si="10"/>
        <v>0.97827945193393751</v>
      </c>
      <c r="AC42" s="68">
        <f t="shared" si="11"/>
        <v>0.81057429398924641</v>
      </c>
      <c r="AD42" s="68">
        <f t="shared" si="12"/>
        <v>0.16396806491792684</v>
      </c>
      <c r="AE42" s="68">
        <f t="shared" si="13"/>
        <v>0.20880509202963629</v>
      </c>
      <c r="AF42" s="68">
        <f t="shared" si="14"/>
        <v>15.752143310149364</v>
      </c>
      <c r="AG42" s="21"/>
    </row>
    <row r="43" spans="2:33" x14ac:dyDescent="0.3">
      <c r="B43" s="22"/>
      <c r="D43" s="64">
        <v>22</v>
      </c>
      <c r="E43" s="100">
        <f t="shared" si="15"/>
        <v>0</v>
      </c>
      <c r="H43" s="68" t="e">
        <f t="shared" si="0"/>
        <v>#DIV/0!</v>
      </c>
      <c r="I43" s="68" t="e">
        <f t="shared" si="1"/>
        <v>#DIV/0!</v>
      </c>
      <c r="J43" s="68" t="e">
        <f t="shared" si="2"/>
        <v>#DIV/0!</v>
      </c>
      <c r="K43" s="68" t="e">
        <f t="shared" si="3"/>
        <v>#DIV/0!</v>
      </c>
      <c r="L43" s="68" t="e">
        <f t="shared" si="4"/>
        <v>#DIV/0!</v>
      </c>
      <c r="N43" s="64">
        <v>22</v>
      </c>
      <c r="O43" s="72">
        <f t="shared" si="16"/>
        <v>0</v>
      </c>
      <c r="R43" s="68" t="e">
        <f t="shared" si="5"/>
        <v>#DIV/0!</v>
      </c>
      <c r="S43" s="68" t="e">
        <f t="shared" si="6"/>
        <v>#DIV/0!</v>
      </c>
      <c r="T43" s="68" t="e">
        <f t="shared" si="7"/>
        <v>#DIV/0!</v>
      </c>
      <c r="U43" s="68" t="e">
        <f t="shared" si="8"/>
        <v>#DIV/0!</v>
      </c>
      <c r="V43" s="68" t="e">
        <f t="shared" si="9"/>
        <v>#DIV/0!</v>
      </c>
      <c r="X43" s="64">
        <v>22</v>
      </c>
      <c r="Y43" s="72">
        <f t="shared" si="17"/>
        <v>0</v>
      </c>
      <c r="AB43" s="68">
        <f t="shared" si="10"/>
        <v>0.97827945193393751</v>
      </c>
      <c r="AC43" s="68">
        <f t="shared" si="11"/>
        <v>0.81057429398924641</v>
      </c>
      <c r="AD43" s="68">
        <f t="shared" si="12"/>
        <v>0.16396806491792684</v>
      </c>
      <c r="AE43" s="68">
        <f t="shared" si="13"/>
        <v>0.20880509202963629</v>
      </c>
      <c r="AF43" s="68">
        <f t="shared" si="14"/>
        <v>15.752143310149364</v>
      </c>
      <c r="AG43" s="21"/>
    </row>
    <row r="44" spans="2:33" x14ac:dyDescent="0.3">
      <c r="B44" s="22"/>
      <c r="D44" s="64">
        <v>23</v>
      </c>
      <c r="E44" s="100">
        <f t="shared" si="15"/>
        <v>0</v>
      </c>
      <c r="H44" s="68" t="e">
        <f t="shared" si="0"/>
        <v>#DIV/0!</v>
      </c>
      <c r="I44" s="68" t="e">
        <f t="shared" si="1"/>
        <v>#DIV/0!</v>
      </c>
      <c r="J44" s="68" t="e">
        <f t="shared" si="2"/>
        <v>#DIV/0!</v>
      </c>
      <c r="K44" s="68" t="e">
        <f t="shared" si="3"/>
        <v>#DIV/0!</v>
      </c>
      <c r="L44" s="68" t="e">
        <f t="shared" si="4"/>
        <v>#DIV/0!</v>
      </c>
      <c r="N44" s="64">
        <v>23</v>
      </c>
      <c r="O44" s="72">
        <f t="shared" si="16"/>
        <v>0</v>
      </c>
      <c r="R44" s="68" t="e">
        <f t="shared" si="5"/>
        <v>#DIV/0!</v>
      </c>
      <c r="S44" s="68" t="e">
        <f t="shared" si="6"/>
        <v>#DIV/0!</v>
      </c>
      <c r="T44" s="68" t="e">
        <f t="shared" si="7"/>
        <v>#DIV/0!</v>
      </c>
      <c r="U44" s="68" t="e">
        <f t="shared" si="8"/>
        <v>#DIV/0!</v>
      </c>
      <c r="V44" s="68" t="e">
        <f t="shared" si="9"/>
        <v>#DIV/0!</v>
      </c>
      <c r="X44" s="64">
        <v>23</v>
      </c>
      <c r="Y44" s="72">
        <f t="shared" si="17"/>
        <v>0</v>
      </c>
      <c r="AB44" s="68">
        <f t="shared" si="10"/>
        <v>0.97827945193393751</v>
      </c>
      <c r="AC44" s="68">
        <f t="shared" si="11"/>
        <v>0.81057429398924641</v>
      </c>
      <c r="AD44" s="68">
        <f t="shared" si="12"/>
        <v>0.16396806491792684</v>
      </c>
      <c r="AE44" s="68">
        <f t="shared" si="13"/>
        <v>0.20880509202963629</v>
      </c>
      <c r="AF44" s="68">
        <f t="shared" si="14"/>
        <v>15.752143310149364</v>
      </c>
      <c r="AG44" s="21"/>
    </row>
    <row r="45" spans="2:33" x14ac:dyDescent="0.3">
      <c r="B45" s="22"/>
      <c r="D45" s="64">
        <v>24</v>
      </c>
      <c r="E45" s="100">
        <f t="shared" si="15"/>
        <v>0</v>
      </c>
      <c r="H45" s="68" t="e">
        <f t="shared" si="0"/>
        <v>#DIV/0!</v>
      </c>
      <c r="I45" s="68" t="e">
        <f t="shared" si="1"/>
        <v>#DIV/0!</v>
      </c>
      <c r="J45" s="68" t="e">
        <f t="shared" si="2"/>
        <v>#DIV/0!</v>
      </c>
      <c r="K45" s="68" t="e">
        <f t="shared" si="3"/>
        <v>#DIV/0!</v>
      </c>
      <c r="L45" s="68" t="e">
        <f t="shared" si="4"/>
        <v>#DIV/0!</v>
      </c>
      <c r="N45" s="64">
        <v>24</v>
      </c>
      <c r="O45" s="72">
        <f t="shared" si="16"/>
        <v>0</v>
      </c>
      <c r="R45" s="68" t="e">
        <f t="shared" si="5"/>
        <v>#DIV/0!</v>
      </c>
      <c r="S45" s="68" t="e">
        <f t="shared" si="6"/>
        <v>#DIV/0!</v>
      </c>
      <c r="T45" s="68" t="e">
        <f t="shared" si="7"/>
        <v>#DIV/0!</v>
      </c>
      <c r="U45" s="68" t="e">
        <f t="shared" si="8"/>
        <v>#DIV/0!</v>
      </c>
      <c r="V45" s="68" t="e">
        <f t="shared" si="9"/>
        <v>#DIV/0!</v>
      </c>
      <c r="X45" s="64">
        <v>24</v>
      </c>
      <c r="Y45" s="72">
        <f t="shared" si="17"/>
        <v>0</v>
      </c>
      <c r="AB45" s="68">
        <f t="shared" si="10"/>
        <v>0.97827945193393751</v>
      </c>
      <c r="AC45" s="68">
        <f t="shared" si="11"/>
        <v>0.81057429398924641</v>
      </c>
      <c r="AD45" s="68">
        <f t="shared" si="12"/>
        <v>0.16396806491792684</v>
      </c>
      <c r="AE45" s="68">
        <f t="shared" si="13"/>
        <v>0.20880509202963629</v>
      </c>
      <c r="AF45" s="68">
        <f t="shared" si="14"/>
        <v>15.752143310149364</v>
      </c>
      <c r="AG45" s="21"/>
    </row>
    <row r="46" spans="2:33" x14ac:dyDescent="0.3">
      <c r="B46" s="22"/>
      <c r="D46" s="64">
        <v>25</v>
      </c>
      <c r="E46" s="100">
        <f t="shared" si="15"/>
        <v>0</v>
      </c>
      <c r="H46" s="68" t="e">
        <f t="shared" si="0"/>
        <v>#DIV/0!</v>
      </c>
      <c r="I46" s="68" t="e">
        <f t="shared" si="1"/>
        <v>#DIV/0!</v>
      </c>
      <c r="J46" s="68" t="e">
        <f t="shared" si="2"/>
        <v>#DIV/0!</v>
      </c>
      <c r="K46" s="68" t="e">
        <f t="shared" si="3"/>
        <v>#DIV/0!</v>
      </c>
      <c r="L46" s="68" t="e">
        <f t="shared" si="4"/>
        <v>#DIV/0!</v>
      </c>
      <c r="N46" s="64">
        <v>25</v>
      </c>
      <c r="O46" s="72">
        <f t="shared" si="16"/>
        <v>0</v>
      </c>
      <c r="R46" s="68" t="e">
        <f t="shared" si="5"/>
        <v>#DIV/0!</v>
      </c>
      <c r="S46" s="68" t="e">
        <f t="shared" si="6"/>
        <v>#DIV/0!</v>
      </c>
      <c r="T46" s="68" t="e">
        <f t="shared" si="7"/>
        <v>#DIV/0!</v>
      </c>
      <c r="U46" s="68" t="e">
        <f t="shared" si="8"/>
        <v>#DIV/0!</v>
      </c>
      <c r="V46" s="68" t="e">
        <f t="shared" si="9"/>
        <v>#DIV/0!</v>
      </c>
      <c r="X46" s="64">
        <v>25</v>
      </c>
      <c r="Y46" s="72">
        <f t="shared" si="17"/>
        <v>0</v>
      </c>
      <c r="AB46" s="68">
        <f t="shared" si="10"/>
        <v>0.97827945193393751</v>
      </c>
      <c r="AC46" s="68">
        <f t="shared" si="11"/>
        <v>0.81057429398924641</v>
      </c>
      <c r="AD46" s="68">
        <f t="shared" si="12"/>
        <v>0.16396806491792684</v>
      </c>
      <c r="AE46" s="68">
        <f t="shared" si="13"/>
        <v>0.20880509202963629</v>
      </c>
      <c r="AF46" s="68">
        <f t="shared" si="14"/>
        <v>15.752143310149364</v>
      </c>
      <c r="AG46" s="21"/>
    </row>
    <row r="47" spans="2:33" x14ac:dyDescent="0.3">
      <c r="B47" s="22"/>
      <c r="D47" s="64">
        <v>26</v>
      </c>
      <c r="E47" s="100">
        <f t="shared" si="15"/>
        <v>0</v>
      </c>
      <c r="H47" s="68" t="e">
        <f t="shared" si="0"/>
        <v>#DIV/0!</v>
      </c>
      <c r="I47" s="68" t="e">
        <f t="shared" si="1"/>
        <v>#DIV/0!</v>
      </c>
      <c r="J47" s="68" t="e">
        <f t="shared" si="2"/>
        <v>#DIV/0!</v>
      </c>
      <c r="K47" s="68" t="e">
        <f t="shared" si="3"/>
        <v>#DIV/0!</v>
      </c>
      <c r="L47" s="68" t="e">
        <f t="shared" si="4"/>
        <v>#DIV/0!</v>
      </c>
      <c r="N47" s="64">
        <v>26</v>
      </c>
      <c r="O47" s="72">
        <f t="shared" si="16"/>
        <v>0</v>
      </c>
      <c r="R47" s="68" t="e">
        <f t="shared" si="5"/>
        <v>#DIV/0!</v>
      </c>
      <c r="S47" s="68" t="e">
        <f t="shared" si="6"/>
        <v>#DIV/0!</v>
      </c>
      <c r="T47" s="68" t="e">
        <f t="shared" si="7"/>
        <v>#DIV/0!</v>
      </c>
      <c r="U47" s="68" t="e">
        <f t="shared" si="8"/>
        <v>#DIV/0!</v>
      </c>
      <c r="V47" s="68" t="e">
        <f t="shared" si="9"/>
        <v>#DIV/0!</v>
      </c>
      <c r="X47" s="64">
        <v>26</v>
      </c>
      <c r="Y47" s="72">
        <f t="shared" si="17"/>
        <v>0</v>
      </c>
      <c r="AB47" s="68">
        <f t="shared" si="10"/>
        <v>0.97827945193393751</v>
      </c>
      <c r="AC47" s="68">
        <f t="shared" si="11"/>
        <v>0.81057429398924641</v>
      </c>
      <c r="AD47" s="68">
        <f t="shared" si="12"/>
        <v>0.16396806491792684</v>
      </c>
      <c r="AE47" s="68">
        <f t="shared" si="13"/>
        <v>0.20880509202963629</v>
      </c>
      <c r="AF47" s="68">
        <f t="shared" si="14"/>
        <v>15.752143310149364</v>
      </c>
      <c r="AG47" s="21"/>
    </row>
    <row r="48" spans="2:33" x14ac:dyDescent="0.3">
      <c r="B48" s="22"/>
      <c r="D48" s="64">
        <v>27</v>
      </c>
      <c r="E48" s="100">
        <f t="shared" si="15"/>
        <v>0</v>
      </c>
      <c r="H48" s="68" t="e">
        <f t="shared" si="0"/>
        <v>#DIV/0!</v>
      </c>
      <c r="I48" s="68" t="e">
        <f t="shared" si="1"/>
        <v>#DIV/0!</v>
      </c>
      <c r="J48" s="68" t="e">
        <f t="shared" si="2"/>
        <v>#DIV/0!</v>
      </c>
      <c r="K48" s="68" t="e">
        <f t="shared" si="3"/>
        <v>#DIV/0!</v>
      </c>
      <c r="L48" s="68" t="e">
        <f t="shared" si="4"/>
        <v>#DIV/0!</v>
      </c>
      <c r="N48" s="64">
        <v>27</v>
      </c>
      <c r="O48" s="72">
        <f t="shared" si="16"/>
        <v>0</v>
      </c>
      <c r="R48" s="68" t="e">
        <f t="shared" si="5"/>
        <v>#DIV/0!</v>
      </c>
      <c r="S48" s="68" t="e">
        <f t="shared" si="6"/>
        <v>#DIV/0!</v>
      </c>
      <c r="T48" s="68" t="e">
        <f t="shared" si="7"/>
        <v>#DIV/0!</v>
      </c>
      <c r="U48" s="68" t="e">
        <f t="shared" si="8"/>
        <v>#DIV/0!</v>
      </c>
      <c r="V48" s="68" t="e">
        <f t="shared" si="9"/>
        <v>#DIV/0!</v>
      </c>
      <c r="X48" s="64">
        <v>27</v>
      </c>
      <c r="Y48" s="72">
        <f t="shared" si="17"/>
        <v>0</v>
      </c>
      <c r="AB48" s="68">
        <f t="shared" si="10"/>
        <v>0.97827945193393751</v>
      </c>
      <c r="AC48" s="68">
        <f t="shared" si="11"/>
        <v>0.81057429398924641</v>
      </c>
      <c r="AD48" s="68">
        <f t="shared" si="12"/>
        <v>0.16396806491792684</v>
      </c>
      <c r="AE48" s="68">
        <f t="shared" si="13"/>
        <v>0.20880509202963629</v>
      </c>
      <c r="AF48" s="68">
        <f t="shared" si="14"/>
        <v>15.752143310149364</v>
      </c>
      <c r="AG48" s="21"/>
    </row>
    <row r="49" spans="2:33" x14ac:dyDescent="0.3">
      <c r="B49" s="22"/>
      <c r="D49" s="64">
        <v>28</v>
      </c>
      <c r="E49" s="100">
        <f t="shared" si="15"/>
        <v>0</v>
      </c>
      <c r="H49" s="68" t="e">
        <f t="shared" si="0"/>
        <v>#DIV/0!</v>
      </c>
      <c r="I49" s="68" t="e">
        <f t="shared" si="1"/>
        <v>#DIV/0!</v>
      </c>
      <c r="J49" s="68" t="e">
        <f t="shared" si="2"/>
        <v>#DIV/0!</v>
      </c>
      <c r="K49" s="68" t="e">
        <f t="shared" si="3"/>
        <v>#DIV/0!</v>
      </c>
      <c r="L49" s="68" t="e">
        <f t="shared" si="4"/>
        <v>#DIV/0!</v>
      </c>
      <c r="N49" s="64">
        <v>28</v>
      </c>
      <c r="O49" s="72">
        <f t="shared" si="16"/>
        <v>0</v>
      </c>
      <c r="R49" s="68" t="e">
        <f t="shared" si="5"/>
        <v>#DIV/0!</v>
      </c>
      <c r="S49" s="68" t="e">
        <f t="shared" si="6"/>
        <v>#DIV/0!</v>
      </c>
      <c r="T49" s="68" t="e">
        <f t="shared" si="7"/>
        <v>#DIV/0!</v>
      </c>
      <c r="U49" s="68" t="e">
        <f t="shared" si="8"/>
        <v>#DIV/0!</v>
      </c>
      <c r="V49" s="68" t="e">
        <f t="shared" si="9"/>
        <v>#DIV/0!</v>
      </c>
      <c r="X49" s="64">
        <v>28</v>
      </c>
      <c r="Y49" s="72">
        <f t="shared" si="17"/>
        <v>0</v>
      </c>
      <c r="AB49" s="68">
        <f t="shared" si="10"/>
        <v>0.97827945193393751</v>
      </c>
      <c r="AC49" s="68">
        <f t="shared" si="11"/>
        <v>0.81057429398924641</v>
      </c>
      <c r="AD49" s="68">
        <f t="shared" si="12"/>
        <v>0.16396806491792684</v>
      </c>
      <c r="AE49" s="68">
        <f t="shared" si="13"/>
        <v>0.20880509202963629</v>
      </c>
      <c r="AF49" s="68">
        <f t="shared" si="14"/>
        <v>15.752143310149364</v>
      </c>
      <c r="AG49" s="21"/>
    </row>
    <row r="50" spans="2:33" x14ac:dyDescent="0.3">
      <c r="B50" s="22"/>
      <c r="D50" s="64">
        <v>29</v>
      </c>
      <c r="E50" s="100">
        <f t="shared" si="15"/>
        <v>0</v>
      </c>
      <c r="H50" s="68" t="e">
        <f t="shared" si="0"/>
        <v>#DIV/0!</v>
      </c>
      <c r="I50" s="68" t="e">
        <f t="shared" si="1"/>
        <v>#DIV/0!</v>
      </c>
      <c r="J50" s="68" t="e">
        <f t="shared" si="2"/>
        <v>#DIV/0!</v>
      </c>
      <c r="K50" s="68" t="e">
        <f t="shared" si="3"/>
        <v>#DIV/0!</v>
      </c>
      <c r="L50" s="68" t="e">
        <f t="shared" si="4"/>
        <v>#DIV/0!</v>
      </c>
      <c r="N50" s="64">
        <v>29</v>
      </c>
      <c r="O50" s="72">
        <f t="shared" si="16"/>
        <v>0</v>
      </c>
      <c r="R50" s="68" t="e">
        <f t="shared" si="5"/>
        <v>#DIV/0!</v>
      </c>
      <c r="S50" s="68" t="e">
        <f t="shared" si="6"/>
        <v>#DIV/0!</v>
      </c>
      <c r="T50" s="68" t="e">
        <f t="shared" si="7"/>
        <v>#DIV/0!</v>
      </c>
      <c r="U50" s="68" t="e">
        <f t="shared" si="8"/>
        <v>#DIV/0!</v>
      </c>
      <c r="V50" s="68" t="e">
        <f t="shared" si="9"/>
        <v>#DIV/0!</v>
      </c>
      <c r="X50" s="64">
        <v>29</v>
      </c>
      <c r="Y50" s="72">
        <f t="shared" si="17"/>
        <v>0</v>
      </c>
      <c r="AB50" s="68">
        <f t="shared" si="10"/>
        <v>0.97827945193393751</v>
      </c>
      <c r="AC50" s="68">
        <f t="shared" si="11"/>
        <v>0.81057429398924641</v>
      </c>
      <c r="AD50" s="68">
        <f t="shared" si="12"/>
        <v>0.16396806491792684</v>
      </c>
      <c r="AE50" s="68">
        <f t="shared" si="13"/>
        <v>0.20880509202963629</v>
      </c>
      <c r="AF50" s="68">
        <f t="shared" si="14"/>
        <v>15.752143310149364</v>
      </c>
      <c r="AG50" s="21"/>
    </row>
    <row r="51" spans="2:33" x14ac:dyDescent="0.3">
      <c r="B51" s="22"/>
      <c r="D51" s="64">
        <v>30</v>
      </c>
      <c r="E51" s="100">
        <f t="shared" si="15"/>
        <v>0</v>
      </c>
      <c r="H51" s="68" t="e">
        <f t="shared" si="0"/>
        <v>#DIV/0!</v>
      </c>
      <c r="I51" s="68" t="e">
        <f t="shared" si="1"/>
        <v>#DIV/0!</v>
      </c>
      <c r="J51" s="68" t="e">
        <f t="shared" si="2"/>
        <v>#DIV/0!</v>
      </c>
      <c r="K51" s="68" t="e">
        <f t="shared" si="3"/>
        <v>#DIV/0!</v>
      </c>
      <c r="L51" s="68" t="e">
        <f t="shared" si="4"/>
        <v>#DIV/0!</v>
      </c>
      <c r="N51" s="64">
        <v>30</v>
      </c>
      <c r="O51" s="72">
        <f t="shared" si="16"/>
        <v>0</v>
      </c>
      <c r="R51" s="68" t="e">
        <f t="shared" si="5"/>
        <v>#DIV/0!</v>
      </c>
      <c r="S51" s="68" t="e">
        <f t="shared" si="6"/>
        <v>#DIV/0!</v>
      </c>
      <c r="T51" s="68" t="e">
        <f t="shared" si="7"/>
        <v>#DIV/0!</v>
      </c>
      <c r="U51" s="68" t="e">
        <f t="shared" si="8"/>
        <v>#DIV/0!</v>
      </c>
      <c r="V51" s="68" t="e">
        <f t="shared" si="9"/>
        <v>#DIV/0!</v>
      </c>
      <c r="X51" s="64">
        <v>30</v>
      </c>
      <c r="Y51" s="72">
        <f t="shared" si="17"/>
        <v>0</v>
      </c>
      <c r="AB51" s="68">
        <f t="shared" si="10"/>
        <v>0.97827945193393751</v>
      </c>
      <c r="AC51" s="68">
        <f t="shared" si="11"/>
        <v>0.81057429398924641</v>
      </c>
      <c r="AD51" s="68">
        <f t="shared" si="12"/>
        <v>0.16396806491792684</v>
      </c>
      <c r="AE51" s="68">
        <f t="shared" si="13"/>
        <v>0.20880509202963629</v>
      </c>
      <c r="AF51" s="68">
        <f t="shared" si="14"/>
        <v>15.752143310149364</v>
      </c>
      <c r="AG51" s="21"/>
    </row>
    <row r="52" spans="2:33" x14ac:dyDescent="0.3">
      <c r="B52" s="22"/>
      <c r="D52" s="64">
        <v>31</v>
      </c>
      <c r="E52" s="100">
        <f t="shared" si="15"/>
        <v>0</v>
      </c>
      <c r="H52" s="68" t="e">
        <f t="shared" si="0"/>
        <v>#DIV/0!</v>
      </c>
      <c r="I52" s="68" t="e">
        <f t="shared" si="1"/>
        <v>#DIV/0!</v>
      </c>
      <c r="J52" s="68" t="e">
        <f t="shared" si="2"/>
        <v>#DIV/0!</v>
      </c>
      <c r="K52" s="68" t="e">
        <f t="shared" si="3"/>
        <v>#DIV/0!</v>
      </c>
      <c r="L52" s="68" t="e">
        <f t="shared" si="4"/>
        <v>#DIV/0!</v>
      </c>
      <c r="N52" s="64">
        <v>31</v>
      </c>
      <c r="O52" s="72">
        <f t="shared" si="16"/>
        <v>0</v>
      </c>
      <c r="R52" s="68" t="e">
        <f t="shared" si="5"/>
        <v>#DIV/0!</v>
      </c>
      <c r="S52" s="68" t="e">
        <f t="shared" si="6"/>
        <v>#DIV/0!</v>
      </c>
      <c r="T52" s="68" t="e">
        <f t="shared" si="7"/>
        <v>#DIV/0!</v>
      </c>
      <c r="U52" s="68" t="e">
        <f t="shared" si="8"/>
        <v>#DIV/0!</v>
      </c>
      <c r="V52" s="68" t="e">
        <f t="shared" si="9"/>
        <v>#DIV/0!</v>
      </c>
      <c r="X52" s="64">
        <v>31</v>
      </c>
      <c r="Y52" s="72">
        <f t="shared" si="17"/>
        <v>0</v>
      </c>
      <c r="AB52" s="68">
        <f t="shared" si="10"/>
        <v>0.97827945193393751</v>
      </c>
      <c r="AC52" s="68">
        <f t="shared" si="11"/>
        <v>0.81057429398924641</v>
      </c>
      <c r="AD52" s="68">
        <f t="shared" si="12"/>
        <v>0.16396806491792684</v>
      </c>
      <c r="AE52" s="68">
        <f t="shared" si="13"/>
        <v>0.20880509202963629</v>
      </c>
      <c r="AF52" s="68">
        <f t="shared" si="14"/>
        <v>15.752143310149364</v>
      </c>
      <c r="AG52" s="21"/>
    </row>
    <row r="53" spans="2:33" x14ac:dyDescent="0.3">
      <c r="B53" s="22"/>
      <c r="D53" s="64">
        <v>32</v>
      </c>
      <c r="E53" s="100">
        <f t="shared" si="15"/>
        <v>0</v>
      </c>
      <c r="H53" s="68" t="e">
        <f t="shared" si="0"/>
        <v>#DIV/0!</v>
      </c>
      <c r="I53" s="68" t="e">
        <f t="shared" si="1"/>
        <v>#DIV/0!</v>
      </c>
      <c r="J53" s="68" t="e">
        <f t="shared" si="2"/>
        <v>#DIV/0!</v>
      </c>
      <c r="K53" s="68" t="e">
        <f t="shared" si="3"/>
        <v>#DIV/0!</v>
      </c>
      <c r="L53" s="68" t="e">
        <f t="shared" si="4"/>
        <v>#DIV/0!</v>
      </c>
      <c r="N53" s="64">
        <v>32</v>
      </c>
      <c r="O53" s="72">
        <f t="shared" si="16"/>
        <v>0</v>
      </c>
      <c r="R53" s="68" t="e">
        <f t="shared" si="5"/>
        <v>#DIV/0!</v>
      </c>
      <c r="S53" s="68" t="e">
        <f t="shared" si="6"/>
        <v>#DIV/0!</v>
      </c>
      <c r="T53" s="68" t="e">
        <f t="shared" si="7"/>
        <v>#DIV/0!</v>
      </c>
      <c r="U53" s="68" t="e">
        <f t="shared" si="8"/>
        <v>#DIV/0!</v>
      </c>
      <c r="V53" s="68" t="e">
        <f t="shared" si="9"/>
        <v>#DIV/0!</v>
      </c>
      <c r="X53" s="64">
        <v>32</v>
      </c>
      <c r="Y53" s="72">
        <f t="shared" si="17"/>
        <v>0</v>
      </c>
      <c r="AB53" s="68">
        <f t="shared" si="10"/>
        <v>0.97827945193393751</v>
      </c>
      <c r="AC53" s="68">
        <f t="shared" si="11"/>
        <v>0.81057429398924641</v>
      </c>
      <c r="AD53" s="68">
        <f t="shared" si="12"/>
        <v>0.16396806491792684</v>
      </c>
      <c r="AE53" s="68">
        <f t="shared" si="13"/>
        <v>0.20880509202963629</v>
      </c>
      <c r="AF53" s="68">
        <f t="shared" si="14"/>
        <v>15.752143310149364</v>
      </c>
      <c r="AG53" s="21"/>
    </row>
    <row r="54" spans="2:33" x14ac:dyDescent="0.3">
      <c r="B54" s="22"/>
      <c r="D54" s="64">
        <v>33</v>
      </c>
      <c r="E54" s="100">
        <f t="shared" si="15"/>
        <v>0</v>
      </c>
      <c r="H54" s="68" t="e">
        <f t="shared" si="0"/>
        <v>#DIV/0!</v>
      </c>
      <c r="I54" s="68" t="e">
        <f t="shared" si="1"/>
        <v>#DIV/0!</v>
      </c>
      <c r="J54" s="68" t="e">
        <f t="shared" si="2"/>
        <v>#DIV/0!</v>
      </c>
      <c r="K54" s="68" t="e">
        <f t="shared" si="3"/>
        <v>#DIV/0!</v>
      </c>
      <c r="L54" s="68" t="e">
        <f t="shared" si="4"/>
        <v>#DIV/0!</v>
      </c>
      <c r="N54" s="64">
        <v>33</v>
      </c>
      <c r="O54" s="72">
        <f t="shared" si="16"/>
        <v>0</v>
      </c>
      <c r="R54" s="68" t="e">
        <f t="shared" si="5"/>
        <v>#DIV/0!</v>
      </c>
      <c r="S54" s="68" t="e">
        <f t="shared" si="6"/>
        <v>#DIV/0!</v>
      </c>
      <c r="T54" s="68" t="e">
        <f t="shared" si="7"/>
        <v>#DIV/0!</v>
      </c>
      <c r="U54" s="68" t="e">
        <f t="shared" si="8"/>
        <v>#DIV/0!</v>
      </c>
      <c r="V54" s="68" t="e">
        <f t="shared" si="9"/>
        <v>#DIV/0!</v>
      </c>
      <c r="X54" s="64">
        <v>33</v>
      </c>
      <c r="Y54" s="72">
        <f t="shared" si="17"/>
        <v>0</v>
      </c>
      <c r="AB54" s="68">
        <f t="shared" si="10"/>
        <v>0.97827945193393751</v>
      </c>
      <c r="AC54" s="68">
        <f t="shared" si="11"/>
        <v>0.81057429398924641</v>
      </c>
      <c r="AD54" s="68">
        <f t="shared" si="12"/>
        <v>0.16396806491792684</v>
      </c>
      <c r="AE54" s="68">
        <f t="shared" si="13"/>
        <v>0.20880509202963629</v>
      </c>
      <c r="AF54" s="68">
        <f t="shared" si="14"/>
        <v>15.752143310149364</v>
      </c>
      <c r="AG54" s="21"/>
    </row>
    <row r="55" spans="2:33" x14ac:dyDescent="0.3">
      <c r="B55" s="22"/>
      <c r="D55" s="64">
        <v>34</v>
      </c>
      <c r="E55" s="100">
        <f t="shared" si="15"/>
        <v>0</v>
      </c>
      <c r="H55" s="68" t="e">
        <f t="shared" si="0"/>
        <v>#DIV/0!</v>
      </c>
      <c r="I55" s="68" t="e">
        <f t="shared" si="1"/>
        <v>#DIV/0!</v>
      </c>
      <c r="J55" s="68" t="e">
        <f t="shared" si="2"/>
        <v>#DIV/0!</v>
      </c>
      <c r="K55" s="68" t="e">
        <f t="shared" si="3"/>
        <v>#DIV/0!</v>
      </c>
      <c r="L55" s="68" t="e">
        <f t="shared" si="4"/>
        <v>#DIV/0!</v>
      </c>
      <c r="N55" s="64">
        <v>34</v>
      </c>
      <c r="O55" s="72">
        <f t="shared" si="16"/>
        <v>0</v>
      </c>
      <c r="R55" s="68" t="e">
        <f t="shared" si="5"/>
        <v>#DIV/0!</v>
      </c>
      <c r="S55" s="68" t="e">
        <f t="shared" si="6"/>
        <v>#DIV/0!</v>
      </c>
      <c r="T55" s="68" t="e">
        <f t="shared" si="7"/>
        <v>#DIV/0!</v>
      </c>
      <c r="U55" s="68" t="e">
        <f t="shared" si="8"/>
        <v>#DIV/0!</v>
      </c>
      <c r="V55" s="68" t="e">
        <f t="shared" si="9"/>
        <v>#DIV/0!</v>
      </c>
      <c r="X55" s="64">
        <v>34</v>
      </c>
      <c r="Y55" s="72">
        <f t="shared" si="17"/>
        <v>0</v>
      </c>
      <c r="AB55" s="68">
        <f t="shared" si="10"/>
        <v>0.97827945193393751</v>
      </c>
      <c r="AC55" s="68">
        <f t="shared" si="11"/>
        <v>0.81057429398924641</v>
      </c>
      <c r="AD55" s="68">
        <f t="shared" si="12"/>
        <v>0.16396806491792684</v>
      </c>
      <c r="AE55" s="68">
        <f t="shared" si="13"/>
        <v>0.20880509202963629</v>
      </c>
      <c r="AF55" s="68">
        <f t="shared" si="14"/>
        <v>15.752143310149364</v>
      </c>
      <c r="AG55" s="21"/>
    </row>
    <row r="56" spans="2:33" x14ac:dyDescent="0.3">
      <c r="B56" s="22"/>
      <c r="D56" s="64">
        <v>35</v>
      </c>
      <c r="E56" s="100">
        <f t="shared" si="15"/>
        <v>0</v>
      </c>
      <c r="H56" s="68" t="e">
        <f t="shared" si="0"/>
        <v>#DIV/0!</v>
      </c>
      <c r="I56" s="68" t="e">
        <f t="shared" si="1"/>
        <v>#DIV/0!</v>
      </c>
      <c r="J56" s="68" t="e">
        <f t="shared" si="2"/>
        <v>#DIV/0!</v>
      </c>
      <c r="K56" s="68" t="e">
        <f t="shared" si="3"/>
        <v>#DIV/0!</v>
      </c>
      <c r="L56" s="68" t="e">
        <f t="shared" si="4"/>
        <v>#DIV/0!</v>
      </c>
      <c r="N56" s="64">
        <v>35</v>
      </c>
      <c r="O56" s="72">
        <f t="shared" si="16"/>
        <v>0</v>
      </c>
      <c r="R56" s="68" t="e">
        <f t="shared" si="5"/>
        <v>#DIV/0!</v>
      </c>
      <c r="S56" s="68" t="e">
        <f t="shared" si="6"/>
        <v>#DIV/0!</v>
      </c>
      <c r="T56" s="68" t="e">
        <f t="shared" si="7"/>
        <v>#DIV/0!</v>
      </c>
      <c r="U56" s="68" t="e">
        <f t="shared" si="8"/>
        <v>#DIV/0!</v>
      </c>
      <c r="V56" s="68" t="e">
        <f t="shared" si="9"/>
        <v>#DIV/0!</v>
      </c>
      <c r="X56" s="64">
        <v>35</v>
      </c>
      <c r="Y56" s="72">
        <f t="shared" si="17"/>
        <v>0</v>
      </c>
      <c r="AB56" s="68">
        <f t="shared" si="10"/>
        <v>0.97827945193393751</v>
      </c>
      <c r="AC56" s="68">
        <f t="shared" si="11"/>
        <v>0.81057429398924641</v>
      </c>
      <c r="AD56" s="68">
        <f t="shared" si="12"/>
        <v>0.16396806491792684</v>
      </c>
      <c r="AE56" s="68">
        <f t="shared" si="13"/>
        <v>0.20880509202963629</v>
      </c>
      <c r="AF56" s="68">
        <f t="shared" si="14"/>
        <v>15.752143310149364</v>
      </c>
      <c r="AG56" s="21"/>
    </row>
    <row r="57" spans="2:33" x14ac:dyDescent="0.3">
      <c r="B57" s="22"/>
      <c r="D57" s="64">
        <v>36</v>
      </c>
      <c r="E57" s="100">
        <f t="shared" si="15"/>
        <v>0</v>
      </c>
      <c r="H57" s="68" t="e">
        <f t="shared" si="0"/>
        <v>#DIV/0!</v>
      </c>
      <c r="I57" s="68" t="e">
        <f t="shared" si="1"/>
        <v>#DIV/0!</v>
      </c>
      <c r="J57" s="68" t="e">
        <f t="shared" si="2"/>
        <v>#DIV/0!</v>
      </c>
      <c r="K57" s="68" t="e">
        <f t="shared" si="3"/>
        <v>#DIV/0!</v>
      </c>
      <c r="L57" s="68" t="e">
        <f t="shared" si="4"/>
        <v>#DIV/0!</v>
      </c>
      <c r="N57" s="64">
        <v>36</v>
      </c>
      <c r="O57" s="72">
        <f t="shared" si="16"/>
        <v>0</v>
      </c>
      <c r="R57" s="68" t="e">
        <f t="shared" si="5"/>
        <v>#DIV/0!</v>
      </c>
      <c r="S57" s="68" t="e">
        <f t="shared" si="6"/>
        <v>#DIV/0!</v>
      </c>
      <c r="T57" s="68" t="e">
        <f t="shared" si="7"/>
        <v>#DIV/0!</v>
      </c>
      <c r="U57" s="68" t="e">
        <f t="shared" si="8"/>
        <v>#DIV/0!</v>
      </c>
      <c r="V57" s="68" t="e">
        <f t="shared" si="9"/>
        <v>#DIV/0!</v>
      </c>
      <c r="X57" s="64">
        <v>36</v>
      </c>
      <c r="Y57" s="72">
        <f t="shared" si="17"/>
        <v>0</v>
      </c>
      <c r="AB57" s="68">
        <f t="shared" si="10"/>
        <v>0.97827945193393751</v>
      </c>
      <c r="AC57" s="68">
        <f t="shared" si="11"/>
        <v>0.81057429398924641</v>
      </c>
      <c r="AD57" s="68">
        <f t="shared" si="12"/>
        <v>0.16396806491792684</v>
      </c>
      <c r="AE57" s="68">
        <f t="shared" si="13"/>
        <v>0.20880509202963629</v>
      </c>
      <c r="AF57" s="68">
        <f t="shared" si="14"/>
        <v>15.752143310149364</v>
      </c>
      <c r="AG57" s="21"/>
    </row>
    <row r="58" spans="2:33" x14ac:dyDescent="0.3">
      <c r="B58" s="22"/>
      <c r="D58" s="64">
        <v>37</v>
      </c>
      <c r="E58" s="100">
        <f t="shared" si="15"/>
        <v>0</v>
      </c>
      <c r="H58" s="68" t="e">
        <f t="shared" si="0"/>
        <v>#DIV/0!</v>
      </c>
      <c r="I58" s="68" t="e">
        <f t="shared" si="1"/>
        <v>#DIV/0!</v>
      </c>
      <c r="J58" s="68" t="e">
        <f t="shared" si="2"/>
        <v>#DIV/0!</v>
      </c>
      <c r="K58" s="68" t="e">
        <f t="shared" si="3"/>
        <v>#DIV/0!</v>
      </c>
      <c r="L58" s="68" t="e">
        <f t="shared" si="4"/>
        <v>#DIV/0!</v>
      </c>
      <c r="N58" s="64">
        <v>37</v>
      </c>
      <c r="O58" s="72">
        <f t="shared" si="16"/>
        <v>0</v>
      </c>
      <c r="R58" s="68" t="e">
        <f t="shared" si="5"/>
        <v>#DIV/0!</v>
      </c>
      <c r="S58" s="68" t="e">
        <f t="shared" si="6"/>
        <v>#DIV/0!</v>
      </c>
      <c r="T58" s="68" t="e">
        <f t="shared" si="7"/>
        <v>#DIV/0!</v>
      </c>
      <c r="U58" s="68" t="e">
        <f t="shared" si="8"/>
        <v>#DIV/0!</v>
      </c>
      <c r="V58" s="68" t="e">
        <f t="shared" si="9"/>
        <v>#DIV/0!</v>
      </c>
      <c r="X58" s="64">
        <v>37</v>
      </c>
      <c r="Y58" s="72">
        <f t="shared" si="17"/>
        <v>0</v>
      </c>
      <c r="AB58" s="68">
        <f t="shared" si="10"/>
        <v>0.97827945193393751</v>
      </c>
      <c r="AC58" s="68">
        <f t="shared" si="11"/>
        <v>0.81057429398924641</v>
      </c>
      <c r="AD58" s="68">
        <f t="shared" si="12"/>
        <v>0.16396806491792684</v>
      </c>
      <c r="AE58" s="68">
        <f t="shared" si="13"/>
        <v>0.20880509202963629</v>
      </c>
      <c r="AF58" s="68">
        <f t="shared" si="14"/>
        <v>15.752143310149364</v>
      </c>
      <c r="AG58" s="21"/>
    </row>
    <row r="59" spans="2:33" x14ac:dyDescent="0.3">
      <c r="B59" s="22"/>
      <c r="D59" s="64">
        <v>38</v>
      </c>
      <c r="E59" s="100">
        <f t="shared" si="15"/>
        <v>0</v>
      </c>
      <c r="H59" s="68" t="e">
        <f t="shared" si="0"/>
        <v>#DIV/0!</v>
      </c>
      <c r="I59" s="68" t="e">
        <f t="shared" si="1"/>
        <v>#DIV/0!</v>
      </c>
      <c r="J59" s="68" t="e">
        <f t="shared" si="2"/>
        <v>#DIV/0!</v>
      </c>
      <c r="K59" s="68" t="e">
        <f t="shared" si="3"/>
        <v>#DIV/0!</v>
      </c>
      <c r="L59" s="68" t="e">
        <f t="shared" si="4"/>
        <v>#DIV/0!</v>
      </c>
      <c r="N59" s="64">
        <v>38</v>
      </c>
      <c r="O59" s="72">
        <f t="shared" si="16"/>
        <v>0</v>
      </c>
      <c r="R59" s="68" t="e">
        <f t="shared" si="5"/>
        <v>#DIV/0!</v>
      </c>
      <c r="S59" s="68" t="e">
        <f t="shared" si="6"/>
        <v>#DIV/0!</v>
      </c>
      <c r="T59" s="68" t="e">
        <f t="shared" si="7"/>
        <v>#DIV/0!</v>
      </c>
      <c r="U59" s="68" t="e">
        <f t="shared" si="8"/>
        <v>#DIV/0!</v>
      </c>
      <c r="V59" s="68" t="e">
        <f t="shared" si="9"/>
        <v>#DIV/0!</v>
      </c>
      <c r="X59" s="64">
        <v>38</v>
      </c>
      <c r="Y59" s="72">
        <f t="shared" si="17"/>
        <v>0</v>
      </c>
      <c r="AB59" s="68">
        <f t="shared" si="10"/>
        <v>0.97827945193393751</v>
      </c>
      <c r="AC59" s="68">
        <f t="shared" si="11"/>
        <v>0.81057429398924641</v>
      </c>
      <c r="AD59" s="68">
        <f t="shared" si="12"/>
        <v>0.16396806491792684</v>
      </c>
      <c r="AE59" s="68">
        <f t="shared" si="13"/>
        <v>0.20880509202963629</v>
      </c>
      <c r="AF59" s="68">
        <f t="shared" si="14"/>
        <v>15.752143310149364</v>
      </c>
      <c r="AG59" s="21"/>
    </row>
    <row r="60" spans="2:33" x14ac:dyDescent="0.3">
      <c r="B60" s="22"/>
      <c r="D60" s="64">
        <v>39</v>
      </c>
      <c r="E60" s="100">
        <f t="shared" si="15"/>
        <v>0</v>
      </c>
      <c r="H60" s="68" t="e">
        <f t="shared" si="0"/>
        <v>#DIV/0!</v>
      </c>
      <c r="I60" s="68" t="e">
        <f t="shared" si="1"/>
        <v>#DIV/0!</v>
      </c>
      <c r="J60" s="68" t="e">
        <f t="shared" si="2"/>
        <v>#DIV/0!</v>
      </c>
      <c r="K60" s="68" t="e">
        <f t="shared" si="3"/>
        <v>#DIV/0!</v>
      </c>
      <c r="L60" s="68" t="e">
        <f t="shared" si="4"/>
        <v>#DIV/0!</v>
      </c>
      <c r="N60" s="64">
        <v>39</v>
      </c>
      <c r="O60" s="72">
        <f t="shared" si="16"/>
        <v>0</v>
      </c>
      <c r="R60" s="68" t="e">
        <f t="shared" si="5"/>
        <v>#DIV/0!</v>
      </c>
      <c r="S60" s="68" t="e">
        <f t="shared" si="6"/>
        <v>#DIV/0!</v>
      </c>
      <c r="T60" s="68" t="e">
        <f t="shared" si="7"/>
        <v>#DIV/0!</v>
      </c>
      <c r="U60" s="68" t="e">
        <f t="shared" si="8"/>
        <v>#DIV/0!</v>
      </c>
      <c r="V60" s="68" t="e">
        <f t="shared" si="9"/>
        <v>#DIV/0!</v>
      </c>
      <c r="X60" s="64">
        <v>39</v>
      </c>
      <c r="Y60" s="72">
        <f t="shared" si="17"/>
        <v>0</v>
      </c>
      <c r="AB60" s="68">
        <f t="shared" si="10"/>
        <v>0.97827945193393751</v>
      </c>
      <c r="AC60" s="68">
        <f t="shared" si="11"/>
        <v>0.81057429398924641</v>
      </c>
      <c r="AD60" s="68">
        <f t="shared" si="12"/>
        <v>0.16396806491792684</v>
      </c>
      <c r="AE60" s="68">
        <f t="shared" si="13"/>
        <v>0.20880509202963629</v>
      </c>
      <c r="AF60" s="68">
        <f t="shared" si="14"/>
        <v>15.752143310149364</v>
      </c>
      <c r="AG60" s="21"/>
    </row>
    <row r="61" spans="2:33" x14ac:dyDescent="0.3">
      <c r="B61" s="22"/>
      <c r="D61" s="64">
        <v>40</v>
      </c>
      <c r="E61" s="100">
        <f t="shared" si="15"/>
        <v>0</v>
      </c>
      <c r="H61" s="68" t="e">
        <f t="shared" si="0"/>
        <v>#DIV/0!</v>
      </c>
      <c r="I61" s="68" t="e">
        <f t="shared" si="1"/>
        <v>#DIV/0!</v>
      </c>
      <c r="J61" s="68" t="e">
        <f t="shared" si="2"/>
        <v>#DIV/0!</v>
      </c>
      <c r="K61" s="68" t="e">
        <f t="shared" si="3"/>
        <v>#DIV/0!</v>
      </c>
      <c r="L61" s="68" t="e">
        <f t="shared" si="4"/>
        <v>#DIV/0!</v>
      </c>
      <c r="N61" s="64">
        <v>40</v>
      </c>
      <c r="O61" s="72">
        <f t="shared" si="16"/>
        <v>0</v>
      </c>
      <c r="R61" s="68" t="e">
        <f t="shared" si="5"/>
        <v>#DIV/0!</v>
      </c>
      <c r="S61" s="68" t="e">
        <f t="shared" si="6"/>
        <v>#DIV/0!</v>
      </c>
      <c r="T61" s="68" t="e">
        <f t="shared" si="7"/>
        <v>#DIV/0!</v>
      </c>
      <c r="U61" s="68" t="e">
        <f t="shared" si="8"/>
        <v>#DIV/0!</v>
      </c>
      <c r="V61" s="68" t="e">
        <f t="shared" si="9"/>
        <v>#DIV/0!</v>
      </c>
      <c r="X61" s="64">
        <v>40</v>
      </c>
      <c r="Y61" s="72">
        <f t="shared" si="17"/>
        <v>0</v>
      </c>
      <c r="AB61" s="68">
        <f t="shared" si="10"/>
        <v>0.97827945193393751</v>
      </c>
      <c r="AC61" s="68">
        <f t="shared" si="11"/>
        <v>0.81057429398924641</v>
      </c>
      <c r="AD61" s="68">
        <f t="shared" si="12"/>
        <v>0.16396806491792684</v>
      </c>
      <c r="AE61" s="68">
        <f t="shared" si="13"/>
        <v>0.20880509202963629</v>
      </c>
      <c r="AF61" s="68">
        <f t="shared" si="14"/>
        <v>15.752143310149364</v>
      </c>
      <c r="AG61" s="21"/>
    </row>
    <row r="62" spans="2:33" x14ac:dyDescent="0.3">
      <c r="B62" s="22"/>
      <c r="D62" s="64">
        <v>41</v>
      </c>
      <c r="E62" s="100">
        <f t="shared" si="15"/>
        <v>0</v>
      </c>
      <c r="H62" s="68" t="e">
        <f t="shared" si="0"/>
        <v>#DIV/0!</v>
      </c>
      <c r="I62" s="68" t="e">
        <f t="shared" si="1"/>
        <v>#DIV/0!</v>
      </c>
      <c r="J62" s="68" t="e">
        <f t="shared" si="2"/>
        <v>#DIV/0!</v>
      </c>
      <c r="K62" s="68" t="e">
        <f t="shared" si="3"/>
        <v>#DIV/0!</v>
      </c>
      <c r="L62" s="68" t="e">
        <f t="shared" si="4"/>
        <v>#DIV/0!</v>
      </c>
      <c r="N62" s="64">
        <v>41</v>
      </c>
      <c r="O62" s="72">
        <f t="shared" si="16"/>
        <v>0</v>
      </c>
      <c r="R62" s="68" t="e">
        <f t="shared" si="5"/>
        <v>#DIV/0!</v>
      </c>
      <c r="S62" s="68" t="e">
        <f t="shared" si="6"/>
        <v>#DIV/0!</v>
      </c>
      <c r="T62" s="68" t="e">
        <f t="shared" si="7"/>
        <v>#DIV/0!</v>
      </c>
      <c r="U62" s="68" t="e">
        <f t="shared" si="8"/>
        <v>#DIV/0!</v>
      </c>
      <c r="V62" s="68" t="e">
        <f t="shared" si="9"/>
        <v>#DIV/0!</v>
      </c>
      <c r="X62" s="64">
        <v>41</v>
      </c>
      <c r="Y62" s="72">
        <f t="shared" si="17"/>
        <v>0</v>
      </c>
      <c r="AB62" s="68">
        <f t="shared" si="10"/>
        <v>0.97827945193393751</v>
      </c>
      <c r="AC62" s="68">
        <f t="shared" si="11"/>
        <v>0.81057429398924641</v>
      </c>
      <c r="AD62" s="68">
        <f t="shared" si="12"/>
        <v>0.16396806491792684</v>
      </c>
      <c r="AE62" s="68">
        <f t="shared" si="13"/>
        <v>0.20880509202963629</v>
      </c>
      <c r="AF62" s="68">
        <f t="shared" si="14"/>
        <v>15.752143310149364</v>
      </c>
      <c r="AG62" s="21"/>
    </row>
    <row r="63" spans="2:33" x14ac:dyDescent="0.3">
      <c r="B63" s="22"/>
      <c r="D63" s="64">
        <v>42</v>
      </c>
      <c r="E63" s="100">
        <f t="shared" si="15"/>
        <v>0</v>
      </c>
      <c r="H63" s="68" t="e">
        <f t="shared" si="0"/>
        <v>#DIV/0!</v>
      </c>
      <c r="I63" s="68" t="e">
        <f t="shared" si="1"/>
        <v>#DIV/0!</v>
      </c>
      <c r="J63" s="68" t="e">
        <f t="shared" si="2"/>
        <v>#DIV/0!</v>
      </c>
      <c r="K63" s="68" t="e">
        <f t="shared" si="3"/>
        <v>#DIV/0!</v>
      </c>
      <c r="L63" s="68" t="e">
        <f t="shared" si="4"/>
        <v>#DIV/0!</v>
      </c>
      <c r="N63" s="64">
        <v>42</v>
      </c>
      <c r="O63" s="72">
        <f t="shared" si="16"/>
        <v>0</v>
      </c>
      <c r="R63" s="68" t="e">
        <f t="shared" si="5"/>
        <v>#DIV/0!</v>
      </c>
      <c r="S63" s="68" t="e">
        <f t="shared" si="6"/>
        <v>#DIV/0!</v>
      </c>
      <c r="T63" s="68" t="e">
        <f t="shared" si="7"/>
        <v>#DIV/0!</v>
      </c>
      <c r="U63" s="68" t="e">
        <f t="shared" si="8"/>
        <v>#DIV/0!</v>
      </c>
      <c r="V63" s="68" t="e">
        <f t="shared" si="9"/>
        <v>#DIV/0!</v>
      </c>
      <c r="X63" s="64">
        <v>42</v>
      </c>
      <c r="Y63" s="72">
        <f t="shared" si="17"/>
        <v>0</v>
      </c>
      <c r="AB63" s="68">
        <f t="shared" si="10"/>
        <v>0.97827945193393751</v>
      </c>
      <c r="AC63" s="68">
        <f t="shared" si="11"/>
        <v>0.81057429398924641</v>
      </c>
      <c r="AD63" s="68">
        <f t="shared" si="12"/>
        <v>0.16396806491792684</v>
      </c>
      <c r="AE63" s="68">
        <f t="shared" si="13"/>
        <v>0.20880509202963629</v>
      </c>
      <c r="AF63" s="68">
        <f t="shared" si="14"/>
        <v>15.752143310149364</v>
      </c>
      <c r="AG63" s="21"/>
    </row>
    <row r="64" spans="2:33" x14ac:dyDescent="0.3">
      <c r="B64" s="22"/>
      <c r="D64" s="64">
        <v>43</v>
      </c>
      <c r="E64" s="100">
        <f t="shared" si="15"/>
        <v>0</v>
      </c>
      <c r="H64" s="68" t="e">
        <f t="shared" si="0"/>
        <v>#DIV/0!</v>
      </c>
      <c r="I64" s="68" t="e">
        <f t="shared" si="1"/>
        <v>#DIV/0!</v>
      </c>
      <c r="J64" s="68" t="e">
        <f t="shared" si="2"/>
        <v>#DIV/0!</v>
      </c>
      <c r="K64" s="68" t="e">
        <f t="shared" si="3"/>
        <v>#DIV/0!</v>
      </c>
      <c r="L64" s="68" t="e">
        <f t="shared" si="4"/>
        <v>#DIV/0!</v>
      </c>
      <c r="N64" s="64">
        <v>43</v>
      </c>
      <c r="O64" s="72">
        <f t="shared" si="16"/>
        <v>0</v>
      </c>
      <c r="R64" s="68" t="e">
        <f t="shared" si="5"/>
        <v>#DIV/0!</v>
      </c>
      <c r="S64" s="68" t="e">
        <f t="shared" si="6"/>
        <v>#DIV/0!</v>
      </c>
      <c r="T64" s="68" t="e">
        <f t="shared" si="7"/>
        <v>#DIV/0!</v>
      </c>
      <c r="U64" s="68" t="e">
        <f t="shared" si="8"/>
        <v>#DIV/0!</v>
      </c>
      <c r="V64" s="68" t="e">
        <f t="shared" si="9"/>
        <v>#DIV/0!</v>
      </c>
      <c r="X64" s="64">
        <v>43</v>
      </c>
      <c r="Y64" s="72">
        <f t="shared" si="17"/>
        <v>0</v>
      </c>
      <c r="AB64" s="68">
        <f t="shared" si="10"/>
        <v>0.97827945193393751</v>
      </c>
      <c r="AC64" s="68">
        <f t="shared" si="11"/>
        <v>0.81057429398924641</v>
      </c>
      <c r="AD64" s="68">
        <f t="shared" si="12"/>
        <v>0.16396806491792684</v>
      </c>
      <c r="AE64" s="68">
        <f t="shared" si="13"/>
        <v>0.20880509202963629</v>
      </c>
      <c r="AF64" s="68">
        <f t="shared" si="14"/>
        <v>15.752143310149364</v>
      </c>
      <c r="AG64" s="21"/>
    </row>
    <row r="65" spans="2:33" x14ac:dyDescent="0.3">
      <c r="B65" s="22"/>
      <c r="D65" s="64">
        <v>44</v>
      </c>
      <c r="E65" s="100">
        <f t="shared" si="15"/>
        <v>0</v>
      </c>
      <c r="H65" s="68" t="e">
        <f t="shared" si="0"/>
        <v>#DIV/0!</v>
      </c>
      <c r="I65" s="68" t="e">
        <f t="shared" si="1"/>
        <v>#DIV/0!</v>
      </c>
      <c r="J65" s="68" t="e">
        <f t="shared" si="2"/>
        <v>#DIV/0!</v>
      </c>
      <c r="K65" s="68" t="e">
        <f t="shared" si="3"/>
        <v>#DIV/0!</v>
      </c>
      <c r="L65" s="68" t="e">
        <f t="shared" si="4"/>
        <v>#DIV/0!</v>
      </c>
      <c r="N65" s="64">
        <v>44</v>
      </c>
      <c r="O65" s="72">
        <f t="shared" si="16"/>
        <v>0</v>
      </c>
      <c r="R65" s="68" t="e">
        <f t="shared" si="5"/>
        <v>#DIV/0!</v>
      </c>
      <c r="S65" s="68" t="e">
        <f t="shared" si="6"/>
        <v>#DIV/0!</v>
      </c>
      <c r="T65" s="68" t="e">
        <f t="shared" si="7"/>
        <v>#DIV/0!</v>
      </c>
      <c r="U65" s="68" t="e">
        <f t="shared" si="8"/>
        <v>#DIV/0!</v>
      </c>
      <c r="V65" s="68" t="e">
        <f t="shared" si="9"/>
        <v>#DIV/0!</v>
      </c>
      <c r="X65" s="64">
        <v>44</v>
      </c>
      <c r="Y65" s="72">
        <f t="shared" si="17"/>
        <v>0</v>
      </c>
      <c r="AB65" s="68">
        <f t="shared" si="10"/>
        <v>0.97827945193393751</v>
      </c>
      <c r="AC65" s="68">
        <f t="shared" si="11"/>
        <v>0.81057429398924641</v>
      </c>
      <c r="AD65" s="68">
        <f t="shared" si="12"/>
        <v>0.16396806491792684</v>
      </c>
      <c r="AE65" s="68">
        <f t="shared" si="13"/>
        <v>0.20880509202963629</v>
      </c>
      <c r="AF65" s="68">
        <f t="shared" si="14"/>
        <v>15.752143310149364</v>
      </c>
      <c r="AG65" s="21"/>
    </row>
    <row r="66" spans="2:33" x14ac:dyDescent="0.3">
      <c r="B66" s="22"/>
      <c r="D66" s="64">
        <v>45</v>
      </c>
      <c r="E66" s="100">
        <f t="shared" si="15"/>
        <v>0</v>
      </c>
      <c r="H66" s="68" t="e">
        <f t="shared" si="0"/>
        <v>#DIV/0!</v>
      </c>
      <c r="I66" s="68" t="e">
        <f t="shared" si="1"/>
        <v>#DIV/0!</v>
      </c>
      <c r="J66" s="68" t="e">
        <f t="shared" si="2"/>
        <v>#DIV/0!</v>
      </c>
      <c r="K66" s="68" t="e">
        <f t="shared" si="3"/>
        <v>#DIV/0!</v>
      </c>
      <c r="L66" s="68" t="e">
        <f t="shared" si="4"/>
        <v>#DIV/0!</v>
      </c>
      <c r="N66" s="64">
        <v>45</v>
      </c>
      <c r="O66" s="72">
        <f t="shared" si="16"/>
        <v>0</v>
      </c>
      <c r="R66" s="68" t="e">
        <f t="shared" si="5"/>
        <v>#DIV/0!</v>
      </c>
      <c r="S66" s="68" t="e">
        <f t="shared" si="6"/>
        <v>#DIV/0!</v>
      </c>
      <c r="T66" s="68" t="e">
        <f t="shared" si="7"/>
        <v>#DIV/0!</v>
      </c>
      <c r="U66" s="68" t="e">
        <f t="shared" si="8"/>
        <v>#DIV/0!</v>
      </c>
      <c r="V66" s="68" t="e">
        <f t="shared" si="9"/>
        <v>#DIV/0!</v>
      </c>
      <c r="X66" s="64">
        <v>45</v>
      </c>
      <c r="Y66" s="72">
        <f t="shared" si="17"/>
        <v>0</v>
      </c>
      <c r="AB66" s="68">
        <f t="shared" si="10"/>
        <v>0.97827945193393751</v>
      </c>
      <c r="AC66" s="68">
        <f t="shared" si="11"/>
        <v>0.81057429398924641</v>
      </c>
      <c r="AD66" s="68">
        <f t="shared" si="12"/>
        <v>0.16396806491792684</v>
      </c>
      <c r="AE66" s="68">
        <f t="shared" si="13"/>
        <v>0.20880509202963629</v>
      </c>
      <c r="AF66" s="68">
        <f t="shared" si="14"/>
        <v>15.752143310149364</v>
      </c>
      <c r="AG66" s="21"/>
    </row>
    <row r="67" spans="2:33" x14ac:dyDescent="0.3">
      <c r="B67" s="22"/>
      <c r="D67" s="64">
        <v>46</v>
      </c>
      <c r="E67" s="100">
        <f t="shared" si="15"/>
        <v>0</v>
      </c>
      <c r="H67" s="68" t="e">
        <f t="shared" si="0"/>
        <v>#DIV/0!</v>
      </c>
      <c r="I67" s="68" t="e">
        <f t="shared" si="1"/>
        <v>#DIV/0!</v>
      </c>
      <c r="J67" s="68" t="e">
        <f t="shared" si="2"/>
        <v>#DIV/0!</v>
      </c>
      <c r="K67" s="68" t="e">
        <f t="shared" si="3"/>
        <v>#DIV/0!</v>
      </c>
      <c r="L67" s="68" t="e">
        <f t="shared" si="4"/>
        <v>#DIV/0!</v>
      </c>
      <c r="N67" s="64">
        <v>46</v>
      </c>
      <c r="O67" s="72">
        <f t="shared" si="16"/>
        <v>0</v>
      </c>
      <c r="R67" s="68" t="e">
        <f t="shared" si="5"/>
        <v>#DIV/0!</v>
      </c>
      <c r="S67" s="68" t="e">
        <f t="shared" si="6"/>
        <v>#DIV/0!</v>
      </c>
      <c r="T67" s="68" t="e">
        <f t="shared" si="7"/>
        <v>#DIV/0!</v>
      </c>
      <c r="U67" s="68" t="e">
        <f t="shared" si="8"/>
        <v>#DIV/0!</v>
      </c>
      <c r="V67" s="68" t="e">
        <f t="shared" si="9"/>
        <v>#DIV/0!</v>
      </c>
      <c r="X67" s="64">
        <v>46</v>
      </c>
      <c r="Y67" s="72">
        <f t="shared" si="17"/>
        <v>0</v>
      </c>
      <c r="AB67" s="68">
        <f t="shared" si="10"/>
        <v>0.97827945193393751</v>
      </c>
      <c r="AC67" s="68">
        <f t="shared" si="11"/>
        <v>0.81057429398924641</v>
      </c>
      <c r="AD67" s="68">
        <f t="shared" si="12"/>
        <v>0.16396806491792684</v>
      </c>
      <c r="AE67" s="68">
        <f t="shared" si="13"/>
        <v>0.20880509202963629</v>
      </c>
      <c r="AF67" s="68">
        <f t="shared" si="14"/>
        <v>15.752143310149364</v>
      </c>
      <c r="AG67" s="21"/>
    </row>
    <row r="68" spans="2:33" x14ac:dyDescent="0.3">
      <c r="B68" s="22"/>
      <c r="D68" s="64">
        <v>47</v>
      </c>
      <c r="E68" s="100">
        <f t="shared" si="15"/>
        <v>0</v>
      </c>
      <c r="H68" s="68" t="e">
        <f t="shared" si="0"/>
        <v>#DIV/0!</v>
      </c>
      <c r="I68" s="68" t="e">
        <f t="shared" si="1"/>
        <v>#DIV/0!</v>
      </c>
      <c r="J68" s="68" t="e">
        <f t="shared" si="2"/>
        <v>#DIV/0!</v>
      </c>
      <c r="K68" s="68" t="e">
        <f t="shared" si="3"/>
        <v>#DIV/0!</v>
      </c>
      <c r="L68" s="68" t="e">
        <f t="shared" si="4"/>
        <v>#DIV/0!</v>
      </c>
      <c r="N68" s="64">
        <v>47</v>
      </c>
      <c r="O68" s="72">
        <f t="shared" si="16"/>
        <v>0</v>
      </c>
      <c r="R68" s="68" t="e">
        <f t="shared" si="5"/>
        <v>#DIV/0!</v>
      </c>
      <c r="S68" s="68" t="e">
        <f t="shared" si="6"/>
        <v>#DIV/0!</v>
      </c>
      <c r="T68" s="68" t="e">
        <f t="shared" si="7"/>
        <v>#DIV/0!</v>
      </c>
      <c r="U68" s="68" t="e">
        <f t="shared" si="8"/>
        <v>#DIV/0!</v>
      </c>
      <c r="V68" s="68" t="e">
        <f t="shared" si="9"/>
        <v>#DIV/0!</v>
      </c>
      <c r="X68" s="64">
        <v>47</v>
      </c>
      <c r="Y68" s="72">
        <f t="shared" si="17"/>
        <v>0</v>
      </c>
      <c r="AB68" s="68">
        <f t="shared" si="10"/>
        <v>0.97827945193393751</v>
      </c>
      <c r="AC68" s="68">
        <f t="shared" si="11"/>
        <v>0.81057429398924641</v>
      </c>
      <c r="AD68" s="68">
        <f t="shared" si="12"/>
        <v>0.16396806491792684</v>
      </c>
      <c r="AE68" s="68">
        <f t="shared" si="13"/>
        <v>0.20880509202963629</v>
      </c>
      <c r="AF68" s="68">
        <f t="shared" si="14"/>
        <v>15.752143310149364</v>
      </c>
      <c r="AG68" s="21"/>
    </row>
    <row r="69" spans="2:33" x14ac:dyDescent="0.3">
      <c r="B69" s="22"/>
      <c r="D69" s="64">
        <v>48</v>
      </c>
      <c r="E69" s="100">
        <f t="shared" si="15"/>
        <v>0</v>
      </c>
      <c r="H69" s="68" t="e">
        <f t="shared" si="0"/>
        <v>#DIV/0!</v>
      </c>
      <c r="I69" s="68" t="e">
        <f t="shared" si="1"/>
        <v>#DIV/0!</v>
      </c>
      <c r="J69" s="68" t="e">
        <f t="shared" si="2"/>
        <v>#DIV/0!</v>
      </c>
      <c r="K69" s="68" t="e">
        <f t="shared" si="3"/>
        <v>#DIV/0!</v>
      </c>
      <c r="L69" s="68" t="e">
        <f t="shared" si="4"/>
        <v>#DIV/0!</v>
      </c>
      <c r="N69" s="64">
        <v>48</v>
      </c>
      <c r="O69" s="72">
        <f t="shared" si="16"/>
        <v>0</v>
      </c>
      <c r="R69" s="68" t="e">
        <f t="shared" si="5"/>
        <v>#DIV/0!</v>
      </c>
      <c r="S69" s="68" t="e">
        <f t="shared" si="6"/>
        <v>#DIV/0!</v>
      </c>
      <c r="T69" s="68" t="e">
        <f t="shared" si="7"/>
        <v>#DIV/0!</v>
      </c>
      <c r="U69" s="68" t="e">
        <f t="shared" si="8"/>
        <v>#DIV/0!</v>
      </c>
      <c r="V69" s="68" t="e">
        <f t="shared" si="9"/>
        <v>#DIV/0!</v>
      </c>
      <c r="X69" s="64">
        <v>48</v>
      </c>
      <c r="Y69" s="72">
        <f t="shared" si="17"/>
        <v>0</v>
      </c>
      <c r="AB69" s="68">
        <f t="shared" si="10"/>
        <v>0.97827945193393751</v>
      </c>
      <c r="AC69" s="68">
        <f t="shared" si="11"/>
        <v>0.81057429398924641</v>
      </c>
      <c r="AD69" s="68">
        <f t="shared" si="12"/>
        <v>0.16396806491792684</v>
      </c>
      <c r="AE69" s="68">
        <f t="shared" si="13"/>
        <v>0.20880509202963629</v>
      </c>
      <c r="AF69" s="68">
        <f t="shared" si="14"/>
        <v>15.752143310149364</v>
      </c>
      <c r="AG69" s="21"/>
    </row>
    <row r="70" spans="2:33" x14ac:dyDescent="0.3">
      <c r="B70" s="22"/>
      <c r="D70" s="64">
        <v>49</v>
      </c>
      <c r="E70" s="100">
        <f t="shared" si="15"/>
        <v>0</v>
      </c>
      <c r="H70" s="68" t="e">
        <f t="shared" si="0"/>
        <v>#DIV/0!</v>
      </c>
      <c r="I70" s="68" t="e">
        <f t="shared" si="1"/>
        <v>#DIV/0!</v>
      </c>
      <c r="J70" s="68" t="e">
        <f t="shared" si="2"/>
        <v>#DIV/0!</v>
      </c>
      <c r="K70" s="68" t="e">
        <f t="shared" si="3"/>
        <v>#DIV/0!</v>
      </c>
      <c r="L70" s="68" t="e">
        <f t="shared" si="4"/>
        <v>#DIV/0!</v>
      </c>
      <c r="N70" s="64">
        <v>49</v>
      </c>
      <c r="O70" s="72">
        <f t="shared" si="16"/>
        <v>0</v>
      </c>
      <c r="R70" s="68" t="e">
        <f t="shared" si="5"/>
        <v>#DIV/0!</v>
      </c>
      <c r="S70" s="68" t="e">
        <f t="shared" si="6"/>
        <v>#DIV/0!</v>
      </c>
      <c r="T70" s="68" t="e">
        <f t="shared" si="7"/>
        <v>#DIV/0!</v>
      </c>
      <c r="U70" s="68" t="e">
        <f t="shared" si="8"/>
        <v>#DIV/0!</v>
      </c>
      <c r="V70" s="68" t="e">
        <f t="shared" si="9"/>
        <v>#DIV/0!</v>
      </c>
      <c r="X70" s="64">
        <v>49</v>
      </c>
      <c r="Y70" s="72">
        <f t="shared" si="17"/>
        <v>0</v>
      </c>
      <c r="AB70" s="68">
        <f t="shared" si="10"/>
        <v>0.97827945193393751</v>
      </c>
      <c r="AC70" s="68">
        <f t="shared" si="11"/>
        <v>0.81057429398924641</v>
      </c>
      <c r="AD70" s="68">
        <f t="shared" si="12"/>
        <v>0.16396806491792684</v>
      </c>
      <c r="AE70" s="68">
        <f t="shared" si="13"/>
        <v>0.20880509202963629</v>
      </c>
      <c r="AF70" s="68">
        <f t="shared" si="14"/>
        <v>15.752143310149364</v>
      </c>
      <c r="AG70" s="21"/>
    </row>
    <row r="71" spans="2:33" x14ac:dyDescent="0.3">
      <c r="B71" s="22"/>
      <c r="D71" s="64">
        <v>50</v>
      </c>
      <c r="E71" s="100">
        <f t="shared" si="15"/>
        <v>0</v>
      </c>
      <c r="H71" s="68" t="e">
        <f t="shared" si="0"/>
        <v>#DIV/0!</v>
      </c>
      <c r="I71" s="68" t="e">
        <f t="shared" si="1"/>
        <v>#DIV/0!</v>
      </c>
      <c r="J71" s="68" t="e">
        <f t="shared" si="2"/>
        <v>#DIV/0!</v>
      </c>
      <c r="K71" s="68" t="e">
        <f t="shared" si="3"/>
        <v>#DIV/0!</v>
      </c>
      <c r="L71" s="68" t="e">
        <f t="shared" si="4"/>
        <v>#DIV/0!</v>
      </c>
      <c r="N71" s="64">
        <v>50</v>
      </c>
      <c r="O71" s="72">
        <f t="shared" si="16"/>
        <v>0</v>
      </c>
      <c r="R71" s="68" t="e">
        <f t="shared" si="5"/>
        <v>#DIV/0!</v>
      </c>
      <c r="S71" s="68" t="e">
        <f t="shared" si="6"/>
        <v>#DIV/0!</v>
      </c>
      <c r="T71" s="68" t="e">
        <f t="shared" si="7"/>
        <v>#DIV/0!</v>
      </c>
      <c r="U71" s="68" t="e">
        <f t="shared" si="8"/>
        <v>#DIV/0!</v>
      </c>
      <c r="V71" s="68" t="e">
        <f t="shared" si="9"/>
        <v>#DIV/0!</v>
      </c>
      <c r="X71" s="64">
        <v>50</v>
      </c>
      <c r="Y71" s="72">
        <f t="shared" si="17"/>
        <v>0</v>
      </c>
      <c r="AB71" s="68">
        <f t="shared" si="10"/>
        <v>0.97827945193393751</v>
      </c>
      <c r="AC71" s="68">
        <f t="shared" si="11"/>
        <v>0.81057429398924641</v>
      </c>
      <c r="AD71" s="68">
        <f t="shared" si="12"/>
        <v>0.16396806491792684</v>
      </c>
      <c r="AE71" s="68">
        <f t="shared" si="13"/>
        <v>0.20880509202963629</v>
      </c>
      <c r="AF71" s="68">
        <f t="shared" si="14"/>
        <v>15.752143310149364</v>
      </c>
      <c r="AG71" s="21"/>
    </row>
    <row r="72" spans="2:33" x14ac:dyDescent="0.3">
      <c r="B72" s="22"/>
      <c r="D72" s="64">
        <v>51</v>
      </c>
      <c r="E72" s="100">
        <f t="shared" si="15"/>
        <v>0</v>
      </c>
      <c r="H72" s="68" t="e">
        <f t="shared" si="0"/>
        <v>#DIV/0!</v>
      </c>
      <c r="I72" s="68" t="e">
        <f t="shared" si="1"/>
        <v>#DIV/0!</v>
      </c>
      <c r="J72" s="68" t="e">
        <f t="shared" si="2"/>
        <v>#DIV/0!</v>
      </c>
      <c r="K72" s="68" t="e">
        <f t="shared" si="3"/>
        <v>#DIV/0!</v>
      </c>
      <c r="L72" s="68" t="e">
        <f t="shared" si="4"/>
        <v>#DIV/0!</v>
      </c>
      <c r="N72" s="64">
        <v>51</v>
      </c>
      <c r="O72" s="72">
        <f t="shared" si="16"/>
        <v>0</v>
      </c>
      <c r="R72" s="68" t="e">
        <f t="shared" si="5"/>
        <v>#DIV/0!</v>
      </c>
      <c r="S72" s="68" t="e">
        <f t="shared" si="6"/>
        <v>#DIV/0!</v>
      </c>
      <c r="T72" s="68" t="e">
        <f t="shared" si="7"/>
        <v>#DIV/0!</v>
      </c>
      <c r="U72" s="68" t="e">
        <f t="shared" si="8"/>
        <v>#DIV/0!</v>
      </c>
      <c r="V72" s="68" t="e">
        <f t="shared" si="9"/>
        <v>#DIV/0!</v>
      </c>
      <c r="X72" s="64">
        <v>51</v>
      </c>
      <c r="Y72" s="72">
        <f t="shared" si="17"/>
        <v>0</v>
      </c>
      <c r="AB72" s="68">
        <f t="shared" si="10"/>
        <v>0.97827945193393751</v>
      </c>
      <c r="AC72" s="68">
        <f t="shared" si="11"/>
        <v>0.81057429398924641</v>
      </c>
      <c r="AD72" s="68">
        <f t="shared" si="12"/>
        <v>0.16396806491792684</v>
      </c>
      <c r="AE72" s="68">
        <f t="shared" si="13"/>
        <v>0.20880509202963629</v>
      </c>
      <c r="AF72" s="68">
        <f t="shared" si="14"/>
        <v>15.752143310149364</v>
      </c>
      <c r="AG72" s="21"/>
    </row>
    <row r="73" spans="2:33" x14ac:dyDescent="0.3">
      <c r="B73" s="22"/>
      <c r="D73" s="64">
        <v>52</v>
      </c>
      <c r="E73" s="100">
        <f t="shared" si="15"/>
        <v>0</v>
      </c>
      <c r="H73" s="68" t="e">
        <f t="shared" si="0"/>
        <v>#DIV/0!</v>
      </c>
      <c r="I73" s="68" t="e">
        <f t="shared" si="1"/>
        <v>#DIV/0!</v>
      </c>
      <c r="J73" s="68" t="e">
        <f t="shared" si="2"/>
        <v>#DIV/0!</v>
      </c>
      <c r="K73" s="68" t="e">
        <f t="shared" si="3"/>
        <v>#DIV/0!</v>
      </c>
      <c r="L73" s="68" t="e">
        <f t="shared" si="4"/>
        <v>#DIV/0!</v>
      </c>
      <c r="N73" s="64">
        <v>52</v>
      </c>
      <c r="O73" s="72">
        <f t="shared" si="16"/>
        <v>0</v>
      </c>
      <c r="R73" s="68" t="e">
        <f t="shared" si="5"/>
        <v>#DIV/0!</v>
      </c>
      <c r="S73" s="68" t="e">
        <f t="shared" si="6"/>
        <v>#DIV/0!</v>
      </c>
      <c r="T73" s="68" t="e">
        <f t="shared" si="7"/>
        <v>#DIV/0!</v>
      </c>
      <c r="U73" s="68" t="e">
        <f t="shared" si="8"/>
        <v>#DIV/0!</v>
      </c>
      <c r="V73" s="68" t="e">
        <f t="shared" si="9"/>
        <v>#DIV/0!</v>
      </c>
      <c r="X73" s="64">
        <v>52</v>
      </c>
      <c r="Y73" s="72">
        <f t="shared" si="17"/>
        <v>0</v>
      </c>
      <c r="AB73" s="68">
        <f t="shared" si="10"/>
        <v>0.97827945193393751</v>
      </c>
      <c r="AC73" s="68">
        <f t="shared" si="11"/>
        <v>0.81057429398924641</v>
      </c>
      <c r="AD73" s="68">
        <f t="shared" si="12"/>
        <v>0.16396806491792684</v>
      </c>
      <c r="AE73" s="68">
        <f t="shared" si="13"/>
        <v>0.20880509202963629</v>
      </c>
      <c r="AF73" s="68">
        <f t="shared" si="14"/>
        <v>15.752143310149364</v>
      </c>
      <c r="AG73" s="21"/>
    </row>
    <row r="74" spans="2:33" x14ac:dyDescent="0.3">
      <c r="B74" s="22"/>
      <c r="D74" s="64">
        <v>53</v>
      </c>
      <c r="E74" s="100">
        <f t="shared" si="15"/>
        <v>0</v>
      </c>
      <c r="H74" s="68" t="e">
        <f t="shared" si="0"/>
        <v>#DIV/0!</v>
      </c>
      <c r="I74" s="68" t="e">
        <f t="shared" si="1"/>
        <v>#DIV/0!</v>
      </c>
      <c r="J74" s="68" t="e">
        <f t="shared" si="2"/>
        <v>#DIV/0!</v>
      </c>
      <c r="K74" s="68" t="e">
        <f t="shared" si="3"/>
        <v>#DIV/0!</v>
      </c>
      <c r="L74" s="68" t="e">
        <f t="shared" si="4"/>
        <v>#DIV/0!</v>
      </c>
      <c r="N74" s="64">
        <v>53</v>
      </c>
      <c r="O74" s="72">
        <f t="shared" si="16"/>
        <v>0</v>
      </c>
      <c r="R74" s="68" t="e">
        <f t="shared" si="5"/>
        <v>#DIV/0!</v>
      </c>
      <c r="S74" s="68" t="e">
        <f t="shared" si="6"/>
        <v>#DIV/0!</v>
      </c>
      <c r="T74" s="68" t="e">
        <f t="shared" si="7"/>
        <v>#DIV/0!</v>
      </c>
      <c r="U74" s="68" t="e">
        <f t="shared" si="8"/>
        <v>#DIV/0!</v>
      </c>
      <c r="V74" s="68" t="e">
        <f t="shared" si="9"/>
        <v>#DIV/0!</v>
      </c>
      <c r="X74" s="64">
        <v>53</v>
      </c>
      <c r="Y74" s="72">
        <f t="shared" si="17"/>
        <v>0</v>
      </c>
      <c r="AB74" s="68">
        <f t="shared" si="10"/>
        <v>0.97827945193393751</v>
      </c>
      <c r="AC74" s="68">
        <f t="shared" si="11"/>
        <v>0.81057429398924641</v>
      </c>
      <c r="AD74" s="68">
        <f t="shared" si="12"/>
        <v>0.16396806491792684</v>
      </c>
      <c r="AE74" s="68">
        <f t="shared" si="13"/>
        <v>0.20880509202963629</v>
      </c>
      <c r="AF74" s="68">
        <f t="shared" si="14"/>
        <v>15.752143310149364</v>
      </c>
      <c r="AG74" s="21"/>
    </row>
    <row r="75" spans="2:33" x14ac:dyDescent="0.3">
      <c r="B75" s="22"/>
      <c r="D75" s="64">
        <v>54</v>
      </c>
      <c r="E75" s="100">
        <f t="shared" si="15"/>
        <v>0</v>
      </c>
      <c r="H75" s="68" t="e">
        <f t="shared" si="0"/>
        <v>#DIV/0!</v>
      </c>
      <c r="I75" s="68" t="e">
        <f t="shared" si="1"/>
        <v>#DIV/0!</v>
      </c>
      <c r="J75" s="68" t="e">
        <f t="shared" si="2"/>
        <v>#DIV/0!</v>
      </c>
      <c r="K75" s="68" t="e">
        <f t="shared" si="3"/>
        <v>#DIV/0!</v>
      </c>
      <c r="L75" s="68" t="e">
        <f t="shared" si="4"/>
        <v>#DIV/0!</v>
      </c>
      <c r="N75" s="64">
        <v>54</v>
      </c>
      <c r="O75" s="72">
        <f t="shared" si="16"/>
        <v>0</v>
      </c>
      <c r="R75" s="68" t="e">
        <f t="shared" si="5"/>
        <v>#DIV/0!</v>
      </c>
      <c r="S75" s="68" t="e">
        <f t="shared" si="6"/>
        <v>#DIV/0!</v>
      </c>
      <c r="T75" s="68" t="e">
        <f t="shared" si="7"/>
        <v>#DIV/0!</v>
      </c>
      <c r="U75" s="68" t="e">
        <f t="shared" si="8"/>
        <v>#DIV/0!</v>
      </c>
      <c r="V75" s="68" t="e">
        <f t="shared" si="9"/>
        <v>#DIV/0!</v>
      </c>
      <c r="X75" s="64">
        <v>54</v>
      </c>
      <c r="Y75" s="72">
        <f t="shared" si="17"/>
        <v>0</v>
      </c>
      <c r="AB75" s="68">
        <f t="shared" si="10"/>
        <v>0.97827945193393751</v>
      </c>
      <c r="AC75" s="68">
        <f t="shared" si="11"/>
        <v>0.81057429398924641</v>
      </c>
      <c r="AD75" s="68">
        <f t="shared" si="12"/>
        <v>0.16396806491792684</v>
      </c>
      <c r="AE75" s="68">
        <f t="shared" si="13"/>
        <v>0.20880509202963629</v>
      </c>
      <c r="AF75" s="68">
        <f t="shared" si="14"/>
        <v>15.752143310149364</v>
      </c>
      <c r="AG75" s="21"/>
    </row>
    <row r="76" spans="2:33" x14ac:dyDescent="0.3">
      <c r="B76" s="22"/>
      <c r="D76" s="64">
        <v>55</v>
      </c>
      <c r="E76" s="100">
        <f t="shared" si="15"/>
        <v>0</v>
      </c>
      <c r="H76" s="68" t="e">
        <f t="shared" si="0"/>
        <v>#DIV/0!</v>
      </c>
      <c r="I76" s="68" t="e">
        <f t="shared" si="1"/>
        <v>#DIV/0!</v>
      </c>
      <c r="J76" s="68" t="e">
        <f t="shared" si="2"/>
        <v>#DIV/0!</v>
      </c>
      <c r="K76" s="68" t="e">
        <f t="shared" si="3"/>
        <v>#DIV/0!</v>
      </c>
      <c r="L76" s="68" t="e">
        <f t="shared" si="4"/>
        <v>#DIV/0!</v>
      </c>
      <c r="N76" s="64">
        <v>55</v>
      </c>
      <c r="O76" s="72">
        <f t="shared" si="16"/>
        <v>0</v>
      </c>
      <c r="R76" s="68" t="e">
        <f t="shared" si="5"/>
        <v>#DIV/0!</v>
      </c>
      <c r="S76" s="68" t="e">
        <f t="shared" si="6"/>
        <v>#DIV/0!</v>
      </c>
      <c r="T76" s="68" t="e">
        <f t="shared" si="7"/>
        <v>#DIV/0!</v>
      </c>
      <c r="U76" s="68" t="e">
        <f t="shared" si="8"/>
        <v>#DIV/0!</v>
      </c>
      <c r="V76" s="68" t="e">
        <f t="shared" si="9"/>
        <v>#DIV/0!</v>
      </c>
      <c r="X76" s="64">
        <v>55</v>
      </c>
      <c r="Y76" s="72">
        <f t="shared" si="17"/>
        <v>0</v>
      </c>
      <c r="AB76" s="68">
        <f t="shared" si="10"/>
        <v>0.97827945193393751</v>
      </c>
      <c r="AC76" s="68">
        <f t="shared" si="11"/>
        <v>0.81057429398924641</v>
      </c>
      <c r="AD76" s="68">
        <f t="shared" si="12"/>
        <v>0.16396806491792684</v>
      </c>
      <c r="AE76" s="68">
        <f t="shared" si="13"/>
        <v>0.20880509202963629</v>
      </c>
      <c r="AF76" s="68">
        <f t="shared" si="14"/>
        <v>15.752143310149364</v>
      </c>
      <c r="AG76" s="21"/>
    </row>
    <row r="77" spans="2:33" x14ac:dyDescent="0.3">
      <c r="B77" s="22"/>
      <c r="D77" s="64">
        <v>56</v>
      </c>
      <c r="E77" s="100">
        <f t="shared" si="15"/>
        <v>0</v>
      </c>
      <c r="H77" s="68" t="e">
        <f t="shared" si="0"/>
        <v>#DIV/0!</v>
      </c>
      <c r="I77" s="68" t="e">
        <f t="shared" si="1"/>
        <v>#DIV/0!</v>
      </c>
      <c r="J77" s="68" t="e">
        <f t="shared" si="2"/>
        <v>#DIV/0!</v>
      </c>
      <c r="K77" s="68" t="e">
        <f t="shared" si="3"/>
        <v>#DIV/0!</v>
      </c>
      <c r="L77" s="68" t="e">
        <f t="shared" si="4"/>
        <v>#DIV/0!</v>
      </c>
      <c r="N77" s="64">
        <v>56</v>
      </c>
      <c r="O77" s="72">
        <f t="shared" si="16"/>
        <v>0</v>
      </c>
      <c r="R77" s="68" t="e">
        <f t="shared" si="5"/>
        <v>#DIV/0!</v>
      </c>
      <c r="S77" s="68" t="e">
        <f t="shared" si="6"/>
        <v>#DIV/0!</v>
      </c>
      <c r="T77" s="68" t="e">
        <f t="shared" si="7"/>
        <v>#DIV/0!</v>
      </c>
      <c r="U77" s="68" t="e">
        <f t="shared" si="8"/>
        <v>#DIV/0!</v>
      </c>
      <c r="V77" s="68" t="e">
        <f t="shared" si="9"/>
        <v>#DIV/0!</v>
      </c>
      <c r="X77" s="64">
        <v>56</v>
      </c>
      <c r="Y77" s="72">
        <f t="shared" si="17"/>
        <v>0</v>
      </c>
      <c r="AB77" s="68">
        <f t="shared" si="10"/>
        <v>0.97827945193393751</v>
      </c>
      <c r="AC77" s="68">
        <f t="shared" si="11"/>
        <v>0.81057429398924641</v>
      </c>
      <c r="AD77" s="68">
        <f t="shared" si="12"/>
        <v>0.16396806491792684</v>
      </c>
      <c r="AE77" s="68">
        <f t="shared" si="13"/>
        <v>0.20880509202963629</v>
      </c>
      <c r="AF77" s="68">
        <f t="shared" si="14"/>
        <v>15.752143310149364</v>
      </c>
      <c r="AG77" s="21"/>
    </row>
    <row r="78" spans="2:33" x14ac:dyDescent="0.3">
      <c r="B78" s="22"/>
      <c r="D78" s="64">
        <v>57</v>
      </c>
      <c r="E78" s="100">
        <f t="shared" si="15"/>
        <v>0</v>
      </c>
      <c r="H78" s="68" t="e">
        <f t="shared" si="0"/>
        <v>#DIV/0!</v>
      </c>
      <c r="I78" s="68" t="e">
        <f t="shared" si="1"/>
        <v>#DIV/0!</v>
      </c>
      <c r="J78" s="68" t="e">
        <f t="shared" si="2"/>
        <v>#DIV/0!</v>
      </c>
      <c r="K78" s="68" t="e">
        <f t="shared" si="3"/>
        <v>#DIV/0!</v>
      </c>
      <c r="L78" s="68" t="e">
        <f t="shared" si="4"/>
        <v>#DIV/0!</v>
      </c>
      <c r="N78" s="64">
        <v>57</v>
      </c>
      <c r="O78" s="72">
        <f t="shared" si="16"/>
        <v>0</v>
      </c>
      <c r="R78" s="68" t="e">
        <f t="shared" si="5"/>
        <v>#DIV/0!</v>
      </c>
      <c r="S78" s="68" t="e">
        <f t="shared" si="6"/>
        <v>#DIV/0!</v>
      </c>
      <c r="T78" s="68" t="e">
        <f t="shared" si="7"/>
        <v>#DIV/0!</v>
      </c>
      <c r="U78" s="68" t="e">
        <f t="shared" si="8"/>
        <v>#DIV/0!</v>
      </c>
      <c r="V78" s="68" t="e">
        <f t="shared" si="9"/>
        <v>#DIV/0!</v>
      </c>
      <c r="X78" s="64">
        <v>57</v>
      </c>
      <c r="Y78" s="72">
        <f t="shared" si="17"/>
        <v>0</v>
      </c>
      <c r="AB78" s="68">
        <f t="shared" si="10"/>
        <v>0.97827945193393751</v>
      </c>
      <c r="AC78" s="68">
        <f t="shared" si="11"/>
        <v>0.81057429398924641</v>
      </c>
      <c r="AD78" s="68">
        <f t="shared" si="12"/>
        <v>0.16396806491792684</v>
      </c>
      <c r="AE78" s="68">
        <f t="shared" si="13"/>
        <v>0.20880509202963629</v>
      </c>
      <c r="AF78" s="68">
        <f t="shared" si="14"/>
        <v>15.752143310149364</v>
      </c>
      <c r="AG78" s="21"/>
    </row>
    <row r="79" spans="2:33" x14ac:dyDescent="0.3">
      <c r="B79" s="22"/>
      <c r="D79" s="64">
        <v>58</v>
      </c>
      <c r="E79" s="100">
        <f t="shared" si="15"/>
        <v>0</v>
      </c>
      <c r="H79" s="68" t="e">
        <f t="shared" si="0"/>
        <v>#DIV/0!</v>
      </c>
      <c r="I79" s="68" t="e">
        <f t="shared" si="1"/>
        <v>#DIV/0!</v>
      </c>
      <c r="J79" s="68" t="e">
        <f t="shared" si="2"/>
        <v>#DIV/0!</v>
      </c>
      <c r="K79" s="68" t="e">
        <f t="shared" si="3"/>
        <v>#DIV/0!</v>
      </c>
      <c r="L79" s="68" t="e">
        <f t="shared" si="4"/>
        <v>#DIV/0!</v>
      </c>
      <c r="N79" s="64">
        <v>58</v>
      </c>
      <c r="O79" s="72">
        <f t="shared" si="16"/>
        <v>0</v>
      </c>
      <c r="R79" s="68" t="e">
        <f t="shared" si="5"/>
        <v>#DIV/0!</v>
      </c>
      <c r="S79" s="68" t="e">
        <f t="shared" si="6"/>
        <v>#DIV/0!</v>
      </c>
      <c r="T79" s="68" t="e">
        <f t="shared" si="7"/>
        <v>#DIV/0!</v>
      </c>
      <c r="U79" s="68" t="e">
        <f t="shared" si="8"/>
        <v>#DIV/0!</v>
      </c>
      <c r="V79" s="68" t="e">
        <f t="shared" si="9"/>
        <v>#DIV/0!</v>
      </c>
      <c r="X79" s="64">
        <v>58</v>
      </c>
      <c r="Y79" s="72">
        <f t="shared" si="17"/>
        <v>0</v>
      </c>
      <c r="AB79" s="68">
        <f t="shared" si="10"/>
        <v>0.97827945193393751</v>
      </c>
      <c r="AC79" s="68">
        <f t="shared" si="11"/>
        <v>0.81057429398924641</v>
      </c>
      <c r="AD79" s="68">
        <f t="shared" si="12"/>
        <v>0.16396806491792684</v>
      </c>
      <c r="AE79" s="68">
        <f t="shared" si="13"/>
        <v>0.20880509202963629</v>
      </c>
      <c r="AF79" s="68">
        <f t="shared" si="14"/>
        <v>15.752143310149364</v>
      </c>
      <c r="AG79" s="21"/>
    </row>
    <row r="80" spans="2:33" x14ac:dyDescent="0.3">
      <c r="B80" s="22"/>
      <c r="D80" s="64">
        <v>59</v>
      </c>
      <c r="E80" s="100">
        <f t="shared" si="15"/>
        <v>0</v>
      </c>
      <c r="H80" s="68" t="e">
        <f t="shared" si="0"/>
        <v>#DIV/0!</v>
      </c>
      <c r="I80" s="68" t="e">
        <f t="shared" si="1"/>
        <v>#DIV/0!</v>
      </c>
      <c r="J80" s="68" t="e">
        <f t="shared" si="2"/>
        <v>#DIV/0!</v>
      </c>
      <c r="K80" s="68" t="e">
        <f t="shared" si="3"/>
        <v>#DIV/0!</v>
      </c>
      <c r="L80" s="68" t="e">
        <f t="shared" si="4"/>
        <v>#DIV/0!</v>
      </c>
      <c r="N80" s="64">
        <v>59</v>
      </c>
      <c r="O80" s="72">
        <f t="shared" si="16"/>
        <v>0</v>
      </c>
      <c r="R80" s="68" t="e">
        <f t="shared" si="5"/>
        <v>#DIV/0!</v>
      </c>
      <c r="S80" s="68" t="e">
        <f t="shared" si="6"/>
        <v>#DIV/0!</v>
      </c>
      <c r="T80" s="68" t="e">
        <f t="shared" si="7"/>
        <v>#DIV/0!</v>
      </c>
      <c r="U80" s="68" t="e">
        <f t="shared" si="8"/>
        <v>#DIV/0!</v>
      </c>
      <c r="V80" s="68" t="e">
        <f t="shared" si="9"/>
        <v>#DIV/0!</v>
      </c>
      <c r="X80" s="64">
        <v>59</v>
      </c>
      <c r="Y80" s="72">
        <f t="shared" si="17"/>
        <v>0</v>
      </c>
      <c r="AB80" s="68">
        <f t="shared" si="10"/>
        <v>0.97827945193393751</v>
      </c>
      <c r="AC80" s="68">
        <f t="shared" si="11"/>
        <v>0.81057429398924641</v>
      </c>
      <c r="AD80" s="68">
        <f t="shared" si="12"/>
        <v>0.16396806491792684</v>
      </c>
      <c r="AE80" s="68">
        <f t="shared" si="13"/>
        <v>0.20880509202963629</v>
      </c>
      <c r="AF80" s="68">
        <f t="shared" si="14"/>
        <v>15.752143310149364</v>
      </c>
      <c r="AG80" s="21"/>
    </row>
    <row r="81" spans="2:33" x14ac:dyDescent="0.3">
      <c r="B81" s="22"/>
      <c r="D81" s="64">
        <v>60</v>
      </c>
      <c r="E81" s="100">
        <f t="shared" si="15"/>
        <v>0</v>
      </c>
      <c r="H81" s="68" t="e">
        <f t="shared" si="0"/>
        <v>#DIV/0!</v>
      </c>
      <c r="I81" s="68" t="e">
        <f t="shared" si="1"/>
        <v>#DIV/0!</v>
      </c>
      <c r="J81" s="68" t="e">
        <f t="shared" si="2"/>
        <v>#DIV/0!</v>
      </c>
      <c r="K81" s="68" t="e">
        <f t="shared" si="3"/>
        <v>#DIV/0!</v>
      </c>
      <c r="L81" s="68" t="e">
        <f t="shared" si="4"/>
        <v>#DIV/0!</v>
      </c>
      <c r="N81" s="64">
        <v>60</v>
      </c>
      <c r="O81" s="72">
        <f t="shared" si="16"/>
        <v>0</v>
      </c>
      <c r="R81" s="68" t="e">
        <f t="shared" si="5"/>
        <v>#DIV/0!</v>
      </c>
      <c r="S81" s="68" t="e">
        <f t="shared" si="6"/>
        <v>#DIV/0!</v>
      </c>
      <c r="T81" s="68" t="e">
        <f t="shared" si="7"/>
        <v>#DIV/0!</v>
      </c>
      <c r="U81" s="68" t="e">
        <f t="shared" si="8"/>
        <v>#DIV/0!</v>
      </c>
      <c r="V81" s="68" t="e">
        <f t="shared" si="9"/>
        <v>#DIV/0!</v>
      </c>
      <c r="X81" s="64">
        <v>60</v>
      </c>
      <c r="Y81" s="72">
        <f t="shared" si="17"/>
        <v>0</v>
      </c>
      <c r="AB81" s="68">
        <f t="shared" si="10"/>
        <v>0.97827945193393751</v>
      </c>
      <c r="AC81" s="68">
        <f t="shared" si="11"/>
        <v>0.81057429398924641</v>
      </c>
      <c r="AD81" s="68">
        <f t="shared" si="12"/>
        <v>0.16396806491792684</v>
      </c>
      <c r="AE81" s="68">
        <f t="shared" si="13"/>
        <v>0.20880509202963629</v>
      </c>
      <c r="AF81" s="68">
        <f t="shared" si="14"/>
        <v>15.752143310149364</v>
      </c>
      <c r="AG81" s="21"/>
    </row>
    <row r="82" spans="2:33" x14ac:dyDescent="0.3">
      <c r="B82" s="22"/>
      <c r="D82" s="64">
        <v>61</v>
      </c>
      <c r="E82" s="100">
        <f t="shared" si="15"/>
        <v>0</v>
      </c>
      <c r="H82" s="68" t="e">
        <f t="shared" si="0"/>
        <v>#DIV/0!</v>
      </c>
      <c r="I82" s="68" t="e">
        <f t="shared" si="1"/>
        <v>#DIV/0!</v>
      </c>
      <c r="J82" s="68" t="e">
        <f t="shared" si="2"/>
        <v>#DIV/0!</v>
      </c>
      <c r="K82" s="68" t="e">
        <f t="shared" si="3"/>
        <v>#DIV/0!</v>
      </c>
      <c r="L82" s="68" t="e">
        <f t="shared" si="4"/>
        <v>#DIV/0!</v>
      </c>
      <c r="N82" s="64">
        <v>61</v>
      </c>
      <c r="O82" s="72">
        <f t="shared" si="16"/>
        <v>0</v>
      </c>
      <c r="R82" s="68" t="e">
        <f t="shared" si="5"/>
        <v>#DIV/0!</v>
      </c>
      <c r="S82" s="68" t="e">
        <f t="shared" si="6"/>
        <v>#DIV/0!</v>
      </c>
      <c r="T82" s="68" t="e">
        <f t="shared" si="7"/>
        <v>#DIV/0!</v>
      </c>
      <c r="U82" s="68" t="e">
        <f t="shared" si="8"/>
        <v>#DIV/0!</v>
      </c>
      <c r="V82" s="68" t="e">
        <f t="shared" si="9"/>
        <v>#DIV/0!</v>
      </c>
      <c r="X82" s="64">
        <v>61</v>
      </c>
      <c r="Y82" s="72">
        <f t="shared" si="17"/>
        <v>0</v>
      </c>
      <c r="AB82" s="68">
        <f t="shared" si="10"/>
        <v>0.97827945193393751</v>
      </c>
      <c r="AC82" s="68">
        <f t="shared" si="11"/>
        <v>0.81057429398924641</v>
      </c>
      <c r="AD82" s="68">
        <f t="shared" si="12"/>
        <v>0.16396806491792684</v>
      </c>
      <c r="AE82" s="68">
        <f t="shared" si="13"/>
        <v>0.20880509202963629</v>
      </c>
      <c r="AF82" s="68">
        <f t="shared" si="14"/>
        <v>15.752143310149364</v>
      </c>
      <c r="AG82" s="21"/>
    </row>
    <row r="83" spans="2:33" x14ac:dyDescent="0.3">
      <c r="B83" s="22"/>
      <c r="D83" s="64">
        <v>62</v>
      </c>
      <c r="E83" s="100">
        <f t="shared" si="15"/>
        <v>0</v>
      </c>
      <c r="H83" s="68" t="e">
        <f t="shared" si="0"/>
        <v>#DIV/0!</v>
      </c>
      <c r="I83" s="68" t="e">
        <f t="shared" si="1"/>
        <v>#DIV/0!</v>
      </c>
      <c r="J83" s="68" t="e">
        <f t="shared" si="2"/>
        <v>#DIV/0!</v>
      </c>
      <c r="K83" s="68" t="e">
        <f t="shared" si="3"/>
        <v>#DIV/0!</v>
      </c>
      <c r="L83" s="68" t="e">
        <f t="shared" si="4"/>
        <v>#DIV/0!</v>
      </c>
      <c r="N83" s="64">
        <v>62</v>
      </c>
      <c r="O83" s="72">
        <f t="shared" si="16"/>
        <v>0</v>
      </c>
      <c r="R83" s="68" t="e">
        <f t="shared" si="5"/>
        <v>#DIV/0!</v>
      </c>
      <c r="S83" s="68" t="e">
        <f t="shared" si="6"/>
        <v>#DIV/0!</v>
      </c>
      <c r="T83" s="68" t="e">
        <f t="shared" si="7"/>
        <v>#DIV/0!</v>
      </c>
      <c r="U83" s="68" t="e">
        <f t="shared" si="8"/>
        <v>#DIV/0!</v>
      </c>
      <c r="V83" s="68" t="e">
        <f t="shared" si="9"/>
        <v>#DIV/0!</v>
      </c>
      <c r="X83" s="64">
        <v>62</v>
      </c>
      <c r="Y83" s="72">
        <f t="shared" si="17"/>
        <v>0</v>
      </c>
      <c r="AB83" s="68">
        <f t="shared" si="10"/>
        <v>0.97827945193393751</v>
      </c>
      <c r="AC83" s="68">
        <f t="shared" si="11"/>
        <v>0.81057429398924641</v>
      </c>
      <c r="AD83" s="68">
        <f t="shared" si="12"/>
        <v>0.16396806491792684</v>
      </c>
      <c r="AE83" s="68">
        <f t="shared" si="13"/>
        <v>0.20880509202963629</v>
      </c>
      <c r="AF83" s="68">
        <f t="shared" si="14"/>
        <v>15.752143310149364</v>
      </c>
      <c r="AG83" s="21"/>
    </row>
    <row r="84" spans="2:33" x14ac:dyDescent="0.3">
      <c r="B84" s="22"/>
      <c r="D84" s="64">
        <v>63</v>
      </c>
      <c r="E84" s="100">
        <f t="shared" si="15"/>
        <v>0</v>
      </c>
      <c r="H84" s="68" t="e">
        <f t="shared" si="0"/>
        <v>#DIV/0!</v>
      </c>
      <c r="I84" s="68" t="e">
        <f t="shared" si="1"/>
        <v>#DIV/0!</v>
      </c>
      <c r="J84" s="68" t="e">
        <f t="shared" si="2"/>
        <v>#DIV/0!</v>
      </c>
      <c r="K84" s="68" t="e">
        <f t="shared" si="3"/>
        <v>#DIV/0!</v>
      </c>
      <c r="L84" s="68" t="e">
        <f t="shared" si="4"/>
        <v>#DIV/0!</v>
      </c>
      <c r="N84" s="64">
        <v>63</v>
      </c>
      <c r="O84" s="72">
        <f t="shared" si="16"/>
        <v>0</v>
      </c>
      <c r="R84" s="68" t="e">
        <f t="shared" si="5"/>
        <v>#DIV/0!</v>
      </c>
      <c r="S84" s="68" t="e">
        <f t="shared" si="6"/>
        <v>#DIV/0!</v>
      </c>
      <c r="T84" s="68" t="e">
        <f t="shared" si="7"/>
        <v>#DIV/0!</v>
      </c>
      <c r="U84" s="68" t="e">
        <f t="shared" si="8"/>
        <v>#DIV/0!</v>
      </c>
      <c r="V84" s="68" t="e">
        <f t="shared" si="9"/>
        <v>#DIV/0!</v>
      </c>
      <c r="X84" s="64">
        <v>63</v>
      </c>
      <c r="Y84" s="72">
        <f t="shared" si="17"/>
        <v>0</v>
      </c>
      <c r="AB84" s="68">
        <f t="shared" si="10"/>
        <v>0.97827945193393751</v>
      </c>
      <c r="AC84" s="68">
        <f t="shared" si="11"/>
        <v>0.81057429398924641</v>
      </c>
      <c r="AD84" s="68">
        <f t="shared" si="12"/>
        <v>0.16396806491792684</v>
      </c>
      <c r="AE84" s="68">
        <f t="shared" si="13"/>
        <v>0.20880509202963629</v>
      </c>
      <c r="AF84" s="68">
        <f t="shared" si="14"/>
        <v>15.752143310149364</v>
      </c>
      <c r="AG84" s="21"/>
    </row>
    <row r="85" spans="2:33" x14ac:dyDescent="0.3">
      <c r="B85" s="22"/>
      <c r="D85" s="64">
        <v>64</v>
      </c>
      <c r="E85" s="100">
        <f t="shared" si="15"/>
        <v>0</v>
      </c>
      <c r="H85" s="68" t="e">
        <f t="shared" si="0"/>
        <v>#DIV/0!</v>
      </c>
      <c r="I85" s="68" t="e">
        <f t="shared" si="1"/>
        <v>#DIV/0!</v>
      </c>
      <c r="J85" s="68" t="e">
        <f t="shared" si="2"/>
        <v>#DIV/0!</v>
      </c>
      <c r="K85" s="68" t="e">
        <f t="shared" si="3"/>
        <v>#DIV/0!</v>
      </c>
      <c r="L85" s="68" t="e">
        <f t="shared" si="4"/>
        <v>#DIV/0!</v>
      </c>
      <c r="N85" s="64">
        <v>64</v>
      </c>
      <c r="O85" s="72">
        <f t="shared" si="16"/>
        <v>0</v>
      </c>
      <c r="R85" s="68" t="e">
        <f t="shared" si="5"/>
        <v>#DIV/0!</v>
      </c>
      <c r="S85" s="68" t="e">
        <f t="shared" si="6"/>
        <v>#DIV/0!</v>
      </c>
      <c r="T85" s="68" t="e">
        <f t="shared" si="7"/>
        <v>#DIV/0!</v>
      </c>
      <c r="U85" s="68" t="e">
        <f t="shared" si="8"/>
        <v>#DIV/0!</v>
      </c>
      <c r="V85" s="68" t="e">
        <f t="shared" si="9"/>
        <v>#DIV/0!</v>
      </c>
      <c r="X85" s="64">
        <v>64</v>
      </c>
      <c r="Y85" s="72">
        <f t="shared" si="17"/>
        <v>0</v>
      </c>
      <c r="AB85" s="68">
        <f t="shared" si="10"/>
        <v>0.97827945193393751</v>
      </c>
      <c r="AC85" s="68">
        <f t="shared" si="11"/>
        <v>0.81057429398924641</v>
      </c>
      <c r="AD85" s="68">
        <f t="shared" si="12"/>
        <v>0.16396806491792684</v>
      </c>
      <c r="AE85" s="68">
        <f t="shared" si="13"/>
        <v>0.20880509202963629</v>
      </c>
      <c r="AF85" s="68">
        <f t="shared" si="14"/>
        <v>15.752143310149364</v>
      </c>
      <c r="AG85" s="21"/>
    </row>
    <row r="86" spans="2:33" x14ac:dyDescent="0.3">
      <c r="B86" s="22"/>
      <c r="D86" s="64">
        <v>65</v>
      </c>
      <c r="E86" s="100">
        <f t="shared" si="15"/>
        <v>0</v>
      </c>
      <c r="H86" s="68" t="e">
        <f t="shared" si="0"/>
        <v>#DIV/0!</v>
      </c>
      <c r="I86" s="68" t="e">
        <f t="shared" si="1"/>
        <v>#DIV/0!</v>
      </c>
      <c r="J86" s="68" t="e">
        <f t="shared" si="2"/>
        <v>#DIV/0!</v>
      </c>
      <c r="K86" s="68" t="e">
        <f t="shared" si="3"/>
        <v>#DIV/0!</v>
      </c>
      <c r="L86" s="68" t="e">
        <f t="shared" si="4"/>
        <v>#DIV/0!</v>
      </c>
      <c r="N86" s="64">
        <v>65</v>
      </c>
      <c r="O86" s="72">
        <f t="shared" si="16"/>
        <v>0</v>
      </c>
      <c r="R86" s="68" t="e">
        <f t="shared" si="5"/>
        <v>#DIV/0!</v>
      </c>
      <c r="S86" s="68" t="e">
        <f t="shared" si="6"/>
        <v>#DIV/0!</v>
      </c>
      <c r="T86" s="68" t="e">
        <f t="shared" si="7"/>
        <v>#DIV/0!</v>
      </c>
      <c r="U86" s="68" t="e">
        <f t="shared" si="8"/>
        <v>#DIV/0!</v>
      </c>
      <c r="V86" s="68" t="e">
        <f t="shared" si="9"/>
        <v>#DIV/0!</v>
      </c>
      <c r="X86" s="64">
        <v>65</v>
      </c>
      <c r="Y86" s="72">
        <f t="shared" si="17"/>
        <v>0</v>
      </c>
      <c r="AB86" s="68">
        <f t="shared" si="10"/>
        <v>0.97827945193393751</v>
      </c>
      <c r="AC86" s="68">
        <f t="shared" si="11"/>
        <v>0.81057429398924641</v>
      </c>
      <c r="AD86" s="68">
        <f t="shared" si="12"/>
        <v>0.16396806491792684</v>
      </c>
      <c r="AE86" s="68">
        <f t="shared" si="13"/>
        <v>0.20880509202963629</v>
      </c>
      <c r="AF86" s="68">
        <f t="shared" si="14"/>
        <v>15.752143310149364</v>
      </c>
      <c r="AG86" s="21"/>
    </row>
    <row r="87" spans="2:33" x14ac:dyDescent="0.3">
      <c r="B87" s="22"/>
      <c r="D87" s="64">
        <v>66</v>
      </c>
      <c r="E87" s="100">
        <f t="shared" si="15"/>
        <v>0</v>
      </c>
      <c r="H87" s="68" t="e">
        <f t="shared" ref="H87:H142" si="18">(LN($H$9/$H$13)+($H$10-$H$12+$H$11^2/2)*$E87)/($H$11*SQRT($E87))</f>
        <v>#DIV/0!</v>
      </c>
      <c r="I87" s="68" t="e">
        <f t="shared" ref="I87:I142" si="19">H87-$H$11*SQRT($E87)</f>
        <v>#DIV/0!</v>
      </c>
      <c r="J87" s="68" t="e">
        <f t="shared" ref="J87:J142" si="20">_xlfn.NORM.S.DIST(-H87,TRUE)</f>
        <v>#DIV/0!</v>
      </c>
      <c r="K87" s="68" t="e">
        <f t="shared" ref="K87:K142" si="21">_xlfn.NORM.S.DIST(-I87,TRUE)</f>
        <v>#DIV/0!</v>
      </c>
      <c r="L87" s="68" t="e">
        <f t="shared" ref="L87:L142" si="22">-EXP(-$H$12*$E87)*$H$9*J87+$H$13*EXP(-$H$10*$E87)*$K$22</f>
        <v>#DIV/0!</v>
      </c>
      <c r="N87" s="64">
        <v>66</v>
      </c>
      <c r="O87" s="72">
        <f t="shared" si="16"/>
        <v>0</v>
      </c>
      <c r="R87" s="68" t="e">
        <f t="shared" ref="R87:R142" si="23">(LN($H$9/$H$13)+($H$10-$H$12+O87^2/2)*$H$14)/(O87*SQRT($H$14))</f>
        <v>#DIV/0!</v>
      </c>
      <c r="S87" s="68" t="e">
        <f t="shared" ref="S87:S142" si="24">R87-O87*SQRT($H$14)</f>
        <v>#DIV/0!</v>
      </c>
      <c r="T87" s="68" t="e">
        <f t="shared" ref="T87:T142" si="25">_xlfn.NORM.S.DIST(-R87,TRUE)</f>
        <v>#DIV/0!</v>
      </c>
      <c r="U87" s="68" t="e">
        <f t="shared" ref="U87:U142" si="26">_xlfn.NORM.S.DIST(-S87,TRUE)</f>
        <v>#DIV/0!</v>
      </c>
      <c r="V87" s="68" t="e">
        <f t="shared" ref="V87:V142" si="27">-EXP(-$H$12*$H$14)*$H$9*T87+$H$13*EXP(-$H$10*$H$14)*U87</f>
        <v>#DIV/0!</v>
      </c>
      <c r="X87" s="64">
        <v>66</v>
      </c>
      <c r="Y87" s="72">
        <f t="shared" si="17"/>
        <v>0</v>
      </c>
      <c r="AB87" s="68">
        <f t="shared" ref="AB87:AB142" si="28">(LN($H$9/$H$13)+($H$10-$Y87+$H$11^2/2)*$H$14)/($H$11*SQRT($H$14))</f>
        <v>0.97827945193393751</v>
      </c>
      <c r="AC87" s="68">
        <f t="shared" ref="AC87:AC142" si="29">AB87-$H$11*SQRT($H$14)</f>
        <v>0.81057429398924641</v>
      </c>
      <c r="AD87" s="68">
        <f t="shared" ref="AD87:AD142" si="30">_xlfn.NORM.S.DIST(-AB87,TRUE)</f>
        <v>0.16396806491792684</v>
      </c>
      <c r="AE87" s="68">
        <f t="shared" ref="AE87:AE142" si="31">_xlfn.NORM.S.DIST(-AC87,TRUE)</f>
        <v>0.20880509202963629</v>
      </c>
      <c r="AF87" s="68">
        <f t="shared" ref="AF87:AF142" si="32">-EXP(-$Y87*$H$14)*$H$9*AD87+$H$13*EXP(-$H$10*$H$14)*AE87</f>
        <v>15.752143310149364</v>
      </c>
      <c r="AG87" s="21"/>
    </row>
    <row r="88" spans="2:33" x14ac:dyDescent="0.3">
      <c r="B88" s="22"/>
      <c r="D88" s="64">
        <v>67</v>
      </c>
      <c r="E88" s="100">
        <f t="shared" ref="E88:E141" si="33">($F$18-$E$18)/$D$141+E87</f>
        <v>0</v>
      </c>
      <c r="H88" s="68" t="e">
        <f t="shared" si="18"/>
        <v>#DIV/0!</v>
      </c>
      <c r="I88" s="68" t="e">
        <f t="shared" si="19"/>
        <v>#DIV/0!</v>
      </c>
      <c r="J88" s="68" t="e">
        <f t="shared" si="20"/>
        <v>#DIV/0!</v>
      </c>
      <c r="K88" s="68" t="e">
        <f t="shared" si="21"/>
        <v>#DIV/0!</v>
      </c>
      <c r="L88" s="68" t="e">
        <f t="shared" si="22"/>
        <v>#DIV/0!</v>
      </c>
      <c r="N88" s="64">
        <v>67</v>
      </c>
      <c r="O88" s="72">
        <f t="shared" ref="O88:O141" si="34">($P$18-$O$18)/$D$141+O87</f>
        <v>0</v>
      </c>
      <c r="R88" s="68" t="e">
        <f t="shared" si="23"/>
        <v>#DIV/0!</v>
      </c>
      <c r="S88" s="68" t="e">
        <f t="shared" si="24"/>
        <v>#DIV/0!</v>
      </c>
      <c r="T88" s="68" t="e">
        <f t="shared" si="25"/>
        <v>#DIV/0!</v>
      </c>
      <c r="U88" s="68" t="e">
        <f t="shared" si="26"/>
        <v>#DIV/0!</v>
      </c>
      <c r="V88" s="68" t="e">
        <f t="shared" si="27"/>
        <v>#DIV/0!</v>
      </c>
      <c r="X88" s="64">
        <v>67</v>
      </c>
      <c r="Y88" s="72">
        <f t="shared" ref="Y88:Y141" si="35">($Z$18-$Y$18)/$D$141+Y87</f>
        <v>0</v>
      </c>
      <c r="AB88" s="68">
        <f t="shared" si="28"/>
        <v>0.97827945193393751</v>
      </c>
      <c r="AC88" s="68">
        <f t="shared" si="29"/>
        <v>0.81057429398924641</v>
      </c>
      <c r="AD88" s="68">
        <f t="shared" si="30"/>
        <v>0.16396806491792684</v>
      </c>
      <c r="AE88" s="68">
        <f t="shared" si="31"/>
        <v>0.20880509202963629</v>
      </c>
      <c r="AF88" s="68">
        <f t="shared" si="32"/>
        <v>15.752143310149364</v>
      </c>
      <c r="AG88" s="21"/>
    </row>
    <row r="89" spans="2:33" x14ac:dyDescent="0.3">
      <c r="B89" s="22"/>
      <c r="D89" s="64">
        <v>68</v>
      </c>
      <c r="E89" s="100">
        <f t="shared" si="33"/>
        <v>0</v>
      </c>
      <c r="H89" s="68" t="e">
        <f t="shared" si="18"/>
        <v>#DIV/0!</v>
      </c>
      <c r="I89" s="68" t="e">
        <f t="shared" si="19"/>
        <v>#DIV/0!</v>
      </c>
      <c r="J89" s="68" t="e">
        <f t="shared" si="20"/>
        <v>#DIV/0!</v>
      </c>
      <c r="K89" s="68" t="e">
        <f t="shared" si="21"/>
        <v>#DIV/0!</v>
      </c>
      <c r="L89" s="68" t="e">
        <f t="shared" si="22"/>
        <v>#DIV/0!</v>
      </c>
      <c r="N89" s="64">
        <v>68</v>
      </c>
      <c r="O89" s="72">
        <f t="shared" si="34"/>
        <v>0</v>
      </c>
      <c r="R89" s="68" t="e">
        <f t="shared" si="23"/>
        <v>#DIV/0!</v>
      </c>
      <c r="S89" s="68" t="e">
        <f t="shared" si="24"/>
        <v>#DIV/0!</v>
      </c>
      <c r="T89" s="68" t="e">
        <f t="shared" si="25"/>
        <v>#DIV/0!</v>
      </c>
      <c r="U89" s="68" t="e">
        <f t="shared" si="26"/>
        <v>#DIV/0!</v>
      </c>
      <c r="V89" s="68" t="e">
        <f t="shared" si="27"/>
        <v>#DIV/0!</v>
      </c>
      <c r="X89" s="64">
        <v>68</v>
      </c>
      <c r="Y89" s="72">
        <f t="shared" si="35"/>
        <v>0</v>
      </c>
      <c r="AB89" s="68">
        <f t="shared" si="28"/>
        <v>0.97827945193393751</v>
      </c>
      <c r="AC89" s="68">
        <f t="shared" si="29"/>
        <v>0.81057429398924641</v>
      </c>
      <c r="AD89" s="68">
        <f t="shared" si="30"/>
        <v>0.16396806491792684</v>
      </c>
      <c r="AE89" s="68">
        <f t="shared" si="31"/>
        <v>0.20880509202963629</v>
      </c>
      <c r="AF89" s="68">
        <f t="shared" si="32"/>
        <v>15.752143310149364</v>
      </c>
      <c r="AG89" s="21"/>
    </row>
    <row r="90" spans="2:33" x14ac:dyDescent="0.3">
      <c r="B90" s="22"/>
      <c r="D90" s="64">
        <v>69</v>
      </c>
      <c r="E90" s="100">
        <f t="shared" si="33"/>
        <v>0</v>
      </c>
      <c r="H90" s="68" t="e">
        <f t="shared" si="18"/>
        <v>#DIV/0!</v>
      </c>
      <c r="I90" s="68" t="e">
        <f t="shared" si="19"/>
        <v>#DIV/0!</v>
      </c>
      <c r="J90" s="68" t="e">
        <f t="shared" si="20"/>
        <v>#DIV/0!</v>
      </c>
      <c r="K90" s="68" t="e">
        <f t="shared" si="21"/>
        <v>#DIV/0!</v>
      </c>
      <c r="L90" s="68" t="e">
        <f t="shared" si="22"/>
        <v>#DIV/0!</v>
      </c>
      <c r="N90" s="64">
        <v>69</v>
      </c>
      <c r="O90" s="72">
        <f t="shared" si="34"/>
        <v>0</v>
      </c>
      <c r="R90" s="68" t="e">
        <f t="shared" si="23"/>
        <v>#DIV/0!</v>
      </c>
      <c r="S90" s="68" t="e">
        <f t="shared" si="24"/>
        <v>#DIV/0!</v>
      </c>
      <c r="T90" s="68" t="e">
        <f t="shared" si="25"/>
        <v>#DIV/0!</v>
      </c>
      <c r="U90" s="68" t="e">
        <f t="shared" si="26"/>
        <v>#DIV/0!</v>
      </c>
      <c r="V90" s="68" t="e">
        <f t="shared" si="27"/>
        <v>#DIV/0!</v>
      </c>
      <c r="X90" s="64">
        <v>69</v>
      </c>
      <c r="Y90" s="72">
        <f t="shared" si="35"/>
        <v>0</v>
      </c>
      <c r="AB90" s="68">
        <f t="shared" si="28"/>
        <v>0.97827945193393751</v>
      </c>
      <c r="AC90" s="68">
        <f t="shared" si="29"/>
        <v>0.81057429398924641</v>
      </c>
      <c r="AD90" s="68">
        <f t="shared" si="30"/>
        <v>0.16396806491792684</v>
      </c>
      <c r="AE90" s="68">
        <f t="shared" si="31"/>
        <v>0.20880509202963629</v>
      </c>
      <c r="AF90" s="68">
        <f t="shared" si="32"/>
        <v>15.752143310149364</v>
      </c>
      <c r="AG90" s="21"/>
    </row>
    <row r="91" spans="2:33" x14ac:dyDescent="0.3">
      <c r="B91" s="22"/>
      <c r="D91" s="64">
        <v>70</v>
      </c>
      <c r="E91" s="100">
        <f t="shared" si="33"/>
        <v>0</v>
      </c>
      <c r="H91" s="68" t="e">
        <f t="shared" si="18"/>
        <v>#DIV/0!</v>
      </c>
      <c r="I91" s="68" t="e">
        <f t="shared" si="19"/>
        <v>#DIV/0!</v>
      </c>
      <c r="J91" s="68" t="e">
        <f t="shared" si="20"/>
        <v>#DIV/0!</v>
      </c>
      <c r="K91" s="68" t="e">
        <f t="shared" si="21"/>
        <v>#DIV/0!</v>
      </c>
      <c r="L91" s="68" t="e">
        <f t="shared" si="22"/>
        <v>#DIV/0!</v>
      </c>
      <c r="N91" s="64">
        <v>70</v>
      </c>
      <c r="O91" s="72">
        <f t="shared" si="34"/>
        <v>0</v>
      </c>
      <c r="R91" s="68" t="e">
        <f t="shared" si="23"/>
        <v>#DIV/0!</v>
      </c>
      <c r="S91" s="68" t="e">
        <f t="shared" si="24"/>
        <v>#DIV/0!</v>
      </c>
      <c r="T91" s="68" t="e">
        <f t="shared" si="25"/>
        <v>#DIV/0!</v>
      </c>
      <c r="U91" s="68" t="e">
        <f t="shared" si="26"/>
        <v>#DIV/0!</v>
      </c>
      <c r="V91" s="68" t="e">
        <f t="shared" si="27"/>
        <v>#DIV/0!</v>
      </c>
      <c r="X91" s="64">
        <v>70</v>
      </c>
      <c r="Y91" s="72">
        <f t="shared" si="35"/>
        <v>0</v>
      </c>
      <c r="AB91" s="68">
        <f t="shared" si="28"/>
        <v>0.97827945193393751</v>
      </c>
      <c r="AC91" s="68">
        <f t="shared" si="29"/>
        <v>0.81057429398924641</v>
      </c>
      <c r="AD91" s="68">
        <f t="shared" si="30"/>
        <v>0.16396806491792684</v>
      </c>
      <c r="AE91" s="68">
        <f t="shared" si="31"/>
        <v>0.20880509202963629</v>
      </c>
      <c r="AF91" s="68">
        <f t="shared" si="32"/>
        <v>15.752143310149364</v>
      </c>
      <c r="AG91" s="21"/>
    </row>
    <row r="92" spans="2:33" x14ac:dyDescent="0.3">
      <c r="B92" s="22"/>
      <c r="D92" s="64">
        <v>71</v>
      </c>
      <c r="E92" s="100">
        <f t="shared" si="33"/>
        <v>0</v>
      </c>
      <c r="H92" s="68" t="e">
        <f t="shared" si="18"/>
        <v>#DIV/0!</v>
      </c>
      <c r="I92" s="68" t="e">
        <f t="shared" si="19"/>
        <v>#DIV/0!</v>
      </c>
      <c r="J92" s="68" t="e">
        <f t="shared" si="20"/>
        <v>#DIV/0!</v>
      </c>
      <c r="K92" s="68" t="e">
        <f t="shared" si="21"/>
        <v>#DIV/0!</v>
      </c>
      <c r="L92" s="68" t="e">
        <f t="shared" si="22"/>
        <v>#DIV/0!</v>
      </c>
      <c r="N92" s="64">
        <v>71</v>
      </c>
      <c r="O92" s="72">
        <f t="shared" si="34"/>
        <v>0</v>
      </c>
      <c r="R92" s="68" t="e">
        <f t="shared" si="23"/>
        <v>#DIV/0!</v>
      </c>
      <c r="S92" s="68" t="e">
        <f t="shared" si="24"/>
        <v>#DIV/0!</v>
      </c>
      <c r="T92" s="68" t="e">
        <f t="shared" si="25"/>
        <v>#DIV/0!</v>
      </c>
      <c r="U92" s="68" t="e">
        <f t="shared" si="26"/>
        <v>#DIV/0!</v>
      </c>
      <c r="V92" s="68" t="e">
        <f t="shared" si="27"/>
        <v>#DIV/0!</v>
      </c>
      <c r="X92" s="64">
        <v>71</v>
      </c>
      <c r="Y92" s="72">
        <f t="shared" si="35"/>
        <v>0</v>
      </c>
      <c r="AB92" s="68">
        <f t="shared" si="28"/>
        <v>0.97827945193393751</v>
      </c>
      <c r="AC92" s="68">
        <f t="shared" si="29"/>
        <v>0.81057429398924641</v>
      </c>
      <c r="AD92" s="68">
        <f t="shared" si="30"/>
        <v>0.16396806491792684</v>
      </c>
      <c r="AE92" s="68">
        <f t="shared" si="31"/>
        <v>0.20880509202963629</v>
      </c>
      <c r="AF92" s="68">
        <f t="shared" si="32"/>
        <v>15.752143310149364</v>
      </c>
      <c r="AG92" s="21"/>
    </row>
    <row r="93" spans="2:33" x14ac:dyDescent="0.3">
      <c r="B93" s="22"/>
      <c r="D93" s="64">
        <v>72</v>
      </c>
      <c r="E93" s="100">
        <f t="shared" si="33"/>
        <v>0</v>
      </c>
      <c r="H93" s="68" t="e">
        <f t="shared" si="18"/>
        <v>#DIV/0!</v>
      </c>
      <c r="I93" s="68" t="e">
        <f t="shared" si="19"/>
        <v>#DIV/0!</v>
      </c>
      <c r="J93" s="68" t="e">
        <f t="shared" si="20"/>
        <v>#DIV/0!</v>
      </c>
      <c r="K93" s="68" t="e">
        <f t="shared" si="21"/>
        <v>#DIV/0!</v>
      </c>
      <c r="L93" s="68" t="e">
        <f t="shared" si="22"/>
        <v>#DIV/0!</v>
      </c>
      <c r="N93" s="64">
        <v>72</v>
      </c>
      <c r="O93" s="72">
        <f t="shared" si="34"/>
        <v>0</v>
      </c>
      <c r="R93" s="68" t="e">
        <f t="shared" si="23"/>
        <v>#DIV/0!</v>
      </c>
      <c r="S93" s="68" t="e">
        <f t="shared" si="24"/>
        <v>#DIV/0!</v>
      </c>
      <c r="T93" s="68" t="e">
        <f t="shared" si="25"/>
        <v>#DIV/0!</v>
      </c>
      <c r="U93" s="68" t="e">
        <f t="shared" si="26"/>
        <v>#DIV/0!</v>
      </c>
      <c r="V93" s="68" t="e">
        <f t="shared" si="27"/>
        <v>#DIV/0!</v>
      </c>
      <c r="X93" s="64">
        <v>72</v>
      </c>
      <c r="Y93" s="72">
        <f t="shared" si="35"/>
        <v>0</v>
      </c>
      <c r="AB93" s="68">
        <f t="shared" si="28"/>
        <v>0.97827945193393751</v>
      </c>
      <c r="AC93" s="68">
        <f t="shared" si="29"/>
        <v>0.81057429398924641</v>
      </c>
      <c r="AD93" s="68">
        <f t="shared" si="30"/>
        <v>0.16396806491792684</v>
      </c>
      <c r="AE93" s="68">
        <f t="shared" si="31"/>
        <v>0.20880509202963629</v>
      </c>
      <c r="AF93" s="68">
        <f t="shared" si="32"/>
        <v>15.752143310149364</v>
      </c>
      <c r="AG93" s="21"/>
    </row>
    <row r="94" spans="2:33" x14ac:dyDescent="0.3">
      <c r="B94" s="22"/>
      <c r="D94" s="64">
        <v>73</v>
      </c>
      <c r="E94" s="100">
        <f t="shared" si="33"/>
        <v>0</v>
      </c>
      <c r="H94" s="68" t="e">
        <f t="shared" si="18"/>
        <v>#DIV/0!</v>
      </c>
      <c r="I94" s="68" t="e">
        <f t="shared" si="19"/>
        <v>#DIV/0!</v>
      </c>
      <c r="J94" s="68" t="e">
        <f t="shared" si="20"/>
        <v>#DIV/0!</v>
      </c>
      <c r="K94" s="68" t="e">
        <f t="shared" si="21"/>
        <v>#DIV/0!</v>
      </c>
      <c r="L94" s="68" t="e">
        <f t="shared" si="22"/>
        <v>#DIV/0!</v>
      </c>
      <c r="N94" s="64">
        <v>73</v>
      </c>
      <c r="O94" s="72">
        <f t="shared" si="34"/>
        <v>0</v>
      </c>
      <c r="R94" s="68" t="e">
        <f t="shared" si="23"/>
        <v>#DIV/0!</v>
      </c>
      <c r="S94" s="68" t="e">
        <f t="shared" si="24"/>
        <v>#DIV/0!</v>
      </c>
      <c r="T94" s="68" t="e">
        <f t="shared" si="25"/>
        <v>#DIV/0!</v>
      </c>
      <c r="U94" s="68" t="e">
        <f t="shared" si="26"/>
        <v>#DIV/0!</v>
      </c>
      <c r="V94" s="68" t="e">
        <f t="shared" si="27"/>
        <v>#DIV/0!</v>
      </c>
      <c r="X94" s="64">
        <v>73</v>
      </c>
      <c r="Y94" s="72">
        <f t="shared" si="35"/>
        <v>0</v>
      </c>
      <c r="AB94" s="68">
        <f t="shared" si="28"/>
        <v>0.97827945193393751</v>
      </c>
      <c r="AC94" s="68">
        <f t="shared" si="29"/>
        <v>0.81057429398924641</v>
      </c>
      <c r="AD94" s="68">
        <f t="shared" si="30"/>
        <v>0.16396806491792684</v>
      </c>
      <c r="AE94" s="68">
        <f t="shared" si="31"/>
        <v>0.20880509202963629</v>
      </c>
      <c r="AF94" s="68">
        <f t="shared" si="32"/>
        <v>15.752143310149364</v>
      </c>
      <c r="AG94" s="21"/>
    </row>
    <row r="95" spans="2:33" x14ac:dyDescent="0.3">
      <c r="B95" s="22"/>
      <c r="D95" s="64">
        <v>74</v>
      </c>
      <c r="E95" s="100">
        <f t="shared" si="33"/>
        <v>0</v>
      </c>
      <c r="H95" s="68" t="e">
        <f t="shared" si="18"/>
        <v>#DIV/0!</v>
      </c>
      <c r="I95" s="68" t="e">
        <f t="shared" si="19"/>
        <v>#DIV/0!</v>
      </c>
      <c r="J95" s="68" t="e">
        <f t="shared" si="20"/>
        <v>#DIV/0!</v>
      </c>
      <c r="K95" s="68" t="e">
        <f t="shared" si="21"/>
        <v>#DIV/0!</v>
      </c>
      <c r="L95" s="68" t="e">
        <f t="shared" si="22"/>
        <v>#DIV/0!</v>
      </c>
      <c r="N95" s="64">
        <v>74</v>
      </c>
      <c r="O95" s="72">
        <f t="shared" si="34"/>
        <v>0</v>
      </c>
      <c r="R95" s="68" t="e">
        <f t="shared" si="23"/>
        <v>#DIV/0!</v>
      </c>
      <c r="S95" s="68" t="e">
        <f t="shared" si="24"/>
        <v>#DIV/0!</v>
      </c>
      <c r="T95" s="68" t="e">
        <f t="shared" si="25"/>
        <v>#DIV/0!</v>
      </c>
      <c r="U95" s="68" t="e">
        <f t="shared" si="26"/>
        <v>#DIV/0!</v>
      </c>
      <c r="V95" s="68" t="e">
        <f t="shared" si="27"/>
        <v>#DIV/0!</v>
      </c>
      <c r="X95" s="64">
        <v>74</v>
      </c>
      <c r="Y95" s="72">
        <f t="shared" si="35"/>
        <v>0</v>
      </c>
      <c r="AB95" s="68">
        <f t="shared" si="28"/>
        <v>0.97827945193393751</v>
      </c>
      <c r="AC95" s="68">
        <f t="shared" si="29"/>
        <v>0.81057429398924641</v>
      </c>
      <c r="AD95" s="68">
        <f t="shared" si="30"/>
        <v>0.16396806491792684</v>
      </c>
      <c r="AE95" s="68">
        <f t="shared" si="31"/>
        <v>0.20880509202963629</v>
      </c>
      <c r="AF95" s="68">
        <f t="shared" si="32"/>
        <v>15.752143310149364</v>
      </c>
      <c r="AG95" s="21"/>
    </row>
    <row r="96" spans="2:33" x14ac:dyDescent="0.3">
      <c r="B96" s="22"/>
      <c r="D96" s="64">
        <v>75</v>
      </c>
      <c r="E96" s="100">
        <f t="shared" si="33"/>
        <v>0</v>
      </c>
      <c r="H96" s="68" t="e">
        <f t="shared" si="18"/>
        <v>#DIV/0!</v>
      </c>
      <c r="I96" s="68" t="e">
        <f t="shared" si="19"/>
        <v>#DIV/0!</v>
      </c>
      <c r="J96" s="68" t="e">
        <f t="shared" si="20"/>
        <v>#DIV/0!</v>
      </c>
      <c r="K96" s="68" t="e">
        <f t="shared" si="21"/>
        <v>#DIV/0!</v>
      </c>
      <c r="L96" s="68" t="e">
        <f t="shared" si="22"/>
        <v>#DIV/0!</v>
      </c>
      <c r="N96" s="64">
        <v>75</v>
      </c>
      <c r="O96" s="72">
        <f t="shared" si="34"/>
        <v>0</v>
      </c>
      <c r="R96" s="68" t="e">
        <f t="shared" si="23"/>
        <v>#DIV/0!</v>
      </c>
      <c r="S96" s="68" t="e">
        <f t="shared" si="24"/>
        <v>#DIV/0!</v>
      </c>
      <c r="T96" s="68" t="e">
        <f t="shared" si="25"/>
        <v>#DIV/0!</v>
      </c>
      <c r="U96" s="68" t="e">
        <f t="shared" si="26"/>
        <v>#DIV/0!</v>
      </c>
      <c r="V96" s="68" t="e">
        <f t="shared" si="27"/>
        <v>#DIV/0!</v>
      </c>
      <c r="X96" s="64">
        <v>75</v>
      </c>
      <c r="Y96" s="72">
        <f t="shared" si="35"/>
        <v>0</v>
      </c>
      <c r="AB96" s="68">
        <f t="shared" si="28"/>
        <v>0.97827945193393751</v>
      </c>
      <c r="AC96" s="68">
        <f t="shared" si="29"/>
        <v>0.81057429398924641</v>
      </c>
      <c r="AD96" s="68">
        <f t="shared" si="30"/>
        <v>0.16396806491792684</v>
      </c>
      <c r="AE96" s="68">
        <f t="shared" si="31"/>
        <v>0.20880509202963629</v>
      </c>
      <c r="AF96" s="68">
        <f t="shared" si="32"/>
        <v>15.752143310149364</v>
      </c>
      <c r="AG96" s="21"/>
    </row>
    <row r="97" spans="2:33" x14ac:dyDescent="0.3">
      <c r="B97" s="22"/>
      <c r="D97" s="64">
        <v>76</v>
      </c>
      <c r="E97" s="100">
        <f t="shared" si="33"/>
        <v>0</v>
      </c>
      <c r="H97" s="68" t="e">
        <f t="shared" si="18"/>
        <v>#DIV/0!</v>
      </c>
      <c r="I97" s="68" t="e">
        <f t="shared" si="19"/>
        <v>#DIV/0!</v>
      </c>
      <c r="J97" s="68" t="e">
        <f t="shared" si="20"/>
        <v>#DIV/0!</v>
      </c>
      <c r="K97" s="68" t="e">
        <f t="shared" si="21"/>
        <v>#DIV/0!</v>
      </c>
      <c r="L97" s="68" t="e">
        <f t="shared" si="22"/>
        <v>#DIV/0!</v>
      </c>
      <c r="N97" s="64">
        <v>76</v>
      </c>
      <c r="O97" s="72">
        <f t="shared" si="34"/>
        <v>0</v>
      </c>
      <c r="R97" s="68" t="e">
        <f t="shared" si="23"/>
        <v>#DIV/0!</v>
      </c>
      <c r="S97" s="68" t="e">
        <f t="shared" si="24"/>
        <v>#DIV/0!</v>
      </c>
      <c r="T97" s="68" t="e">
        <f t="shared" si="25"/>
        <v>#DIV/0!</v>
      </c>
      <c r="U97" s="68" t="e">
        <f t="shared" si="26"/>
        <v>#DIV/0!</v>
      </c>
      <c r="V97" s="68" t="e">
        <f t="shared" si="27"/>
        <v>#DIV/0!</v>
      </c>
      <c r="X97" s="64">
        <v>76</v>
      </c>
      <c r="Y97" s="72">
        <f t="shared" si="35"/>
        <v>0</v>
      </c>
      <c r="AB97" s="68">
        <f t="shared" si="28"/>
        <v>0.97827945193393751</v>
      </c>
      <c r="AC97" s="68">
        <f t="shared" si="29"/>
        <v>0.81057429398924641</v>
      </c>
      <c r="AD97" s="68">
        <f t="shared" si="30"/>
        <v>0.16396806491792684</v>
      </c>
      <c r="AE97" s="68">
        <f t="shared" si="31"/>
        <v>0.20880509202963629</v>
      </c>
      <c r="AF97" s="68">
        <f t="shared" si="32"/>
        <v>15.752143310149364</v>
      </c>
      <c r="AG97" s="21"/>
    </row>
    <row r="98" spans="2:33" x14ac:dyDescent="0.3">
      <c r="B98" s="22"/>
      <c r="D98" s="64">
        <v>77</v>
      </c>
      <c r="E98" s="100">
        <f t="shared" si="33"/>
        <v>0</v>
      </c>
      <c r="H98" s="68" t="e">
        <f t="shared" si="18"/>
        <v>#DIV/0!</v>
      </c>
      <c r="I98" s="68" t="e">
        <f t="shared" si="19"/>
        <v>#DIV/0!</v>
      </c>
      <c r="J98" s="68" t="e">
        <f t="shared" si="20"/>
        <v>#DIV/0!</v>
      </c>
      <c r="K98" s="68" t="e">
        <f t="shared" si="21"/>
        <v>#DIV/0!</v>
      </c>
      <c r="L98" s="68" t="e">
        <f t="shared" si="22"/>
        <v>#DIV/0!</v>
      </c>
      <c r="N98" s="64">
        <v>77</v>
      </c>
      <c r="O98" s="72">
        <f t="shared" si="34"/>
        <v>0</v>
      </c>
      <c r="R98" s="68" t="e">
        <f t="shared" si="23"/>
        <v>#DIV/0!</v>
      </c>
      <c r="S98" s="68" t="e">
        <f t="shared" si="24"/>
        <v>#DIV/0!</v>
      </c>
      <c r="T98" s="68" t="e">
        <f t="shared" si="25"/>
        <v>#DIV/0!</v>
      </c>
      <c r="U98" s="68" t="e">
        <f t="shared" si="26"/>
        <v>#DIV/0!</v>
      </c>
      <c r="V98" s="68" t="e">
        <f t="shared" si="27"/>
        <v>#DIV/0!</v>
      </c>
      <c r="X98" s="64">
        <v>77</v>
      </c>
      <c r="Y98" s="72">
        <f t="shared" si="35"/>
        <v>0</v>
      </c>
      <c r="AB98" s="68">
        <f t="shared" si="28"/>
        <v>0.97827945193393751</v>
      </c>
      <c r="AC98" s="68">
        <f t="shared" si="29"/>
        <v>0.81057429398924641</v>
      </c>
      <c r="AD98" s="68">
        <f t="shared" si="30"/>
        <v>0.16396806491792684</v>
      </c>
      <c r="AE98" s="68">
        <f t="shared" si="31"/>
        <v>0.20880509202963629</v>
      </c>
      <c r="AF98" s="68">
        <f t="shared" si="32"/>
        <v>15.752143310149364</v>
      </c>
      <c r="AG98" s="21"/>
    </row>
    <row r="99" spans="2:33" x14ac:dyDescent="0.3">
      <c r="B99" s="22"/>
      <c r="D99" s="64">
        <v>78</v>
      </c>
      <c r="E99" s="100">
        <f t="shared" si="33"/>
        <v>0</v>
      </c>
      <c r="H99" s="68" t="e">
        <f t="shared" si="18"/>
        <v>#DIV/0!</v>
      </c>
      <c r="I99" s="68" t="e">
        <f t="shared" si="19"/>
        <v>#DIV/0!</v>
      </c>
      <c r="J99" s="68" t="e">
        <f t="shared" si="20"/>
        <v>#DIV/0!</v>
      </c>
      <c r="K99" s="68" t="e">
        <f t="shared" si="21"/>
        <v>#DIV/0!</v>
      </c>
      <c r="L99" s="68" t="e">
        <f t="shared" si="22"/>
        <v>#DIV/0!</v>
      </c>
      <c r="N99" s="64">
        <v>78</v>
      </c>
      <c r="O99" s="72">
        <f t="shared" si="34"/>
        <v>0</v>
      </c>
      <c r="R99" s="68" t="e">
        <f t="shared" si="23"/>
        <v>#DIV/0!</v>
      </c>
      <c r="S99" s="68" t="e">
        <f t="shared" si="24"/>
        <v>#DIV/0!</v>
      </c>
      <c r="T99" s="68" t="e">
        <f t="shared" si="25"/>
        <v>#DIV/0!</v>
      </c>
      <c r="U99" s="68" t="e">
        <f t="shared" si="26"/>
        <v>#DIV/0!</v>
      </c>
      <c r="V99" s="68" t="e">
        <f t="shared" si="27"/>
        <v>#DIV/0!</v>
      </c>
      <c r="X99" s="64">
        <v>78</v>
      </c>
      <c r="Y99" s="72">
        <f t="shared" si="35"/>
        <v>0</v>
      </c>
      <c r="AB99" s="68">
        <f t="shared" si="28"/>
        <v>0.97827945193393751</v>
      </c>
      <c r="AC99" s="68">
        <f t="shared" si="29"/>
        <v>0.81057429398924641</v>
      </c>
      <c r="AD99" s="68">
        <f t="shared" si="30"/>
        <v>0.16396806491792684</v>
      </c>
      <c r="AE99" s="68">
        <f t="shared" si="31"/>
        <v>0.20880509202963629</v>
      </c>
      <c r="AF99" s="68">
        <f t="shared" si="32"/>
        <v>15.752143310149364</v>
      </c>
      <c r="AG99" s="21"/>
    </row>
    <row r="100" spans="2:33" x14ac:dyDescent="0.3">
      <c r="B100" s="22"/>
      <c r="D100" s="64">
        <v>79</v>
      </c>
      <c r="E100" s="100">
        <f t="shared" si="33"/>
        <v>0</v>
      </c>
      <c r="H100" s="68" t="e">
        <f t="shared" si="18"/>
        <v>#DIV/0!</v>
      </c>
      <c r="I100" s="68" t="e">
        <f t="shared" si="19"/>
        <v>#DIV/0!</v>
      </c>
      <c r="J100" s="68" t="e">
        <f t="shared" si="20"/>
        <v>#DIV/0!</v>
      </c>
      <c r="K100" s="68" t="e">
        <f t="shared" si="21"/>
        <v>#DIV/0!</v>
      </c>
      <c r="L100" s="68" t="e">
        <f t="shared" si="22"/>
        <v>#DIV/0!</v>
      </c>
      <c r="N100" s="64">
        <v>79</v>
      </c>
      <c r="O100" s="72">
        <f t="shared" si="34"/>
        <v>0</v>
      </c>
      <c r="R100" s="68" t="e">
        <f t="shared" si="23"/>
        <v>#DIV/0!</v>
      </c>
      <c r="S100" s="68" t="e">
        <f t="shared" si="24"/>
        <v>#DIV/0!</v>
      </c>
      <c r="T100" s="68" t="e">
        <f t="shared" si="25"/>
        <v>#DIV/0!</v>
      </c>
      <c r="U100" s="68" t="e">
        <f t="shared" si="26"/>
        <v>#DIV/0!</v>
      </c>
      <c r="V100" s="68" t="e">
        <f t="shared" si="27"/>
        <v>#DIV/0!</v>
      </c>
      <c r="X100" s="64">
        <v>79</v>
      </c>
      <c r="Y100" s="72">
        <f t="shared" si="35"/>
        <v>0</v>
      </c>
      <c r="AB100" s="68">
        <f t="shared" si="28"/>
        <v>0.97827945193393751</v>
      </c>
      <c r="AC100" s="68">
        <f t="shared" si="29"/>
        <v>0.81057429398924641</v>
      </c>
      <c r="AD100" s="68">
        <f t="shared" si="30"/>
        <v>0.16396806491792684</v>
      </c>
      <c r="AE100" s="68">
        <f t="shared" si="31"/>
        <v>0.20880509202963629</v>
      </c>
      <c r="AF100" s="68">
        <f t="shared" si="32"/>
        <v>15.752143310149364</v>
      </c>
      <c r="AG100" s="21"/>
    </row>
    <row r="101" spans="2:33" x14ac:dyDescent="0.3">
      <c r="B101" s="22"/>
      <c r="D101" s="64">
        <v>80</v>
      </c>
      <c r="E101" s="100">
        <f t="shared" si="33"/>
        <v>0</v>
      </c>
      <c r="H101" s="68" t="e">
        <f t="shared" si="18"/>
        <v>#DIV/0!</v>
      </c>
      <c r="I101" s="68" t="e">
        <f t="shared" si="19"/>
        <v>#DIV/0!</v>
      </c>
      <c r="J101" s="68" t="e">
        <f t="shared" si="20"/>
        <v>#DIV/0!</v>
      </c>
      <c r="K101" s="68" t="e">
        <f t="shared" si="21"/>
        <v>#DIV/0!</v>
      </c>
      <c r="L101" s="68" t="e">
        <f t="shared" si="22"/>
        <v>#DIV/0!</v>
      </c>
      <c r="N101" s="64">
        <v>80</v>
      </c>
      <c r="O101" s="72">
        <f t="shared" si="34"/>
        <v>0</v>
      </c>
      <c r="R101" s="68" t="e">
        <f t="shared" si="23"/>
        <v>#DIV/0!</v>
      </c>
      <c r="S101" s="68" t="e">
        <f t="shared" si="24"/>
        <v>#DIV/0!</v>
      </c>
      <c r="T101" s="68" t="e">
        <f t="shared" si="25"/>
        <v>#DIV/0!</v>
      </c>
      <c r="U101" s="68" t="e">
        <f t="shared" si="26"/>
        <v>#DIV/0!</v>
      </c>
      <c r="V101" s="68" t="e">
        <f t="shared" si="27"/>
        <v>#DIV/0!</v>
      </c>
      <c r="X101" s="64">
        <v>80</v>
      </c>
      <c r="Y101" s="72">
        <f t="shared" si="35"/>
        <v>0</v>
      </c>
      <c r="AB101" s="68">
        <f t="shared" si="28"/>
        <v>0.97827945193393751</v>
      </c>
      <c r="AC101" s="68">
        <f t="shared" si="29"/>
        <v>0.81057429398924641</v>
      </c>
      <c r="AD101" s="68">
        <f t="shared" si="30"/>
        <v>0.16396806491792684</v>
      </c>
      <c r="AE101" s="68">
        <f t="shared" si="31"/>
        <v>0.20880509202963629</v>
      </c>
      <c r="AF101" s="68">
        <f t="shared" si="32"/>
        <v>15.752143310149364</v>
      </c>
      <c r="AG101" s="21"/>
    </row>
    <row r="102" spans="2:33" x14ac:dyDescent="0.3">
      <c r="B102" s="22"/>
      <c r="D102" s="64">
        <v>81</v>
      </c>
      <c r="E102" s="100">
        <f t="shared" si="33"/>
        <v>0</v>
      </c>
      <c r="H102" s="68" t="e">
        <f t="shared" si="18"/>
        <v>#DIV/0!</v>
      </c>
      <c r="I102" s="68" t="e">
        <f t="shared" si="19"/>
        <v>#DIV/0!</v>
      </c>
      <c r="J102" s="68" t="e">
        <f t="shared" si="20"/>
        <v>#DIV/0!</v>
      </c>
      <c r="K102" s="68" t="e">
        <f t="shared" si="21"/>
        <v>#DIV/0!</v>
      </c>
      <c r="L102" s="68" t="e">
        <f t="shared" si="22"/>
        <v>#DIV/0!</v>
      </c>
      <c r="N102" s="64">
        <v>81</v>
      </c>
      <c r="O102" s="72">
        <f t="shared" si="34"/>
        <v>0</v>
      </c>
      <c r="R102" s="68" t="e">
        <f t="shared" si="23"/>
        <v>#DIV/0!</v>
      </c>
      <c r="S102" s="68" t="e">
        <f t="shared" si="24"/>
        <v>#DIV/0!</v>
      </c>
      <c r="T102" s="68" t="e">
        <f t="shared" si="25"/>
        <v>#DIV/0!</v>
      </c>
      <c r="U102" s="68" t="e">
        <f t="shared" si="26"/>
        <v>#DIV/0!</v>
      </c>
      <c r="V102" s="68" t="e">
        <f t="shared" si="27"/>
        <v>#DIV/0!</v>
      </c>
      <c r="X102" s="64">
        <v>81</v>
      </c>
      <c r="Y102" s="72">
        <f t="shared" si="35"/>
        <v>0</v>
      </c>
      <c r="AB102" s="68">
        <f t="shared" si="28"/>
        <v>0.97827945193393751</v>
      </c>
      <c r="AC102" s="68">
        <f t="shared" si="29"/>
        <v>0.81057429398924641</v>
      </c>
      <c r="AD102" s="68">
        <f t="shared" si="30"/>
        <v>0.16396806491792684</v>
      </c>
      <c r="AE102" s="68">
        <f t="shared" si="31"/>
        <v>0.20880509202963629</v>
      </c>
      <c r="AF102" s="68">
        <f t="shared" si="32"/>
        <v>15.752143310149364</v>
      </c>
      <c r="AG102" s="21"/>
    </row>
    <row r="103" spans="2:33" x14ac:dyDescent="0.3">
      <c r="B103" s="22"/>
      <c r="D103" s="64">
        <v>82</v>
      </c>
      <c r="E103" s="100">
        <f t="shared" si="33"/>
        <v>0</v>
      </c>
      <c r="H103" s="68" t="e">
        <f t="shared" si="18"/>
        <v>#DIV/0!</v>
      </c>
      <c r="I103" s="68" t="e">
        <f t="shared" si="19"/>
        <v>#DIV/0!</v>
      </c>
      <c r="J103" s="68" t="e">
        <f t="shared" si="20"/>
        <v>#DIV/0!</v>
      </c>
      <c r="K103" s="68" t="e">
        <f t="shared" si="21"/>
        <v>#DIV/0!</v>
      </c>
      <c r="L103" s="68" t="e">
        <f t="shared" si="22"/>
        <v>#DIV/0!</v>
      </c>
      <c r="N103" s="64">
        <v>82</v>
      </c>
      <c r="O103" s="72">
        <f t="shared" si="34"/>
        <v>0</v>
      </c>
      <c r="R103" s="68" t="e">
        <f t="shared" si="23"/>
        <v>#DIV/0!</v>
      </c>
      <c r="S103" s="68" t="e">
        <f t="shared" si="24"/>
        <v>#DIV/0!</v>
      </c>
      <c r="T103" s="68" t="e">
        <f t="shared" si="25"/>
        <v>#DIV/0!</v>
      </c>
      <c r="U103" s="68" t="e">
        <f t="shared" si="26"/>
        <v>#DIV/0!</v>
      </c>
      <c r="V103" s="68" t="e">
        <f t="shared" si="27"/>
        <v>#DIV/0!</v>
      </c>
      <c r="X103" s="64">
        <v>82</v>
      </c>
      <c r="Y103" s="72">
        <f t="shared" si="35"/>
        <v>0</v>
      </c>
      <c r="AB103" s="68">
        <f t="shared" si="28"/>
        <v>0.97827945193393751</v>
      </c>
      <c r="AC103" s="68">
        <f t="shared" si="29"/>
        <v>0.81057429398924641</v>
      </c>
      <c r="AD103" s="68">
        <f t="shared" si="30"/>
        <v>0.16396806491792684</v>
      </c>
      <c r="AE103" s="68">
        <f t="shared" si="31"/>
        <v>0.20880509202963629</v>
      </c>
      <c r="AF103" s="68">
        <f t="shared" si="32"/>
        <v>15.752143310149364</v>
      </c>
      <c r="AG103" s="21"/>
    </row>
    <row r="104" spans="2:33" x14ac:dyDescent="0.3">
      <c r="B104" s="22"/>
      <c r="D104" s="64">
        <v>83</v>
      </c>
      <c r="E104" s="100">
        <f t="shared" si="33"/>
        <v>0</v>
      </c>
      <c r="H104" s="68" t="e">
        <f t="shared" si="18"/>
        <v>#DIV/0!</v>
      </c>
      <c r="I104" s="68" t="e">
        <f t="shared" si="19"/>
        <v>#DIV/0!</v>
      </c>
      <c r="J104" s="68" t="e">
        <f t="shared" si="20"/>
        <v>#DIV/0!</v>
      </c>
      <c r="K104" s="68" t="e">
        <f t="shared" si="21"/>
        <v>#DIV/0!</v>
      </c>
      <c r="L104" s="68" t="e">
        <f t="shared" si="22"/>
        <v>#DIV/0!</v>
      </c>
      <c r="N104" s="64">
        <v>83</v>
      </c>
      <c r="O104" s="72">
        <f t="shared" si="34"/>
        <v>0</v>
      </c>
      <c r="R104" s="68" t="e">
        <f t="shared" si="23"/>
        <v>#DIV/0!</v>
      </c>
      <c r="S104" s="68" t="e">
        <f t="shared" si="24"/>
        <v>#DIV/0!</v>
      </c>
      <c r="T104" s="68" t="e">
        <f t="shared" si="25"/>
        <v>#DIV/0!</v>
      </c>
      <c r="U104" s="68" t="e">
        <f t="shared" si="26"/>
        <v>#DIV/0!</v>
      </c>
      <c r="V104" s="68" t="e">
        <f t="shared" si="27"/>
        <v>#DIV/0!</v>
      </c>
      <c r="X104" s="64">
        <v>83</v>
      </c>
      <c r="Y104" s="72">
        <f t="shared" si="35"/>
        <v>0</v>
      </c>
      <c r="AB104" s="68">
        <f t="shared" si="28"/>
        <v>0.97827945193393751</v>
      </c>
      <c r="AC104" s="68">
        <f t="shared" si="29"/>
        <v>0.81057429398924641</v>
      </c>
      <c r="AD104" s="68">
        <f t="shared" si="30"/>
        <v>0.16396806491792684</v>
      </c>
      <c r="AE104" s="68">
        <f t="shared" si="31"/>
        <v>0.20880509202963629</v>
      </c>
      <c r="AF104" s="68">
        <f t="shared" si="32"/>
        <v>15.752143310149364</v>
      </c>
      <c r="AG104" s="21"/>
    </row>
    <row r="105" spans="2:33" x14ac:dyDescent="0.3">
      <c r="B105" s="22"/>
      <c r="D105" s="64">
        <v>84</v>
      </c>
      <c r="E105" s="100">
        <f t="shared" si="33"/>
        <v>0</v>
      </c>
      <c r="H105" s="68" t="e">
        <f t="shared" si="18"/>
        <v>#DIV/0!</v>
      </c>
      <c r="I105" s="68" t="e">
        <f t="shared" si="19"/>
        <v>#DIV/0!</v>
      </c>
      <c r="J105" s="68" t="e">
        <f t="shared" si="20"/>
        <v>#DIV/0!</v>
      </c>
      <c r="K105" s="68" t="e">
        <f t="shared" si="21"/>
        <v>#DIV/0!</v>
      </c>
      <c r="L105" s="68" t="e">
        <f t="shared" si="22"/>
        <v>#DIV/0!</v>
      </c>
      <c r="N105" s="64">
        <v>84</v>
      </c>
      <c r="O105" s="72">
        <f t="shared" si="34"/>
        <v>0</v>
      </c>
      <c r="R105" s="68" t="e">
        <f t="shared" si="23"/>
        <v>#DIV/0!</v>
      </c>
      <c r="S105" s="68" t="e">
        <f t="shared" si="24"/>
        <v>#DIV/0!</v>
      </c>
      <c r="T105" s="68" t="e">
        <f t="shared" si="25"/>
        <v>#DIV/0!</v>
      </c>
      <c r="U105" s="68" t="e">
        <f t="shared" si="26"/>
        <v>#DIV/0!</v>
      </c>
      <c r="V105" s="68" t="e">
        <f t="shared" si="27"/>
        <v>#DIV/0!</v>
      </c>
      <c r="X105" s="64">
        <v>84</v>
      </c>
      <c r="Y105" s="72">
        <f t="shared" si="35"/>
        <v>0</v>
      </c>
      <c r="AB105" s="68">
        <f t="shared" si="28"/>
        <v>0.97827945193393751</v>
      </c>
      <c r="AC105" s="68">
        <f t="shared" si="29"/>
        <v>0.81057429398924641</v>
      </c>
      <c r="AD105" s="68">
        <f t="shared" si="30"/>
        <v>0.16396806491792684</v>
      </c>
      <c r="AE105" s="68">
        <f t="shared" si="31"/>
        <v>0.20880509202963629</v>
      </c>
      <c r="AF105" s="68">
        <f t="shared" si="32"/>
        <v>15.752143310149364</v>
      </c>
      <c r="AG105" s="21"/>
    </row>
    <row r="106" spans="2:33" x14ac:dyDescent="0.3">
      <c r="B106" s="22"/>
      <c r="D106" s="64">
        <v>85</v>
      </c>
      <c r="E106" s="100">
        <f t="shared" si="33"/>
        <v>0</v>
      </c>
      <c r="H106" s="68" t="e">
        <f t="shared" si="18"/>
        <v>#DIV/0!</v>
      </c>
      <c r="I106" s="68" t="e">
        <f t="shared" si="19"/>
        <v>#DIV/0!</v>
      </c>
      <c r="J106" s="68" t="e">
        <f t="shared" si="20"/>
        <v>#DIV/0!</v>
      </c>
      <c r="K106" s="68" t="e">
        <f t="shared" si="21"/>
        <v>#DIV/0!</v>
      </c>
      <c r="L106" s="68" t="e">
        <f t="shared" si="22"/>
        <v>#DIV/0!</v>
      </c>
      <c r="N106" s="64">
        <v>85</v>
      </c>
      <c r="O106" s="72">
        <f t="shared" si="34"/>
        <v>0</v>
      </c>
      <c r="R106" s="68" t="e">
        <f t="shared" si="23"/>
        <v>#DIV/0!</v>
      </c>
      <c r="S106" s="68" t="e">
        <f t="shared" si="24"/>
        <v>#DIV/0!</v>
      </c>
      <c r="T106" s="68" t="e">
        <f t="shared" si="25"/>
        <v>#DIV/0!</v>
      </c>
      <c r="U106" s="68" t="e">
        <f t="shared" si="26"/>
        <v>#DIV/0!</v>
      </c>
      <c r="V106" s="68" t="e">
        <f t="shared" si="27"/>
        <v>#DIV/0!</v>
      </c>
      <c r="X106" s="64">
        <v>85</v>
      </c>
      <c r="Y106" s="72">
        <f t="shared" si="35"/>
        <v>0</v>
      </c>
      <c r="AB106" s="68">
        <f t="shared" si="28"/>
        <v>0.97827945193393751</v>
      </c>
      <c r="AC106" s="68">
        <f t="shared" si="29"/>
        <v>0.81057429398924641</v>
      </c>
      <c r="AD106" s="68">
        <f t="shared" si="30"/>
        <v>0.16396806491792684</v>
      </c>
      <c r="AE106" s="68">
        <f t="shared" si="31"/>
        <v>0.20880509202963629</v>
      </c>
      <c r="AF106" s="68">
        <f t="shared" si="32"/>
        <v>15.752143310149364</v>
      </c>
      <c r="AG106" s="21"/>
    </row>
    <row r="107" spans="2:33" x14ac:dyDescent="0.3">
      <c r="B107" s="22"/>
      <c r="D107" s="64">
        <v>86</v>
      </c>
      <c r="E107" s="100">
        <f t="shared" si="33"/>
        <v>0</v>
      </c>
      <c r="H107" s="68" t="e">
        <f t="shared" si="18"/>
        <v>#DIV/0!</v>
      </c>
      <c r="I107" s="68" t="e">
        <f t="shared" si="19"/>
        <v>#DIV/0!</v>
      </c>
      <c r="J107" s="68" t="e">
        <f t="shared" si="20"/>
        <v>#DIV/0!</v>
      </c>
      <c r="K107" s="68" t="e">
        <f t="shared" si="21"/>
        <v>#DIV/0!</v>
      </c>
      <c r="L107" s="68" t="e">
        <f t="shared" si="22"/>
        <v>#DIV/0!</v>
      </c>
      <c r="N107" s="64">
        <v>86</v>
      </c>
      <c r="O107" s="72">
        <f t="shared" si="34"/>
        <v>0</v>
      </c>
      <c r="R107" s="68" t="e">
        <f t="shared" si="23"/>
        <v>#DIV/0!</v>
      </c>
      <c r="S107" s="68" t="e">
        <f t="shared" si="24"/>
        <v>#DIV/0!</v>
      </c>
      <c r="T107" s="68" t="e">
        <f t="shared" si="25"/>
        <v>#DIV/0!</v>
      </c>
      <c r="U107" s="68" t="e">
        <f t="shared" si="26"/>
        <v>#DIV/0!</v>
      </c>
      <c r="V107" s="68" t="e">
        <f t="shared" si="27"/>
        <v>#DIV/0!</v>
      </c>
      <c r="X107" s="64">
        <v>86</v>
      </c>
      <c r="Y107" s="72">
        <f t="shared" si="35"/>
        <v>0</v>
      </c>
      <c r="AB107" s="68">
        <f t="shared" si="28"/>
        <v>0.97827945193393751</v>
      </c>
      <c r="AC107" s="68">
        <f t="shared" si="29"/>
        <v>0.81057429398924641</v>
      </c>
      <c r="AD107" s="68">
        <f t="shared" si="30"/>
        <v>0.16396806491792684</v>
      </c>
      <c r="AE107" s="68">
        <f t="shared" si="31"/>
        <v>0.20880509202963629</v>
      </c>
      <c r="AF107" s="68">
        <f t="shared" si="32"/>
        <v>15.752143310149364</v>
      </c>
      <c r="AG107" s="21"/>
    </row>
    <row r="108" spans="2:33" x14ac:dyDescent="0.3">
      <c r="B108" s="22"/>
      <c r="D108" s="64">
        <v>87</v>
      </c>
      <c r="E108" s="100">
        <f t="shared" si="33"/>
        <v>0</v>
      </c>
      <c r="H108" s="68" t="e">
        <f t="shared" si="18"/>
        <v>#DIV/0!</v>
      </c>
      <c r="I108" s="68" t="e">
        <f t="shared" si="19"/>
        <v>#DIV/0!</v>
      </c>
      <c r="J108" s="68" t="e">
        <f t="shared" si="20"/>
        <v>#DIV/0!</v>
      </c>
      <c r="K108" s="68" t="e">
        <f t="shared" si="21"/>
        <v>#DIV/0!</v>
      </c>
      <c r="L108" s="68" t="e">
        <f t="shared" si="22"/>
        <v>#DIV/0!</v>
      </c>
      <c r="N108" s="64">
        <v>87</v>
      </c>
      <c r="O108" s="72">
        <f t="shared" si="34"/>
        <v>0</v>
      </c>
      <c r="R108" s="68" t="e">
        <f t="shared" si="23"/>
        <v>#DIV/0!</v>
      </c>
      <c r="S108" s="68" t="e">
        <f t="shared" si="24"/>
        <v>#DIV/0!</v>
      </c>
      <c r="T108" s="68" t="e">
        <f t="shared" si="25"/>
        <v>#DIV/0!</v>
      </c>
      <c r="U108" s="68" t="e">
        <f t="shared" si="26"/>
        <v>#DIV/0!</v>
      </c>
      <c r="V108" s="68" t="e">
        <f t="shared" si="27"/>
        <v>#DIV/0!</v>
      </c>
      <c r="X108" s="64">
        <v>87</v>
      </c>
      <c r="Y108" s="72">
        <f t="shared" si="35"/>
        <v>0</v>
      </c>
      <c r="AB108" s="68">
        <f t="shared" si="28"/>
        <v>0.97827945193393751</v>
      </c>
      <c r="AC108" s="68">
        <f t="shared" si="29"/>
        <v>0.81057429398924641</v>
      </c>
      <c r="AD108" s="68">
        <f t="shared" si="30"/>
        <v>0.16396806491792684</v>
      </c>
      <c r="AE108" s="68">
        <f t="shared" si="31"/>
        <v>0.20880509202963629</v>
      </c>
      <c r="AF108" s="68">
        <f t="shared" si="32"/>
        <v>15.752143310149364</v>
      </c>
      <c r="AG108" s="21"/>
    </row>
    <row r="109" spans="2:33" x14ac:dyDescent="0.3">
      <c r="B109" s="22"/>
      <c r="D109" s="64">
        <v>88</v>
      </c>
      <c r="E109" s="100">
        <f t="shared" si="33"/>
        <v>0</v>
      </c>
      <c r="H109" s="68" t="e">
        <f t="shared" si="18"/>
        <v>#DIV/0!</v>
      </c>
      <c r="I109" s="68" t="e">
        <f t="shared" si="19"/>
        <v>#DIV/0!</v>
      </c>
      <c r="J109" s="68" t="e">
        <f t="shared" si="20"/>
        <v>#DIV/0!</v>
      </c>
      <c r="K109" s="68" t="e">
        <f t="shared" si="21"/>
        <v>#DIV/0!</v>
      </c>
      <c r="L109" s="68" t="e">
        <f t="shared" si="22"/>
        <v>#DIV/0!</v>
      </c>
      <c r="N109" s="64">
        <v>88</v>
      </c>
      <c r="O109" s="72">
        <f t="shared" si="34"/>
        <v>0</v>
      </c>
      <c r="R109" s="68" t="e">
        <f t="shared" si="23"/>
        <v>#DIV/0!</v>
      </c>
      <c r="S109" s="68" t="e">
        <f t="shared" si="24"/>
        <v>#DIV/0!</v>
      </c>
      <c r="T109" s="68" t="e">
        <f t="shared" si="25"/>
        <v>#DIV/0!</v>
      </c>
      <c r="U109" s="68" t="e">
        <f t="shared" si="26"/>
        <v>#DIV/0!</v>
      </c>
      <c r="V109" s="68" t="e">
        <f t="shared" si="27"/>
        <v>#DIV/0!</v>
      </c>
      <c r="X109" s="64">
        <v>88</v>
      </c>
      <c r="Y109" s="72">
        <f t="shared" si="35"/>
        <v>0</v>
      </c>
      <c r="AB109" s="68">
        <f t="shared" si="28"/>
        <v>0.97827945193393751</v>
      </c>
      <c r="AC109" s="68">
        <f t="shared" si="29"/>
        <v>0.81057429398924641</v>
      </c>
      <c r="AD109" s="68">
        <f t="shared" si="30"/>
        <v>0.16396806491792684</v>
      </c>
      <c r="AE109" s="68">
        <f t="shared" si="31"/>
        <v>0.20880509202963629</v>
      </c>
      <c r="AF109" s="68">
        <f t="shared" si="32"/>
        <v>15.752143310149364</v>
      </c>
      <c r="AG109" s="21"/>
    </row>
    <row r="110" spans="2:33" x14ac:dyDescent="0.3">
      <c r="B110" s="22"/>
      <c r="D110" s="64">
        <v>89</v>
      </c>
      <c r="E110" s="100">
        <f t="shared" si="33"/>
        <v>0</v>
      </c>
      <c r="H110" s="68" t="e">
        <f t="shared" si="18"/>
        <v>#DIV/0!</v>
      </c>
      <c r="I110" s="68" t="e">
        <f t="shared" si="19"/>
        <v>#DIV/0!</v>
      </c>
      <c r="J110" s="68" t="e">
        <f t="shared" si="20"/>
        <v>#DIV/0!</v>
      </c>
      <c r="K110" s="68" t="e">
        <f t="shared" si="21"/>
        <v>#DIV/0!</v>
      </c>
      <c r="L110" s="68" t="e">
        <f t="shared" si="22"/>
        <v>#DIV/0!</v>
      </c>
      <c r="N110" s="64">
        <v>89</v>
      </c>
      <c r="O110" s="72">
        <f t="shared" si="34"/>
        <v>0</v>
      </c>
      <c r="R110" s="68" t="e">
        <f t="shared" si="23"/>
        <v>#DIV/0!</v>
      </c>
      <c r="S110" s="68" t="e">
        <f t="shared" si="24"/>
        <v>#DIV/0!</v>
      </c>
      <c r="T110" s="68" t="e">
        <f t="shared" si="25"/>
        <v>#DIV/0!</v>
      </c>
      <c r="U110" s="68" t="e">
        <f t="shared" si="26"/>
        <v>#DIV/0!</v>
      </c>
      <c r="V110" s="68" t="e">
        <f t="shared" si="27"/>
        <v>#DIV/0!</v>
      </c>
      <c r="X110" s="64">
        <v>89</v>
      </c>
      <c r="Y110" s="72">
        <f t="shared" si="35"/>
        <v>0</v>
      </c>
      <c r="AB110" s="68">
        <f t="shared" si="28"/>
        <v>0.97827945193393751</v>
      </c>
      <c r="AC110" s="68">
        <f t="shared" si="29"/>
        <v>0.81057429398924641</v>
      </c>
      <c r="AD110" s="68">
        <f t="shared" si="30"/>
        <v>0.16396806491792684</v>
      </c>
      <c r="AE110" s="68">
        <f t="shared" si="31"/>
        <v>0.20880509202963629</v>
      </c>
      <c r="AF110" s="68">
        <f t="shared" si="32"/>
        <v>15.752143310149364</v>
      </c>
      <c r="AG110" s="21"/>
    </row>
    <row r="111" spans="2:33" x14ac:dyDescent="0.3">
      <c r="B111" s="22"/>
      <c r="D111" s="64">
        <v>90</v>
      </c>
      <c r="E111" s="100">
        <f t="shared" si="33"/>
        <v>0</v>
      </c>
      <c r="H111" s="68" t="e">
        <f t="shared" si="18"/>
        <v>#DIV/0!</v>
      </c>
      <c r="I111" s="68" t="e">
        <f t="shared" si="19"/>
        <v>#DIV/0!</v>
      </c>
      <c r="J111" s="68" t="e">
        <f t="shared" si="20"/>
        <v>#DIV/0!</v>
      </c>
      <c r="K111" s="68" t="e">
        <f t="shared" si="21"/>
        <v>#DIV/0!</v>
      </c>
      <c r="L111" s="68" t="e">
        <f t="shared" si="22"/>
        <v>#DIV/0!</v>
      </c>
      <c r="N111" s="64">
        <v>90</v>
      </c>
      <c r="O111" s="72">
        <f t="shared" si="34"/>
        <v>0</v>
      </c>
      <c r="R111" s="68" t="e">
        <f t="shared" si="23"/>
        <v>#DIV/0!</v>
      </c>
      <c r="S111" s="68" t="e">
        <f t="shared" si="24"/>
        <v>#DIV/0!</v>
      </c>
      <c r="T111" s="68" t="e">
        <f t="shared" si="25"/>
        <v>#DIV/0!</v>
      </c>
      <c r="U111" s="68" t="e">
        <f t="shared" si="26"/>
        <v>#DIV/0!</v>
      </c>
      <c r="V111" s="68" t="e">
        <f t="shared" si="27"/>
        <v>#DIV/0!</v>
      </c>
      <c r="X111" s="64">
        <v>90</v>
      </c>
      <c r="Y111" s="72">
        <f t="shared" si="35"/>
        <v>0</v>
      </c>
      <c r="AB111" s="68">
        <f t="shared" si="28"/>
        <v>0.97827945193393751</v>
      </c>
      <c r="AC111" s="68">
        <f t="shared" si="29"/>
        <v>0.81057429398924641</v>
      </c>
      <c r="AD111" s="68">
        <f t="shared" si="30"/>
        <v>0.16396806491792684</v>
      </c>
      <c r="AE111" s="68">
        <f t="shared" si="31"/>
        <v>0.20880509202963629</v>
      </c>
      <c r="AF111" s="68">
        <f t="shared" si="32"/>
        <v>15.752143310149364</v>
      </c>
      <c r="AG111" s="21"/>
    </row>
    <row r="112" spans="2:33" x14ac:dyDescent="0.3">
      <c r="B112" s="22"/>
      <c r="D112" s="64">
        <v>91</v>
      </c>
      <c r="E112" s="100">
        <f t="shared" si="33"/>
        <v>0</v>
      </c>
      <c r="H112" s="68" t="e">
        <f t="shared" si="18"/>
        <v>#DIV/0!</v>
      </c>
      <c r="I112" s="68" t="e">
        <f t="shared" si="19"/>
        <v>#DIV/0!</v>
      </c>
      <c r="J112" s="68" t="e">
        <f t="shared" si="20"/>
        <v>#DIV/0!</v>
      </c>
      <c r="K112" s="68" t="e">
        <f t="shared" si="21"/>
        <v>#DIV/0!</v>
      </c>
      <c r="L112" s="68" t="e">
        <f t="shared" si="22"/>
        <v>#DIV/0!</v>
      </c>
      <c r="N112" s="64">
        <v>91</v>
      </c>
      <c r="O112" s="72">
        <f t="shared" si="34"/>
        <v>0</v>
      </c>
      <c r="R112" s="68" t="e">
        <f t="shared" si="23"/>
        <v>#DIV/0!</v>
      </c>
      <c r="S112" s="68" t="e">
        <f t="shared" si="24"/>
        <v>#DIV/0!</v>
      </c>
      <c r="T112" s="68" t="e">
        <f t="shared" si="25"/>
        <v>#DIV/0!</v>
      </c>
      <c r="U112" s="68" t="e">
        <f t="shared" si="26"/>
        <v>#DIV/0!</v>
      </c>
      <c r="V112" s="68" t="e">
        <f t="shared" si="27"/>
        <v>#DIV/0!</v>
      </c>
      <c r="X112" s="64">
        <v>91</v>
      </c>
      <c r="Y112" s="72">
        <f t="shared" si="35"/>
        <v>0</v>
      </c>
      <c r="AB112" s="68">
        <f t="shared" si="28"/>
        <v>0.97827945193393751</v>
      </c>
      <c r="AC112" s="68">
        <f t="shared" si="29"/>
        <v>0.81057429398924641</v>
      </c>
      <c r="AD112" s="68">
        <f t="shared" si="30"/>
        <v>0.16396806491792684</v>
      </c>
      <c r="AE112" s="68">
        <f t="shared" si="31"/>
        <v>0.20880509202963629</v>
      </c>
      <c r="AF112" s="68">
        <f t="shared" si="32"/>
        <v>15.752143310149364</v>
      </c>
      <c r="AG112" s="21"/>
    </row>
    <row r="113" spans="2:33" x14ac:dyDescent="0.3">
      <c r="B113" s="22"/>
      <c r="D113" s="64">
        <v>92</v>
      </c>
      <c r="E113" s="100">
        <f t="shared" si="33"/>
        <v>0</v>
      </c>
      <c r="H113" s="68" t="e">
        <f t="shared" si="18"/>
        <v>#DIV/0!</v>
      </c>
      <c r="I113" s="68" t="e">
        <f t="shared" si="19"/>
        <v>#DIV/0!</v>
      </c>
      <c r="J113" s="68" t="e">
        <f t="shared" si="20"/>
        <v>#DIV/0!</v>
      </c>
      <c r="K113" s="68" t="e">
        <f t="shared" si="21"/>
        <v>#DIV/0!</v>
      </c>
      <c r="L113" s="68" t="e">
        <f t="shared" si="22"/>
        <v>#DIV/0!</v>
      </c>
      <c r="N113" s="64">
        <v>92</v>
      </c>
      <c r="O113" s="72">
        <f t="shared" si="34"/>
        <v>0</v>
      </c>
      <c r="R113" s="68" t="e">
        <f t="shared" si="23"/>
        <v>#DIV/0!</v>
      </c>
      <c r="S113" s="68" t="e">
        <f t="shared" si="24"/>
        <v>#DIV/0!</v>
      </c>
      <c r="T113" s="68" t="e">
        <f t="shared" si="25"/>
        <v>#DIV/0!</v>
      </c>
      <c r="U113" s="68" t="e">
        <f t="shared" si="26"/>
        <v>#DIV/0!</v>
      </c>
      <c r="V113" s="68" t="e">
        <f t="shared" si="27"/>
        <v>#DIV/0!</v>
      </c>
      <c r="X113" s="64">
        <v>92</v>
      </c>
      <c r="Y113" s="72">
        <f t="shared" si="35"/>
        <v>0</v>
      </c>
      <c r="AB113" s="68">
        <f t="shared" si="28"/>
        <v>0.97827945193393751</v>
      </c>
      <c r="AC113" s="68">
        <f t="shared" si="29"/>
        <v>0.81057429398924641</v>
      </c>
      <c r="AD113" s="68">
        <f t="shared" si="30"/>
        <v>0.16396806491792684</v>
      </c>
      <c r="AE113" s="68">
        <f t="shared" si="31"/>
        <v>0.20880509202963629</v>
      </c>
      <c r="AF113" s="68">
        <f t="shared" si="32"/>
        <v>15.752143310149364</v>
      </c>
      <c r="AG113" s="21"/>
    </row>
    <row r="114" spans="2:33" x14ac:dyDescent="0.3">
      <c r="B114" s="22"/>
      <c r="D114" s="64">
        <v>93</v>
      </c>
      <c r="E114" s="100">
        <f t="shared" si="33"/>
        <v>0</v>
      </c>
      <c r="H114" s="68" t="e">
        <f t="shared" si="18"/>
        <v>#DIV/0!</v>
      </c>
      <c r="I114" s="68" t="e">
        <f t="shared" si="19"/>
        <v>#DIV/0!</v>
      </c>
      <c r="J114" s="68" t="e">
        <f t="shared" si="20"/>
        <v>#DIV/0!</v>
      </c>
      <c r="K114" s="68" t="e">
        <f t="shared" si="21"/>
        <v>#DIV/0!</v>
      </c>
      <c r="L114" s="68" t="e">
        <f t="shared" si="22"/>
        <v>#DIV/0!</v>
      </c>
      <c r="N114" s="64">
        <v>93</v>
      </c>
      <c r="O114" s="72">
        <f t="shared" si="34"/>
        <v>0</v>
      </c>
      <c r="R114" s="68" t="e">
        <f t="shared" si="23"/>
        <v>#DIV/0!</v>
      </c>
      <c r="S114" s="68" t="e">
        <f t="shared" si="24"/>
        <v>#DIV/0!</v>
      </c>
      <c r="T114" s="68" t="e">
        <f t="shared" si="25"/>
        <v>#DIV/0!</v>
      </c>
      <c r="U114" s="68" t="e">
        <f t="shared" si="26"/>
        <v>#DIV/0!</v>
      </c>
      <c r="V114" s="68" t="e">
        <f t="shared" si="27"/>
        <v>#DIV/0!</v>
      </c>
      <c r="X114" s="64">
        <v>93</v>
      </c>
      <c r="Y114" s="72">
        <f t="shared" si="35"/>
        <v>0</v>
      </c>
      <c r="AB114" s="68">
        <f t="shared" si="28"/>
        <v>0.97827945193393751</v>
      </c>
      <c r="AC114" s="68">
        <f t="shared" si="29"/>
        <v>0.81057429398924641</v>
      </c>
      <c r="AD114" s="68">
        <f t="shared" si="30"/>
        <v>0.16396806491792684</v>
      </c>
      <c r="AE114" s="68">
        <f t="shared" si="31"/>
        <v>0.20880509202963629</v>
      </c>
      <c r="AF114" s="68">
        <f t="shared" si="32"/>
        <v>15.752143310149364</v>
      </c>
      <c r="AG114" s="21"/>
    </row>
    <row r="115" spans="2:33" x14ac:dyDescent="0.3">
      <c r="B115" s="22"/>
      <c r="D115" s="64">
        <v>94</v>
      </c>
      <c r="E115" s="100">
        <f t="shared" si="33"/>
        <v>0</v>
      </c>
      <c r="H115" s="68" t="e">
        <f t="shared" si="18"/>
        <v>#DIV/0!</v>
      </c>
      <c r="I115" s="68" t="e">
        <f t="shared" si="19"/>
        <v>#DIV/0!</v>
      </c>
      <c r="J115" s="68" t="e">
        <f t="shared" si="20"/>
        <v>#DIV/0!</v>
      </c>
      <c r="K115" s="68" t="e">
        <f t="shared" si="21"/>
        <v>#DIV/0!</v>
      </c>
      <c r="L115" s="68" t="e">
        <f t="shared" si="22"/>
        <v>#DIV/0!</v>
      </c>
      <c r="N115" s="64">
        <v>94</v>
      </c>
      <c r="O115" s="72">
        <f t="shared" si="34"/>
        <v>0</v>
      </c>
      <c r="R115" s="68" t="e">
        <f t="shared" si="23"/>
        <v>#DIV/0!</v>
      </c>
      <c r="S115" s="68" t="e">
        <f t="shared" si="24"/>
        <v>#DIV/0!</v>
      </c>
      <c r="T115" s="68" t="e">
        <f t="shared" si="25"/>
        <v>#DIV/0!</v>
      </c>
      <c r="U115" s="68" t="e">
        <f t="shared" si="26"/>
        <v>#DIV/0!</v>
      </c>
      <c r="V115" s="68" t="e">
        <f t="shared" si="27"/>
        <v>#DIV/0!</v>
      </c>
      <c r="X115" s="64">
        <v>94</v>
      </c>
      <c r="Y115" s="72">
        <f t="shared" si="35"/>
        <v>0</v>
      </c>
      <c r="AB115" s="68">
        <f t="shared" si="28"/>
        <v>0.97827945193393751</v>
      </c>
      <c r="AC115" s="68">
        <f t="shared" si="29"/>
        <v>0.81057429398924641</v>
      </c>
      <c r="AD115" s="68">
        <f t="shared" si="30"/>
        <v>0.16396806491792684</v>
      </c>
      <c r="AE115" s="68">
        <f t="shared" si="31"/>
        <v>0.20880509202963629</v>
      </c>
      <c r="AF115" s="68">
        <f t="shared" si="32"/>
        <v>15.752143310149364</v>
      </c>
      <c r="AG115" s="21"/>
    </row>
    <row r="116" spans="2:33" x14ac:dyDescent="0.3">
      <c r="B116" s="22"/>
      <c r="D116" s="64">
        <v>95</v>
      </c>
      <c r="E116" s="100">
        <f t="shared" si="33"/>
        <v>0</v>
      </c>
      <c r="H116" s="68" t="e">
        <f t="shared" si="18"/>
        <v>#DIV/0!</v>
      </c>
      <c r="I116" s="68" t="e">
        <f t="shared" si="19"/>
        <v>#DIV/0!</v>
      </c>
      <c r="J116" s="68" t="e">
        <f t="shared" si="20"/>
        <v>#DIV/0!</v>
      </c>
      <c r="K116" s="68" t="e">
        <f t="shared" si="21"/>
        <v>#DIV/0!</v>
      </c>
      <c r="L116" s="68" t="e">
        <f t="shared" si="22"/>
        <v>#DIV/0!</v>
      </c>
      <c r="N116" s="64">
        <v>95</v>
      </c>
      <c r="O116" s="72">
        <f t="shared" si="34"/>
        <v>0</v>
      </c>
      <c r="R116" s="68" t="e">
        <f t="shared" si="23"/>
        <v>#DIV/0!</v>
      </c>
      <c r="S116" s="68" t="e">
        <f t="shared" si="24"/>
        <v>#DIV/0!</v>
      </c>
      <c r="T116" s="68" t="e">
        <f t="shared" si="25"/>
        <v>#DIV/0!</v>
      </c>
      <c r="U116" s="68" t="e">
        <f t="shared" si="26"/>
        <v>#DIV/0!</v>
      </c>
      <c r="V116" s="68" t="e">
        <f t="shared" si="27"/>
        <v>#DIV/0!</v>
      </c>
      <c r="X116" s="64">
        <v>95</v>
      </c>
      <c r="Y116" s="72">
        <f t="shared" si="35"/>
        <v>0</v>
      </c>
      <c r="AB116" s="68">
        <f t="shared" si="28"/>
        <v>0.97827945193393751</v>
      </c>
      <c r="AC116" s="68">
        <f t="shared" si="29"/>
        <v>0.81057429398924641</v>
      </c>
      <c r="AD116" s="68">
        <f t="shared" si="30"/>
        <v>0.16396806491792684</v>
      </c>
      <c r="AE116" s="68">
        <f t="shared" si="31"/>
        <v>0.20880509202963629</v>
      </c>
      <c r="AF116" s="68">
        <f t="shared" si="32"/>
        <v>15.752143310149364</v>
      </c>
      <c r="AG116" s="21"/>
    </row>
    <row r="117" spans="2:33" x14ac:dyDescent="0.3">
      <c r="B117" s="22"/>
      <c r="D117" s="64">
        <v>96</v>
      </c>
      <c r="E117" s="100">
        <f t="shared" si="33"/>
        <v>0</v>
      </c>
      <c r="H117" s="68" t="e">
        <f t="shared" si="18"/>
        <v>#DIV/0!</v>
      </c>
      <c r="I117" s="68" t="e">
        <f t="shared" si="19"/>
        <v>#DIV/0!</v>
      </c>
      <c r="J117" s="68" t="e">
        <f t="shared" si="20"/>
        <v>#DIV/0!</v>
      </c>
      <c r="K117" s="68" t="e">
        <f t="shared" si="21"/>
        <v>#DIV/0!</v>
      </c>
      <c r="L117" s="68" t="e">
        <f t="shared" si="22"/>
        <v>#DIV/0!</v>
      </c>
      <c r="N117" s="64">
        <v>96</v>
      </c>
      <c r="O117" s="72">
        <f t="shared" si="34"/>
        <v>0</v>
      </c>
      <c r="R117" s="68" t="e">
        <f t="shared" si="23"/>
        <v>#DIV/0!</v>
      </c>
      <c r="S117" s="68" t="e">
        <f t="shared" si="24"/>
        <v>#DIV/0!</v>
      </c>
      <c r="T117" s="68" t="e">
        <f t="shared" si="25"/>
        <v>#DIV/0!</v>
      </c>
      <c r="U117" s="68" t="e">
        <f t="shared" si="26"/>
        <v>#DIV/0!</v>
      </c>
      <c r="V117" s="68" t="e">
        <f t="shared" si="27"/>
        <v>#DIV/0!</v>
      </c>
      <c r="X117" s="64">
        <v>96</v>
      </c>
      <c r="Y117" s="72">
        <f t="shared" si="35"/>
        <v>0</v>
      </c>
      <c r="AB117" s="68">
        <f t="shared" si="28"/>
        <v>0.97827945193393751</v>
      </c>
      <c r="AC117" s="68">
        <f t="shared" si="29"/>
        <v>0.81057429398924641</v>
      </c>
      <c r="AD117" s="68">
        <f t="shared" si="30"/>
        <v>0.16396806491792684</v>
      </c>
      <c r="AE117" s="68">
        <f t="shared" si="31"/>
        <v>0.20880509202963629</v>
      </c>
      <c r="AF117" s="68">
        <f t="shared" si="32"/>
        <v>15.752143310149364</v>
      </c>
      <c r="AG117" s="21"/>
    </row>
    <row r="118" spans="2:33" x14ac:dyDescent="0.3">
      <c r="B118" s="22"/>
      <c r="D118" s="64">
        <v>97</v>
      </c>
      <c r="E118" s="100">
        <f t="shared" si="33"/>
        <v>0</v>
      </c>
      <c r="H118" s="68" t="e">
        <f t="shared" si="18"/>
        <v>#DIV/0!</v>
      </c>
      <c r="I118" s="68" t="e">
        <f t="shared" si="19"/>
        <v>#DIV/0!</v>
      </c>
      <c r="J118" s="68" t="e">
        <f t="shared" si="20"/>
        <v>#DIV/0!</v>
      </c>
      <c r="K118" s="68" t="e">
        <f t="shared" si="21"/>
        <v>#DIV/0!</v>
      </c>
      <c r="L118" s="68" t="e">
        <f t="shared" si="22"/>
        <v>#DIV/0!</v>
      </c>
      <c r="N118" s="64">
        <v>97</v>
      </c>
      <c r="O118" s="72">
        <f t="shared" si="34"/>
        <v>0</v>
      </c>
      <c r="R118" s="68" t="e">
        <f t="shared" si="23"/>
        <v>#DIV/0!</v>
      </c>
      <c r="S118" s="68" t="e">
        <f t="shared" si="24"/>
        <v>#DIV/0!</v>
      </c>
      <c r="T118" s="68" t="e">
        <f t="shared" si="25"/>
        <v>#DIV/0!</v>
      </c>
      <c r="U118" s="68" t="e">
        <f t="shared" si="26"/>
        <v>#DIV/0!</v>
      </c>
      <c r="V118" s="68" t="e">
        <f t="shared" si="27"/>
        <v>#DIV/0!</v>
      </c>
      <c r="X118" s="64">
        <v>97</v>
      </c>
      <c r="Y118" s="72">
        <f t="shared" si="35"/>
        <v>0</v>
      </c>
      <c r="AB118" s="68">
        <f t="shared" si="28"/>
        <v>0.97827945193393751</v>
      </c>
      <c r="AC118" s="68">
        <f t="shared" si="29"/>
        <v>0.81057429398924641</v>
      </c>
      <c r="AD118" s="68">
        <f t="shared" si="30"/>
        <v>0.16396806491792684</v>
      </c>
      <c r="AE118" s="68">
        <f t="shared" si="31"/>
        <v>0.20880509202963629</v>
      </c>
      <c r="AF118" s="68">
        <f t="shared" si="32"/>
        <v>15.752143310149364</v>
      </c>
      <c r="AG118" s="21"/>
    </row>
    <row r="119" spans="2:33" x14ac:dyDescent="0.3">
      <c r="B119" s="22"/>
      <c r="D119" s="64">
        <v>98</v>
      </c>
      <c r="E119" s="100">
        <f t="shared" si="33"/>
        <v>0</v>
      </c>
      <c r="H119" s="68" t="e">
        <f t="shared" si="18"/>
        <v>#DIV/0!</v>
      </c>
      <c r="I119" s="68" t="e">
        <f t="shared" si="19"/>
        <v>#DIV/0!</v>
      </c>
      <c r="J119" s="68" t="e">
        <f t="shared" si="20"/>
        <v>#DIV/0!</v>
      </c>
      <c r="K119" s="68" t="e">
        <f t="shared" si="21"/>
        <v>#DIV/0!</v>
      </c>
      <c r="L119" s="68" t="e">
        <f t="shared" si="22"/>
        <v>#DIV/0!</v>
      </c>
      <c r="N119" s="64">
        <v>98</v>
      </c>
      <c r="O119" s="72">
        <f t="shared" si="34"/>
        <v>0</v>
      </c>
      <c r="R119" s="68" t="e">
        <f t="shared" si="23"/>
        <v>#DIV/0!</v>
      </c>
      <c r="S119" s="68" t="e">
        <f t="shared" si="24"/>
        <v>#DIV/0!</v>
      </c>
      <c r="T119" s="68" t="e">
        <f t="shared" si="25"/>
        <v>#DIV/0!</v>
      </c>
      <c r="U119" s="68" t="e">
        <f t="shared" si="26"/>
        <v>#DIV/0!</v>
      </c>
      <c r="V119" s="68" t="e">
        <f t="shared" si="27"/>
        <v>#DIV/0!</v>
      </c>
      <c r="X119" s="64">
        <v>98</v>
      </c>
      <c r="Y119" s="72">
        <f t="shared" si="35"/>
        <v>0</v>
      </c>
      <c r="AB119" s="68">
        <f t="shared" si="28"/>
        <v>0.97827945193393751</v>
      </c>
      <c r="AC119" s="68">
        <f t="shared" si="29"/>
        <v>0.81057429398924641</v>
      </c>
      <c r="AD119" s="68">
        <f t="shared" si="30"/>
        <v>0.16396806491792684</v>
      </c>
      <c r="AE119" s="68">
        <f t="shared" si="31"/>
        <v>0.20880509202963629</v>
      </c>
      <c r="AF119" s="68">
        <f t="shared" si="32"/>
        <v>15.752143310149364</v>
      </c>
      <c r="AG119" s="21"/>
    </row>
    <row r="120" spans="2:33" x14ac:dyDescent="0.3">
      <c r="B120" s="22"/>
      <c r="D120" s="64">
        <v>99</v>
      </c>
      <c r="E120" s="100">
        <f t="shared" si="33"/>
        <v>0</v>
      </c>
      <c r="H120" s="68" t="e">
        <f t="shared" si="18"/>
        <v>#DIV/0!</v>
      </c>
      <c r="I120" s="68" t="e">
        <f t="shared" si="19"/>
        <v>#DIV/0!</v>
      </c>
      <c r="J120" s="68" t="e">
        <f t="shared" si="20"/>
        <v>#DIV/0!</v>
      </c>
      <c r="K120" s="68" t="e">
        <f t="shared" si="21"/>
        <v>#DIV/0!</v>
      </c>
      <c r="L120" s="68" t="e">
        <f t="shared" si="22"/>
        <v>#DIV/0!</v>
      </c>
      <c r="N120" s="64">
        <v>99</v>
      </c>
      <c r="O120" s="72">
        <f t="shared" si="34"/>
        <v>0</v>
      </c>
      <c r="R120" s="68" t="e">
        <f t="shared" si="23"/>
        <v>#DIV/0!</v>
      </c>
      <c r="S120" s="68" t="e">
        <f t="shared" si="24"/>
        <v>#DIV/0!</v>
      </c>
      <c r="T120" s="68" t="e">
        <f t="shared" si="25"/>
        <v>#DIV/0!</v>
      </c>
      <c r="U120" s="68" t="e">
        <f t="shared" si="26"/>
        <v>#DIV/0!</v>
      </c>
      <c r="V120" s="68" t="e">
        <f t="shared" si="27"/>
        <v>#DIV/0!</v>
      </c>
      <c r="X120" s="64">
        <v>99</v>
      </c>
      <c r="Y120" s="72">
        <f t="shared" si="35"/>
        <v>0</v>
      </c>
      <c r="AB120" s="68">
        <f t="shared" si="28"/>
        <v>0.97827945193393751</v>
      </c>
      <c r="AC120" s="68">
        <f t="shared" si="29"/>
        <v>0.81057429398924641</v>
      </c>
      <c r="AD120" s="68">
        <f t="shared" si="30"/>
        <v>0.16396806491792684</v>
      </c>
      <c r="AE120" s="68">
        <f t="shared" si="31"/>
        <v>0.20880509202963629</v>
      </c>
      <c r="AF120" s="68">
        <f t="shared" si="32"/>
        <v>15.752143310149364</v>
      </c>
      <c r="AG120" s="21"/>
    </row>
    <row r="121" spans="2:33" x14ac:dyDescent="0.3">
      <c r="B121" s="22"/>
      <c r="D121" s="64">
        <v>100</v>
      </c>
      <c r="E121" s="100">
        <f t="shared" si="33"/>
        <v>0</v>
      </c>
      <c r="H121" s="68" t="e">
        <f t="shared" si="18"/>
        <v>#DIV/0!</v>
      </c>
      <c r="I121" s="68" t="e">
        <f t="shared" si="19"/>
        <v>#DIV/0!</v>
      </c>
      <c r="J121" s="68" t="e">
        <f t="shared" si="20"/>
        <v>#DIV/0!</v>
      </c>
      <c r="K121" s="68" t="e">
        <f t="shared" si="21"/>
        <v>#DIV/0!</v>
      </c>
      <c r="L121" s="68" t="e">
        <f t="shared" si="22"/>
        <v>#DIV/0!</v>
      </c>
      <c r="N121" s="64">
        <v>100</v>
      </c>
      <c r="O121" s="72">
        <f t="shared" si="34"/>
        <v>0</v>
      </c>
      <c r="R121" s="68" t="e">
        <f t="shared" si="23"/>
        <v>#DIV/0!</v>
      </c>
      <c r="S121" s="68" t="e">
        <f t="shared" si="24"/>
        <v>#DIV/0!</v>
      </c>
      <c r="T121" s="68" t="e">
        <f t="shared" si="25"/>
        <v>#DIV/0!</v>
      </c>
      <c r="U121" s="68" t="e">
        <f t="shared" si="26"/>
        <v>#DIV/0!</v>
      </c>
      <c r="V121" s="68" t="e">
        <f t="shared" si="27"/>
        <v>#DIV/0!</v>
      </c>
      <c r="X121" s="64">
        <v>100</v>
      </c>
      <c r="Y121" s="72">
        <f t="shared" si="35"/>
        <v>0</v>
      </c>
      <c r="AB121" s="68">
        <f t="shared" si="28"/>
        <v>0.97827945193393751</v>
      </c>
      <c r="AC121" s="68">
        <f t="shared" si="29"/>
        <v>0.81057429398924641</v>
      </c>
      <c r="AD121" s="68">
        <f t="shared" si="30"/>
        <v>0.16396806491792684</v>
      </c>
      <c r="AE121" s="68">
        <f t="shared" si="31"/>
        <v>0.20880509202963629</v>
      </c>
      <c r="AF121" s="68">
        <f t="shared" si="32"/>
        <v>15.752143310149364</v>
      </c>
      <c r="AG121" s="21"/>
    </row>
    <row r="122" spans="2:33" x14ac:dyDescent="0.3">
      <c r="B122" s="22"/>
      <c r="D122" s="64">
        <v>101</v>
      </c>
      <c r="E122" s="100">
        <f t="shared" si="33"/>
        <v>0</v>
      </c>
      <c r="H122" s="68" t="e">
        <f t="shared" si="18"/>
        <v>#DIV/0!</v>
      </c>
      <c r="I122" s="68" t="e">
        <f t="shared" si="19"/>
        <v>#DIV/0!</v>
      </c>
      <c r="J122" s="68" t="e">
        <f t="shared" si="20"/>
        <v>#DIV/0!</v>
      </c>
      <c r="K122" s="68" t="e">
        <f t="shared" si="21"/>
        <v>#DIV/0!</v>
      </c>
      <c r="L122" s="68" t="e">
        <f t="shared" si="22"/>
        <v>#DIV/0!</v>
      </c>
      <c r="N122" s="64">
        <v>101</v>
      </c>
      <c r="O122" s="72">
        <f t="shared" si="34"/>
        <v>0</v>
      </c>
      <c r="R122" s="68" t="e">
        <f t="shared" si="23"/>
        <v>#DIV/0!</v>
      </c>
      <c r="S122" s="68" t="e">
        <f t="shared" si="24"/>
        <v>#DIV/0!</v>
      </c>
      <c r="T122" s="68" t="e">
        <f t="shared" si="25"/>
        <v>#DIV/0!</v>
      </c>
      <c r="U122" s="68" t="e">
        <f t="shared" si="26"/>
        <v>#DIV/0!</v>
      </c>
      <c r="V122" s="68" t="e">
        <f t="shared" si="27"/>
        <v>#DIV/0!</v>
      </c>
      <c r="X122" s="64">
        <v>101</v>
      </c>
      <c r="Y122" s="72">
        <f t="shared" si="35"/>
        <v>0</v>
      </c>
      <c r="AB122" s="68">
        <f t="shared" si="28"/>
        <v>0.97827945193393751</v>
      </c>
      <c r="AC122" s="68">
        <f t="shared" si="29"/>
        <v>0.81057429398924641</v>
      </c>
      <c r="AD122" s="68">
        <f t="shared" si="30"/>
        <v>0.16396806491792684</v>
      </c>
      <c r="AE122" s="68">
        <f t="shared" si="31"/>
        <v>0.20880509202963629</v>
      </c>
      <c r="AF122" s="68">
        <f t="shared" si="32"/>
        <v>15.752143310149364</v>
      </c>
      <c r="AG122" s="21"/>
    </row>
    <row r="123" spans="2:33" x14ac:dyDescent="0.3">
      <c r="B123" s="22"/>
      <c r="D123" s="64">
        <v>102</v>
      </c>
      <c r="E123" s="100">
        <f t="shared" si="33"/>
        <v>0</v>
      </c>
      <c r="H123" s="68" t="e">
        <f t="shared" si="18"/>
        <v>#DIV/0!</v>
      </c>
      <c r="I123" s="68" t="e">
        <f t="shared" si="19"/>
        <v>#DIV/0!</v>
      </c>
      <c r="J123" s="68" t="e">
        <f t="shared" si="20"/>
        <v>#DIV/0!</v>
      </c>
      <c r="K123" s="68" t="e">
        <f t="shared" si="21"/>
        <v>#DIV/0!</v>
      </c>
      <c r="L123" s="68" t="e">
        <f t="shared" si="22"/>
        <v>#DIV/0!</v>
      </c>
      <c r="N123" s="64">
        <v>102</v>
      </c>
      <c r="O123" s="72">
        <f t="shared" si="34"/>
        <v>0</v>
      </c>
      <c r="R123" s="68" t="e">
        <f t="shared" si="23"/>
        <v>#DIV/0!</v>
      </c>
      <c r="S123" s="68" t="e">
        <f t="shared" si="24"/>
        <v>#DIV/0!</v>
      </c>
      <c r="T123" s="68" t="e">
        <f t="shared" si="25"/>
        <v>#DIV/0!</v>
      </c>
      <c r="U123" s="68" t="e">
        <f t="shared" si="26"/>
        <v>#DIV/0!</v>
      </c>
      <c r="V123" s="68" t="e">
        <f t="shared" si="27"/>
        <v>#DIV/0!</v>
      </c>
      <c r="X123" s="64">
        <v>102</v>
      </c>
      <c r="Y123" s="72">
        <f t="shared" si="35"/>
        <v>0</v>
      </c>
      <c r="AB123" s="68">
        <f t="shared" si="28"/>
        <v>0.97827945193393751</v>
      </c>
      <c r="AC123" s="68">
        <f t="shared" si="29"/>
        <v>0.81057429398924641</v>
      </c>
      <c r="AD123" s="68">
        <f t="shared" si="30"/>
        <v>0.16396806491792684</v>
      </c>
      <c r="AE123" s="68">
        <f t="shared" si="31"/>
        <v>0.20880509202963629</v>
      </c>
      <c r="AF123" s="68">
        <f t="shared" si="32"/>
        <v>15.752143310149364</v>
      </c>
      <c r="AG123" s="21"/>
    </row>
    <row r="124" spans="2:33" x14ac:dyDescent="0.3">
      <c r="B124" s="22"/>
      <c r="D124" s="64">
        <v>103</v>
      </c>
      <c r="E124" s="100">
        <f t="shared" si="33"/>
        <v>0</v>
      </c>
      <c r="H124" s="68" t="e">
        <f t="shared" si="18"/>
        <v>#DIV/0!</v>
      </c>
      <c r="I124" s="68" t="e">
        <f t="shared" si="19"/>
        <v>#DIV/0!</v>
      </c>
      <c r="J124" s="68" t="e">
        <f t="shared" si="20"/>
        <v>#DIV/0!</v>
      </c>
      <c r="K124" s="68" t="e">
        <f t="shared" si="21"/>
        <v>#DIV/0!</v>
      </c>
      <c r="L124" s="68" t="e">
        <f t="shared" si="22"/>
        <v>#DIV/0!</v>
      </c>
      <c r="N124" s="64">
        <v>103</v>
      </c>
      <c r="O124" s="72">
        <f t="shared" si="34"/>
        <v>0</v>
      </c>
      <c r="R124" s="68" t="e">
        <f t="shared" si="23"/>
        <v>#DIV/0!</v>
      </c>
      <c r="S124" s="68" t="e">
        <f t="shared" si="24"/>
        <v>#DIV/0!</v>
      </c>
      <c r="T124" s="68" t="e">
        <f t="shared" si="25"/>
        <v>#DIV/0!</v>
      </c>
      <c r="U124" s="68" t="e">
        <f t="shared" si="26"/>
        <v>#DIV/0!</v>
      </c>
      <c r="V124" s="68" t="e">
        <f t="shared" si="27"/>
        <v>#DIV/0!</v>
      </c>
      <c r="X124" s="64">
        <v>103</v>
      </c>
      <c r="Y124" s="72">
        <f t="shared" si="35"/>
        <v>0</v>
      </c>
      <c r="AB124" s="68">
        <f t="shared" si="28"/>
        <v>0.97827945193393751</v>
      </c>
      <c r="AC124" s="68">
        <f t="shared" si="29"/>
        <v>0.81057429398924641</v>
      </c>
      <c r="AD124" s="68">
        <f t="shared" si="30"/>
        <v>0.16396806491792684</v>
      </c>
      <c r="AE124" s="68">
        <f t="shared" si="31"/>
        <v>0.20880509202963629</v>
      </c>
      <c r="AF124" s="68">
        <f t="shared" si="32"/>
        <v>15.752143310149364</v>
      </c>
      <c r="AG124" s="21"/>
    </row>
    <row r="125" spans="2:33" x14ac:dyDescent="0.3">
      <c r="B125" s="22"/>
      <c r="D125" s="64">
        <v>104</v>
      </c>
      <c r="E125" s="100">
        <f t="shared" si="33"/>
        <v>0</v>
      </c>
      <c r="H125" s="68" t="e">
        <f t="shared" si="18"/>
        <v>#DIV/0!</v>
      </c>
      <c r="I125" s="68" t="e">
        <f t="shared" si="19"/>
        <v>#DIV/0!</v>
      </c>
      <c r="J125" s="68" t="e">
        <f t="shared" si="20"/>
        <v>#DIV/0!</v>
      </c>
      <c r="K125" s="68" t="e">
        <f t="shared" si="21"/>
        <v>#DIV/0!</v>
      </c>
      <c r="L125" s="68" t="e">
        <f t="shared" si="22"/>
        <v>#DIV/0!</v>
      </c>
      <c r="N125" s="64">
        <v>104</v>
      </c>
      <c r="O125" s="72">
        <f t="shared" si="34"/>
        <v>0</v>
      </c>
      <c r="R125" s="68" t="e">
        <f t="shared" si="23"/>
        <v>#DIV/0!</v>
      </c>
      <c r="S125" s="68" t="e">
        <f t="shared" si="24"/>
        <v>#DIV/0!</v>
      </c>
      <c r="T125" s="68" t="e">
        <f t="shared" si="25"/>
        <v>#DIV/0!</v>
      </c>
      <c r="U125" s="68" t="e">
        <f t="shared" si="26"/>
        <v>#DIV/0!</v>
      </c>
      <c r="V125" s="68" t="e">
        <f t="shared" si="27"/>
        <v>#DIV/0!</v>
      </c>
      <c r="X125" s="64">
        <v>104</v>
      </c>
      <c r="Y125" s="72">
        <f t="shared" si="35"/>
        <v>0</v>
      </c>
      <c r="AB125" s="68">
        <f t="shared" si="28"/>
        <v>0.97827945193393751</v>
      </c>
      <c r="AC125" s="68">
        <f t="shared" si="29"/>
        <v>0.81057429398924641</v>
      </c>
      <c r="AD125" s="68">
        <f t="shared" si="30"/>
        <v>0.16396806491792684</v>
      </c>
      <c r="AE125" s="68">
        <f t="shared" si="31"/>
        <v>0.20880509202963629</v>
      </c>
      <c r="AF125" s="68">
        <f t="shared" si="32"/>
        <v>15.752143310149364</v>
      </c>
      <c r="AG125" s="21"/>
    </row>
    <row r="126" spans="2:33" x14ac:dyDescent="0.3">
      <c r="B126" s="22"/>
      <c r="D126" s="64">
        <v>105</v>
      </c>
      <c r="E126" s="100">
        <f t="shared" si="33"/>
        <v>0</v>
      </c>
      <c r="H126" s="68" t="e">
        <f t="shared" si="18"/>
        <v>#DIV/0!</v>
      </c>
      <c r="I126" s="68" t="e">
        <f t="shared" si="19"/>
        <v>#DIV/0!</v>
      </c>
      <c r="J126" s="68" t="e">
        <f t="shared" si="20"/>
        <v>#DIV/0!</v>
      </c>
      <c r="K126" s="68" t="e">
        <f t="shared" si="21"/>
        <v>#DIV/0!</v>
      </c>
      <c r="L126" s="68" t="e">
        <f t="shared" si="22"/>
        <v>#DIV/0!</v>
      </c>
      <c r="N126" s="64">
        <v>105</v>
      </c>
      <c r="O126" s="72">
        <f t="shared" si="34"/>
        <v>0</v>
      </c>
      <c r="R126" s="68" t="e">
        <f t="shared" si="23"/>
        <v>#DIV/0!</v>
      </c>
      <c r="S126" s="68" t="e">
        <f t="shared" si="24"/>
        <v>#DIV/0!</v>
      </c>
      <c r="T126" s="68" t="e">
        <f t="shared" si="25"/>
        <v>#DIV/0!</v>
      </c>
      <c r="U126" s="68" t="e">
        <f t="shared" si="26"/>
        <v>#DIV/0!</v>
      </c>
      <c r="V126" s="68" t="e">
        <f t="shared" si="27"/>
        <v>#DIV/0!</v>
      </c>
      <c r="X126" s="64">
        <v>105</v>
      </c>
      <c r="Y126" s="72">
        <f t="shared" si="35"/>
        <v>0</v>
      </c>
      <c r="AB126" s="68">
        <f t="shared" si="28"/>
        <v>0.97827945193393751</v>
      </c>
      <c r="AC126" s="68">
        <f t="shared" si="29"/>
        <v>0.81057429398924641</v>
      </c>
      <c r="AD126" s="68">
        <f t="shared" si="30"/>
        <v>0.16396806491792684</v>
      </c>
      <c r="AE126" s="68">
        <f t="shared" si="31"/>
        <v>0.20880509202963629</v>
      </c>
      <c r="AF126" s="68">
        <f t="shared" si="32"/>
        <v>15.752143310149364</v>
      </c>
      <c r="AG126" s="21"/>
    </row>
    <row r="127" spans="2:33" x14ac:dyDescent="0.3">
      <c r="B127" s="22"/>
      <c r="D127" s="64">
        <v>106</v>
      </c>
      <c r="E127" s="100">
        <f t="shared" si="33"/>
        <v>0</v>
      </c>
      <c r="H127" s="68" t="e">
        <f t="shared" si="18"/>
        <v>#DIV/0!</v>
      </c>
      <c r="I127" s="68" t="e">
        <f t="shared" si="19"/>
        <v>#DIV/0!</v>
      </c>
      <c r="J127" s="68" t="e">
        <f t="shared" si="20"/>
        <v>#DIV/0!</v>
      </c>
      <c r="K127" s="68" t="e">
        <f t="shared" si="21"/>
        <v>#DIV/0!</v>
      </c>
      <c r="L127" s="68" t="e">
        <f t="shared" si="22"/>
        <v>#DIV/0!</v>
      </c>
      <c r="N127" s="64">
        <v>106</v>
      </c>
      <c r="O127" s="72">
        <f t="shared" si="34"/>
        <v>0</v>
      </c>
      <c r="R127" s="68" t="e">
        <f t="shared" si="23"/>
        <v>#DIV/0!</v>
      </c>
      <c r="S127" s="68" t="e">
        <f t="shared" si="24"/>
        <v>#DIV/0!</v>
      </c>
      <c r="T127" s="68" t="e">
        <f t="shared" si="25"/>
        <v>#DIV/0!</v>
      </c>
      <c r="U127" s="68" t="e">
        <f t="shared" si="26"/>
        <v>#DIV/0!</v>
      </c>
      <c r="V127" s="68" t="e">
        <f t="shared" si="27"/>
        <v>#DIV/0!</v>
      </c>
      <c r="X127" s="64">
        <v>106</v>
      </c>
      <c r="Y127" s="72">
        <f t="shared" si="35"/>
        <v>0</v>
      </c>
      <c r="AB127" s="68">
        <f t="shared" si="28"/>
        <v>0.97827945193393751</v>
      </c>
      <c r="AC127" s="68">
        <f t="shared" si="29"/>
        <v>0.81057429398924641</v>
      </c>
      <c r="AD127" s="68">
        <f t="shared" si="30"/>
        <v>0.16396806491792684</v>
      </c>
      <c r="AE127" s="68">
        <f t="shared" si="31"/>
        <v>0.20880509202963629</v>
      </c>
      <c r="AF127" s="68">
        <f t="shared" si="32"/>
        <v>15.752143310149364</v>
      </c>
      <c r="AG127" s="21"/>
    </row>
    <row r="128" spans="2:33" x14ac:dyDescent="0.3">
      <c r="B128" s="22"/>
      <c r="D128" s="64">
        <v>107</v>
      </c>
      <c r="E128" s="100">
        <f t="shared" si="33"/>
        <v>0</v>
      </c>
      <c r="H128" s="68" t="e">
        <f t="shared" si="18"/>
        <v>#DIV/0!</v>
      </c>
      <c r="I128" s="68" t="e">
        <f t="shared" si="19"/>
        <v>#DIV/0!</v>
      </c>
      <c r="J128" s="68" t="e">
        <f t="shared" si="20"/>
        <v>#DIV/0!</v>
      </c>
      <c r="K128" s="68" t="e">
        <f t="shared" si="21"/>
        <v>#DIV/0!</v>
      </c>
      <c r="L128" s="68" t="e">
        <f t="shared" si="22"/>
        <v>#DIV/0!</v>
      </c>
      <c r="N128" s="64">
        <v>107</v>
      </c>
      <c r="O128" s="72">
        <f t="shared" si="34"/>
        <v>0</v>
      </c>
      <c r="R128" s="68" t="e">
        <f t="shared" si="23"/>
        <v>#DIV/0!</v>
      </c>
      <c r="S128" s="68" t="e">
        <f t="shared" si="24"/>
        <v>#DIV/0!</v>
      </c>
      <c r="T128" s="68" t="e">
        <f t="shared" si="25"/>
        <v>#DIV/0!</v>
      </c>
      <c r="U128" s="68" t="e">
        <f t="shared" si="26"/>
        <v>#DIV/0!</v>
      </c>
      <c r="V128" s="68" t="e">
        <f t="shared" si="27"/>
        <v>#DIV/0!</v>
      </c>
      <c r="X128" s="64">
        <v>107</v>
      </c>
      <c r="Y128" s="72">
        <f t="shared" si="35"/>
        <v>0</v>
      </c>
      <c r="AB128" s="68">
        <f t="shared" si="28"/>
        <v>0.97827945193393751</v>
      </c>
      <c r="AC128" s="68">
        <f t="shared" si="29"/>
        <v>0.81057429398924641</v>
      </c>
      <c r="AD128" s="68">
        <f t="shared" si="30"/>
        <v>0.16396806491792684</v>
      </c>
      <c r="AE128" s="68">
        <f t="shared" si="31"/>
        <v>0.20880509202963629</v>
      </c>
      <c r="AF128" s="68">
        <f t="shared" si="32"/>
        <v>15.752143310149364</v>
      </c>
      <c r="AG128" s="21"/>
    </row>
    <row r="129" spans="2:33" x14ac:dyDescent="0.3">
      <c r="B129" s="22"/>
      <c r="D129" s="64">
        <v>108</v>
      </c>
      <c r="E129" s="100">
        <f t="shared" si="33"/>
        <v>0</v>
      </c>
      <c r="H129" s="68" t="e">
        <f t="shared" si="18"/>
        <v>#DIV/0!</v>
      </c>
      <c r="I129" s="68" t="e">
        <f t="shared" si="19"/>
        <v>#DIV/0!</v>
      </c>
      <c r="J129" s="68" t="e">
        <f t="shared" si="20"/>
        <v>#DIV/0!</v>
      </c>
      <c r="K129" s="68" t="e">
        <f t="shared" si="21"/>
        <v>#DIV/0!</v>
      </c>
      <c r="L129" s="68" t="e">
        <f t="shared" si="22"/>
        <v>#DIV/0!</v>
      </c>
      <c r="N129" s="64">
        <v>108</v>
      </c>
      <c r="O129" s="72">
        <f t="shared" si="34"/>
        <v>0</v>
      </c>
      <c r="R129" s="68" t="e">
        <f t="shared" si="23"/>
        <v>#DIV/0!</v>
      </c>
      <c r="S129" s="68" t="e">
        <f t="shared" si="24"/>
        <v>#DIV/0!</v>
      </c>
      <c r="T129" s="68" t="e">
        <f t="shared" si="25"/>
        <v>#DIV/0!</v>
      </c>
      <c r="U129" s="68" t="e">
        <f t="shared" si="26"/>
        <v>#DIV/0!</v>
      </c>
      <c r="V129" s="68" t="e">
        <f t="shared" si="27"/>
        <v>#DIV/0!</v>
      </c>
      <c r="X129" s="64">
        <v>108</v>
      </c>
      <c r="Y129" s="72">
        <f t="shared" si="35"/>
        <v>0</v>
      </c>
      <c r="AB129" s="68">
        <f t="shared" si="28"/>
        <v>0.97827945193393751</v>
      </c>
      <c r="AC129" s="68">
        <f t="shared" si="29"/>
        <v>0.81057429398924641</v>
      </c>
      <c r="AD129" s="68">
        <f t="shared" si="30"/>
        <v>0.16396806491792684</v>
      </c>
      <c r="AE129" s="68">
        <f t="shared" si="31"/>
        <v>0.20880509202963629</v>
      </c>
      <c r="AF129" s="68">
        <f t="shared" si="32"/>
        <v>15.752143310149364</v>
      </c>
      <c r="AG129" s="21"/>
    </row>
    <row r="130" spans="2:33" x14ac:dyDescent="0.3">
      <c r="B130" s="22"/>
      <c r="D130" s="64">
        <v>109</v>
      </c>
      <c r="E130" s="100">
        <f t="shared" si="33"/>
        <v>0</v>
      </c>
      <c r="H130" s="68" t="e">
        <f t="shared" si="18"/>
        <v>#DIV/0!</v>
      </c>
      <c r="I130" s="68" t="e">
        <f t="shared" si="19"/>
        <v>#DIV/0!</v>
      </c>
      <c r="J130" s="68" t="e">
        <f t="shared" si="20"/>
        <v>#DIV/0!</v>
      </c>
      <c r="K130" s="68" t="e">
        <f t="shared" si="21"/>
        <v>#DIV/0!</v>
      </c>
      <c r="L130" s="68" t="e">
        <f t="shared" si="22"/>
        <v>#DIV/0!</v>
      </c>
      <c r="N130" s="64">
        <v>109</v>
      </c>
      <c r="O130" s="72">
        <f t="shared" si="34"/>
        <v>0</v>
      </c>
      <c r="R130" s="68" t="e">
        <f t="shared" si="23"/>
        <v>#DIV/0!</v>
      </c>
      <c r="S130" s="68" t="e">
        <f t="shared" si="24"/>
        <v>#DIV/0!</v>
      </c>
      <c r="T130" s="68" t="e">
        <f t="shared" si="25"/>
        <v>#DIV/0!</v>
      </c>
      <c r="U130" s="68" t="e">
        <f t="shared" si="26"/>
        <v>#DIV/0!</v>
      </c>
      <c r="V130" s="68" t="e">
        <f t="shared" si="27"/>
        <v>#DIV/0!</v>
      </c>
      <c r="X130" s="64">
        <v>109</v>
      </c>
      <c r="Y130" s="72">
        <f t="shared" si="35"/>
        <v>0</v>
      </c>
      <c r="AB130" s="68">
        <f t="shared" si="28"/>
        <v>0.97827945193393751</v>
      </c>
      <c r="AC130" s="68">
        <f t="shared" si="29"/>
        <v>0.81057429398924641</v>
      </c>
      <c r="AD130" s="68">
        <f t="shared" si="30"/>
        <v>0.16396806491792684</v>
      </c>
      <c r="AE130" s="68">
        <f t="shared" si="31"/>
        <v>0.20880509202963629</v>
      </c>
      <c r="AF130" s="68">
        <f t="shared" si="32"/>
        <v>15.752143310149364</v>
      </c>
      <c r="AG130" s="21"/>
    </row>
    <row r="131" spans="2:33" x14ac:dyDescent="0.3">
      <c r="B131" s="22"/>
      <c r="D131" s="64">
        <v>110</v>
      </c>
      <c r="E131" s="100">
        <f t="shared" si="33"/>
        <v>0</v>
      </c>
      <c r="H131" s="68" t="e">
        <f t="shared" si="18"/>
        <v>#DIV/0!</v>
      </c>
      <c r="I131" s="68" t="e">
        <f t="shared" si="19"/>
        <v>#DIV/0!</v>
      </c>
      <c r="J131" s="68" t="e">
        <f t="shared" si="20"/>
        <v>#DIV/0!</v>
      </c>
      <c r="K131" s="68" t="e">
        <f t="shared" si="21"/>
        <v>#DIV/0!</v>
      </c>
      <c r="L131" s="68" t="e">
        <f t="shared" si="22"/>
        <v>#DIV/0!</v>
      </c>
      <c r="N131" s="64">
        <v>110</v>
      </c>
      <c r="O131" s="72">
        <f t="shared" si="34"/>
        <v>0</v>
      </c>
      <c r="R131" s="68" t="e">
        <f t="shared" si="23"/>
        <v>#DIV/0!</v>
      </c>
      <c r="S131" s="68" t="e">
        <f t="shared" si="24"/>
        <v>#DIV/0!</v>
      </c>
      <c r="T131" s="68" t="e">
        <f t="shared" si="25"/>
        <v>#DIV/0!</v>
      </c>
      <c r="U131" s="68" t="e">
        <f t="shared" si="26"/>
        <v>#DIV/0!</v>
      </c>
      <c r="V131" s="68" t="e">
        <f t="shared" si="27"/>
        <v>#DIV/0!</v>
      </c>
      <c r="X131" s="64">
        <v>110</v>
      </c>
      <c r="Y131" s="72">
        <f t="shared" si="35"/>
        <v>0</v>
      </c>
      <c r="AB131" s="68">
        <f t="shared" si="28"/>
        <v>0.97827945193393751</v>
      </c>
      <c r="AC131" s="68">
        <f t="shared" si="29"/>
        <v>0.81057429398924641</v>
      </c>
      <c r="AD131" s="68">
        <f t="shared" si="30"/>
        <v>0.16396806491792684</v>
      </c>
      <c r="AE131" s="68">
        <f t="shared" si="31"/>
        <v>0.20880509202963629</v>
      </c>
      <c r="AF131" s="68">
        <f t="shared" si="32"/>
        <v>15.752143310149364</v>
      </c>
      <c r="AG131" s="21"/>
    </row>
    <row r="132" spans="2:33" x14ac:dyDescent="0.3">
      <c r="B132" s="22"/>
      <c r="D132" s="64">
        <v>111</v>
      </c>
      <c r="E132" s="100">
        <f t="shared" si="33"/>
        <v>0</v>
      </c>
      <c r="H132" s="68" t="e">
        <f t="shared" si="18"/>
        <v>#DIV/0!</v>
      </c>
      <c r="I132" s="68" t="e">
        <f t="shared" si="19"/>
        <v>#DIV/0!</v>
      </c>
      <c r="J132" s="68" t="e">
        <f t="shared" si="20"/>
        <v>#DIV/0!</v>
      </c>
      <c r="K132" s="68" t="e">
        <f t="shared" si="21"/>
        <v>#DIV/0!</v>
      </c>
      <c r="L132" s="68" t="e">
        <f t="shared" si="22"/>
        <v>#DIV/0!</v>
      </c>
      <c r="N132" s="64">
        <v>111</v>
      </c>
      <c r="O132" s="72">
        <f t="shared" si="34"/>
        <v>0</v>
      </c>
      <c r="R132" s="68" t="e">
        <f t="shared" si="23"/>
        <v>#DIV/0!</v>
      </c>
      <c r="S132" s="68" t="e">
        <f t="shared" si="24"/>
        <v>#DIV/0!</v>
      </c>
      <c r="T132" s="68" t="e">
        <f t="shared" si="25"/>
        <v>#DIV/0!</v>
      </c>
      <c r="U132" s="68" t="e">
        <f t="shared" si="26"/>
        <v>#DIV/0!</v>
      </c>
      <c r="V132" s="68" t="e">
        <f t="shared" si="27"/>
        <v>#DIV/0!</v>
      </c>
      <c r="X132" s="64">
        <v>111</v>
      </c>
      <c r="Y132" s="72">
        <f t="shared" si="35"/>
        <v>0</v>
      </c>
      <c r="AB132" s="68">
        <f t="shared" si="28"/>
        <v>0.97827945193393751</v>
      </c>
      <c r="AC132" s="68">
        <f t="shared" si="29"/>
        <v>0.81057429398924641</v>
      </c>
      <c r="AD132" s="68">
        <f t="shared" si="30"/>
        <v>0.16396806491792684</v>
      </c>
      <c r="AE132" s="68">
        <f t="shared" si="31"/>
        <v>0.20880509202963629</v>
      </c>
      <c r="AF132" s="68">
        <f t="shared" si="32"/>
        <v>15.752143310149364</v>
      </c>
      <c r="AG132" s="21"/>
    </row>
    <row r="133" spans="2:33" x14ac:dyDescent="0.3">
      <c r="B133" s="22"/>
      <c r="D133" s="64">
        <v>112</v>
      </c>
      <c r="E133" s="100">
        <f t="shared" si="33"/>
        <v>0</v>
      </c>
      <c r="H133" s="68" t="e">
        <f t="shared" si="18"/>
        <v>#DIV/0!</v>
      </c>
      <c r="I133" s="68" t="e">
        <f t="shared" si="19"/>
        <v>#DIV/0!</v>
      </c>
      <c r="J133" s="68" t="e">
        <f t="shared" si="20"/>
        <v>#DIV/0!</v>
      </c>
      <c r="K133" s="68" t="e">
        <f t="shared" si="21"/>
        <v>#DIV/0!</v>
      </c>
      <c r="L133" s="68" t="e">
        <f t="shared" si="22"/>
        <v>#DIV/0!</v>
      </c>
      <c r="N133" s="64">
        <v>112</v>
      </c>
      <c r="O133" s="72">
        <f t="shared" si="34"/>
        <v>0</v>
      </c>
      <c r="R133" s="68" t="e">
        <f t="shared" si="23"/>
        <v>#DIV/0!</v>
      </c>
      <c r="S133" s="68" t="e">
        <f t="shared" si="24"/>
        <v>#DIV/0!</v>
      </c>
      <c r="T133" s="68" t="e">
        <f t="shared" si="25"/>
        <v>#DIV/0!</v>
      </c>
      <c r="U133" s="68" t="e">
        <f t="shared" si="26"/>
        <v>#DIV/0!</v>
      </c>
      <c r="V133" s="68" t="e">
        <f t="shared" si="27"/>
        <v>#DIV/0!</v>
      </c>
      <c r="X133" s="64">
        <v>112</v>
      </c>
      <c r="Y133" s="72">
        <f t="shared" si="35"/>
        <v>0</v>
      </c>
      <c r="AB133" s="68">
        <f t="shared" si="28"/>
        <v>0.97827945193393751</v>
      </c>
      <c r="AC133" s="68">
        <f t="shared" si="29"/>
        <v>0.81057429398924641</v>
      </c>
      <c r="AD133" s="68">
        <f t="shared" si="30"/>
        <v>0.16396806491792684</v>
      </c>
      <c r="AE133" s="68">
        <f t="shared" si="31"/>
        <v>0.20880509202963629</v>
      </c>
      <c r="AF133" s="68">
        <f t="shared" si="32"/>
        <v>15.752143310149364</v>
      </c>
      <c r="AG133" s="21"/>
    </row>
    <row r="134" spans="2:33" x14ac:dyDescent="0.3">
      <c r="B134" s="22"/>
      <c r="D134" s="64">
        <v>113</v>
      </c>
      <c r="E134" s="100">
        <f t="shared" si="33"/>
        <v>0</v>
      </c>
      <c r="H134" s="68" t="e">
        <f t="shared" si="18"/>
        <v>#DIV/0!</v>
      </c>
      <c r="I134" s="68" t="e">
        <f t="shared" si="19"/>
        <v>#DIV/0!</v>
      </c>
      <c r="J134" s="68" t="e">
        <f t="shared" si="20"/>
        <v>#DIV/0!</v>
      </c>
      <c r="K134" s="68" t="e">
        <f t="shared" si="21"/>
        <v>#DIV/0!</v>
      </c>
      <c r="L134" s="68" t="e">
        <f t="shared" si="22"/>
        <v>#DIV/0!</v>
      </c>
      <c r="N134" s="64">
        <v>113</v>
      </c>
      <c r="O134" s="72">
        <f t="shared" si="34"/>
        <v>0</v>
      </c>
      <c r="R134" s="68" t="e">
        <f t="shared" si="23"/>
        <v>#DIV/0!</v>
      </c>
      <c r="S134" s="68" t="e">
        <f t="shared" si="24"/>
        <v>#DIV/0!</v>
      </c>
      <c r="T134" s="68" t="e">
        <f t="shared" si="25"/>
        <v>#DIV/0!</v>
      </c>
      <c r="U134" s="68" t="e">
        <f t="shared" si="26"/>
        <v>#DIV/0!</v>
      </c>
      <c r="V134" s="68" t="e">
        <f t="shared" si="27"/>
        <v>#DIV/0!</v>
      </c>
      <c r="X134" s="64">
        <v>113</v>
      </c>
      <c r="Y134" s="72">
        <f t="shared" si="35"/>
        <v>0</v>
      </c>
      <c r="AB134" s="68">
        <f t="shared" si="28"/>
        <v>0.97827945193393751</v>
      </c>
      <c r="AC134" s="68">
        <f t="shared" si="29"/>
        <v>0.81057429398924641</v>
      </c>
      <c r="AD134" s="68">
        <f t="shared" si="30"/>
        <v>0.16396806491792684</v>
      </c>
      <c r="AE134" s="68">
        <f t="shared" si="31"/>
        <v>0.20880509202963629</v>
      </c>
      <c r="AF134" s="68">
        <f t="shared" si="32"/>
        <v>15.752143310149364</v>
      </c>
      <c r="AG134" s="21"/>
    </row>
    <row r="135" spans="2:33" x14ac:dyDescent="0.3">
      <c r="B135" s="22"/>
      <c r="D135" s="64">
        <v>114</v>
      </c>
      <c r="E135" s="100">
        <f t="shared" si="33"/>
        <v>0</v>
      </c>
      <c r="H135" s="68" t="e">
        <f t="shared" si="18"/>
        <v>#DIV/0!</v>
      </c>
      <c r="I135" s="68" t="e">
        <f t="shared" si="19"/>
        <v>#DIV/0!</v>
      </c>
      <c r="J135" s="68" t="e">
        <f t="shared" si="20"/>
        <v>#DIV/0!</v>
      </c>
      <c r="K135" s="68" t="e">
        <f t="shared" si="21"/>
        <v>#DIV/0!</v>
      </c>
      <c r="L135" s="68" t="e">
        <f t="shared" si="22"/>
        <v>#DIV/0!</v>
      </c>
      <c r="N135" s="64">
        <v>114</v>
      </c>
      <c r="O135" s="72">
        <f t="shared" si="34"/>
        <v>0</v>
      </c>
      <c r="R135" s="68" t="e">
        <f t="shared" si="23"/>
        <v>#DIV/0!</v>
      </c>
      <c r="S135" s="68" t="e">
        <f t="shared" si="24"/>
        <v>#DIV/0!</v>
      </c>
      <c r="T135" s="68" t="e">
        <f t="shared" si="25"/>
        <v>#DIV/0!</v>
      </c>
      <c r="U135" s="68" t="e">
        <f t="shared" si="26"/>
        <v>#DIV/0!</v>
      </c>
      <c r="V135" s="68" t="e">
        <f t="shared" si="27"/>
        <v>#DIV/0!</v>
      </c>
      <c r="X135" s="64">
        <v>114</v>
      </c>
      <c r="Y135" s="72">
        <f t="shared" si="35"/>
        <v>0</v>
      </c>
      <c r="AB135" s="68">
        <f t="shared" si="28"/>
        <v>0.97827945193393751</v>
      </c>
      <c r="AC135" s="68">
        <f t="shared" si="29"/>
        <v>0.81057429398924641</v>
      </c>
      <c r="AD135" s="68">
        <f t="shared" si="30"/>
        <v>0.16396806491792684</v>
      </c>
      <c r="AE135" s="68">
        <f t="shared" si="31"/>
        <v>0.20880509202963629</v>
      </c>
      <c r="AF135" s="68">
        <f t="shared" si="32"/>
        <v>15.752143310149364</v>
      </c>
      <c r="AG135" s="21"/>
    </row>
    <row r="136" spans="2:33" x14ac:dyDescent="0.3">
      <c r="B136" s="22"/>
      <c r="D136" s="64">
        <v>115</v>
      </c>
      <c r="E136" s="100">
        <f t="shared" si="33"/>
        <v>0</v>
      </c>
      <c r="H136" s="68" t="e">
        <f t="shared" si="18"/>
        <v>#DIV/0!</v>
      </c>
      <c r="I136" s="68" t="e">
        <f t="shared" si="19"/>
        <v>#DIV/0!</v>
      </c>
      <c r="J136" s="68" t="e">
        <f t="shared" si="20"/>
        <v>#DIV/0!</v>
      </c>
      <c r="K136" s="68" t="e">
        <f t="shared" si="21"/>
        <v>#DIV/0!</v>
      </c>
      <c r="L136" s="68" t="e">
        <f t="shared" si="22"/>
        <v>#DIV/0!</v>
      </c>
      <c r="N136" s="64">
        <v>115</v>
      </c>
      <c r="O136" s="72">
        <f t="shared" si="34"/>
        <v>0</v>
      </c>
      <c r="R136" s="68" t="e">
        <f t="shared" si="23"/>
        <v>#DIV/0!</v>
      </c>
      <c r="S136" s="68" t="e">
        <f t="shared" si="24"/>
        <v>#DIV/0!</v>
      </c>
      <c r="T136" s="68" t="e">
        <f t="shared" si="25"/>
        <v>#DIV/0!</v>
      </c>
      <c r="U136" s="68" t="e">
        <f t="shared" si="26"/>
        <v>#DIV/0!</v>
      </c>
      <c r="V136" s="68" t="e">
        <f t="shared" si="27"/>
        <v>#DIV/0!</v>
      </c>
      <c r="X136" s="64">
        <v>115</v>
      </c>
      <c r="Y136" s="72">
        <f t="shared" si="35"/>
        <v>0</v>
      </c>
      <c r="AB136" s="68">
        <f t="shared" si="28"/>
        <v>0.97827945193393751</v>
      </c>
      <c r="AC136" s="68">
        <f t="shared" si="29"/>
        <v>0.81057429398924641</v>
      </c>
      <c r="AD136" s="68">
        <f t="shared" si="30"/>
        <v>0.16396806491792684</v>
      </c>
      <c r="AE136" s="68">
        <f t="shared" si="31"/>
        <v>0.20880509202963629</v>
      </c>
      <c r="AF136" s="68">
        <f t="shared" si="32"/>
        <v>15.752143310149364</v>
      </c>
      <c r="AG136" s="21"/>
    </row>
    <row r="137" spans="2:33" x14ac:dyDescent="0.3">
      <c r="B137" s="22"/>
      <c r="D137" s="64">
        <v>116</v>
      </c>
      <c r="E137" s="100">
        <f t="shared" si="33"/>
        <v>0</v>
      </c>
      <c r="H137" s="68" t="e">
        <f t="shared" si="18"/>
        <v>#DIV/0!</v>
      </c>
      <c r="I137" s="68" t="e">
        <f t="shared" si="19"/>
        <v>#DIV/0!</v>
      </c>
      <c r="J137" s="68" t="e">
        <f t="shared" si="20"/>
        <v>#DIV/0!</v>
      </c>
      <c r="K137" s="68" t="e">
        <f t="shared" si="21"/>
        <v>#DIV/0!</v>
      </c>
      <c r="L137" s="68" t="e">
        <f t="shared" si="22"/>
        <v>#DIV/0!</v>
      </c>
      <c r="N137" s="64">
        <v>116</v>
      </c>
      <c r="O137" s="72">
        <f t="shared" si="34"/>
        <v>0</v>
      </c>
      <c r="R137" s="68" t="e">
        <f t="shared" si="23"/>
        <v>#DIV/0!</v>
      </c>
      <c r="S137" s="68" t="e">
        <f t="shared" si="24"/>
        <v>#DIV/0!</v>
      </c>
      <c r="T137" s="68" t="e">
        <f t="shared" si="25"/>
        <v>#DIV/0!</v>
      </c>
      <c r="U137" s="68" t="e">
        <f t="shared" si="26"/>
        <v>#DIV/0!</v>
      </c>
      <c r="V137" s="68" t="e">
        <f t="shared" si="27"/>
        <v>#DIV/0!</v>
      </c>
      <c r="X137" s="64">
        <v>116</v>
      </c>
      <c r="Y137" s="72">
        <f t="shared" si="35"/>
        <v>0</v>
      </c>
      <c r="AB137" s="68">
        <f t="shared" si="28"/>
        <v>0.97827945193393751</v>
      </c>
      <c r="AC137" s="68">
        <f t="shared" si="29"/>
        <v>0.81057429398924641</v>
      </c>
      <c r="AD137" s="68">
        <f t="shared" si="30"/>
        <v>0.16396806491792684</v>
      </c>
      <c r="AE137" s="68">
        <f t="shared" si="31"/>
        <v>0.20880509202963629</v>
      </c>
      <c r="AF137" s="68">
        <f t="shared" si="32"/>
        <v>15.752143310149364</v>
      </c>
      <c r="AG137" s="21"/>
    </row>
    <row r="138" spans="2:33" x14ac:dyDescent="0.3">
      <c r="B138" s="22"/>
      <c r="D138" s="64">
        <v>117</v>
      </c>
      <c r="E138" s="100">
        <f t="shared" si="33"/>
        <v>0</v>
      </c>
      <c r="H138" s="68" t="e">
        <f t="shared" si="18"/>
        <v>#DIV/0!</v>
      </c>
      <c r="I138" s="68" t="e">
        <f t="shared" si="19"/>
        <v>#DIV/0!</v>
      </c>
      <c r="J138" s="68" t="e">
        <f t="shared" si="20"/>
        <v>#DIV/0!</v>
      </c>
      <c r="K138" s="68" t="e">
        <f t="shared" si="21"/>
        <v>#DIV/0!</v>
      </c>
      <c r="L138" s="68" t="e">
        <f t="shared" si="22"/>
        <v>#DIV/0!</v>
      </c>
      <c r="N138" s="64">
        <v>117</v>
      </c>
      <c r="O138" s="72">
        <f t="shared" si="34"/>
        <v>0</v>
      </c>
      <c r="R138" s="68" t="e">
        <f t="shared" si="23"/>
        <v>#DIV/0!</v>
      </c>
      <c r="S138" s="68" t="e">
        <f t="shared" si="24"/>
        <v>#DIV/0!</v>
      </c>
      <c r="T138" s="68" t="e">
        <f t="shared" si="25"/>
        <v>#DIV/0!</v>
      </c>
      <c r="U138" s="68" t="e">
        <f t="shared" si="26"/>
        <v>#DIV/0!</v>
      </c>
      <c r="V138" s="68" t="e">
        <f t="shared" si="27"/>
        <v>#DIV/0!</v>
      </c>
      <c r="X138" s="64">
        <v>117</v>
      </c>
      <c r="Y138" s="72">
        <f t="shared" si="35"/>
        <v>0</v>
      </c>
      <c r="AB138" s="68">
        <f t="shared" si="28"/>
        <v>0.97827945193393751</v>
      </c>
      <c r="AC138" s="68">
        <f t="shared" si="29"/>
        <v>0.81057429398924641</v>
      </c>
      <c r="AD138" s="68">
        <f t="shared" si="30"/>
        <v>0.16396806491792684</v>
      </c>
      <c r="AE138" s="68">
        <f t="shared" si="31"/>
        <v>0.20880509202963629</v>
      </c>
      <c r="AF138" s="68">
        <f t="shared" si="32"/>
        <v>15.752143310149364</v>
      </c>
      <c r="AG138" s="21"/>
    </row>
    <row r="139" spans="2:33" x14ac:dyDescent="0.3">
      <c r="B139" s="22"/>
      <c r="D139" s="64">
        <v>118</v>
      </c>
      <c r="E139" s="100">
        <f t="shared" si="33"/>
        <v>0</v>
      </c>
      <c r="H139" s="68" t="e">
        <f t="shared" si="18"/>
        <v>#DIV/0!</v>
      </c>
      <c r="I139" s="68" t="e">
        <f t="shared" si="19"/>
        <v>#DIV/0!</v>
      </c>
      <c r="J139" s="68" t="e">
        <f t="shared" si="20"/>
        <v>#DIV/0!</v>
      </c>
      <c r="K139" s="68" t="e">
        <f t="shared" si="21"/>
        <v>#DIV/0!</v>
      </c>
      <c r="L139" s="68" t="e">
        <f t="shared" si="22"/>
        <v>#DIV/0!</v>
      </c>
      <c r="N139" s="64">
        <v>118</v>
      </c>
      <c r="O139" s="72">
        <f t="shared" si="34"/>
        <v>0</v>
      </c>
      <c r="R139" s="68" t="e">
        <f t="shared" si="23"/>
        <v>#DIV/0!</v>
      </c>
      <c r="S139" s="68" t="e">
        <f t="shared" si="24"/>
        <v>#DIV/0!</v>
      </c>
      <c r="T139" s="68" t="e">
        <f t="shared" si="25"/>
        <v>#DIV/0!</v>
      </c>
      <c r="U139" s="68" t="e">
        <f t="shared" si="26"/>
        <v>#DIV/0!</v>
      </c>
      <c r="V139" s="68" t="e">
        <f t="shared" si="27"/>
        <v>#DIV/0!</v>
      </c>
      <c r="X139" s="64">
        <v>118</v>
      </c>
      <c r="Y139" s="72">
        <f t="shared" si="35"/>
        <v>0</v>
      </c>
      <c r="AB139" s="68">
        <f t="shared" si="28"/>
        <v>0.97827945193393751</v>
      </c>
      <c r="AC139" s="68">
        <f t="shared" si="29"/>
        <v>0.81057429398924641</v>
      </c>
      <c r="AD139" s="68">
        <f t="shared" si="30"/>
        <v>0.16396806491792684</v>
      </c>
      <c r="AE139" s="68">
        <f t="shared" si="31"/>
        <v>0.20880509202963629</v>
      </c>
      <c r="AF139" s="68">
        <f t="shared" si="32"/>
        <v>15.752143310149364</v>
      </c>
      <c r="AG139" s="21"/>
    </row>
    <row r="140" spans="2:33" x14ac:dyDescent="0.3">
      <c r="B140" s="22"/>
      <c r="D140" s="64">
        <v>119</v>
      </c>
      <c r="E140" s="100">
        <f t="shared" si="33"/>
        <v>0</v>
      </c>
      <c r="H140" s="68" t="e">
        <f t="shared" si="18"/>
        <v>#DIV/0!</v>
      </c>
      <c r="I140" s="68" t="e">
        <f t="shared" si="19"/>
        <v>#DIV/0!</v>
      </c>
      <c r="J140" s="68" t="e">
        <f t="shared" si="20"/>
        <v>#DIV/0!</v>
      </c>
      <c r="K140" s="68" t="e">
        <f t="shared" si="21"/>
        <v>#DIV/0!</v>
      </c>
      <c r="L140" s="68" t="e">
        <f t="shared" si="22"/>
        <v>#DIV/0!</v>
      </c>
      <c r="N140" s="64">
        <v>119</v>
      </c>
      <c r="O140" s="72">
        <f t="shared" si="34"/>
        <v>0</v>
      </c>
      <c r="R140" s="68" t="e">
        <f t="shared" si="23"/>
        <v>#DIV/0!</v>
      </c>
      <c r="S140" s="68" t="e">
        <f t="shared" si="24"/>
        <v>#DIV/0!</v>
      </c>
      <c r="T140" s="68" t="e">
        <f t="shared" si="25"/>
        <v>#DIV/0!</v>
      </c>
      <c r="U140" s="68" t="e">
        <f t="shared" si="26"/>
        <v>#DIV/0!</v>
      </c>
      <c r="V140" s="68" t="e">
        <f t="shared" si="27"/>
        <v>#DIV/0!</v>
      </c>
      <c r="X140" s="64">
        <v>119</v>
      </c>
      <c r="Y140" s="72">
        <f t="shared" si="35"/>
        <v>0</v>
      </c>
      <c r="AB140" s="68">
        <f t="shared" si="28"/>
        <v>0.97827945193393751</v>
      </c>
      <c r="AC140" s="68">
        <f t="shared" si="29"/>
        <v>0.81057429398924641</v>
      </c>
      <c r="AD140" s="68">
        <f t="shared" si="30"/>
        <v>0.16396806491792684</v>
      </c>
      <c r="AE140" s="68">
        <f t="shared" si="31"/>
        <v>0.20880509202963629</v>
      </c>
      <c r="AF140" s="68">
        <f t="shared" si="32"/>
        <v>15.752143310149364</v>
      </c>
      <c r="AG140" s="21"/>
    </row>
    <row r="141" spans="2:33" x14ac:dyDescent="0.3">
      <c r="B141" s="22"/>
      <c r="D141" s="64">
        <v>120</v>
      </c>
      <c r="E141" s="100">
        <f t="shared" si="33"/>
        <v>0</v>
      </c>
      <c r="H141" s="68" t="e">
        <f t="shared" si="18"/>
        <v>#DIV/0!</v>
      </c>
      <c r="I141" s="68" t="e">
        <f t="shared" si="19"/>
        <v>#DIV/0!</v>
      </c>
      <c r="J141" s="68" t="e">
        <f t="shared" si="20"/>
        <v>#DIV/0!</v>
      </c>
      <c r="K141" s="68" t="e">
        <f t="shared" si="21"/>
        <v>#DIV/0!</v>
      </c>
      <c r="L141" s="68" t="e">
        <f t="shared" si="22"/>
        <v>#DIV/0!</v>
      </c>
      <c r="N141" s="64">
        <v>120</v>
      </c>
      <c r="O141" s="72">
        <f t="shared" si="34"/>
        <v>0</v>
      </c>
      <c r="R141" s="68" t="e">
        <f t="shared" si="23"/>
        <v>#DIV/0!</v>
      </c>
      <c r="S141" s="68" t="e">
        <f t="shared" si="24"/>
        <v>#DIV/0!</v>
      </c>
      <c r="T141" s="68" t="e">
        <f t="shared" si="25"/>
        <v>#DIV/0!</v>
      </c>
      <c r="U141" s="68" t="e">
        <f t="shared" si="26"/>
        <v>#DIV/0!</v>
      </c>
      <c r="V141" s="68" t="e">
        <f t="shared" si="27"/>
        <v>#DIV/0!</v>
      </c>
      <c r="X141" s="64">
        <v>120</v>
      </c>
      <c r="Y141" s="72">
        <f t="shared" si="35"/>
        <v>0</v>
      </c>
      <c r="AB141" s="68">
        <f t="shared" si="28"/>
        <v>0.97827945193393751</v>
      </c>
      <c r="AC141" s="68">
        <f t="shared" si="29"/>
        <v>0.81057429398924641</v>
      </c>
      <c r="AD141" s="68">
        <f t="shared" si="30"/>
        <v>0.16396806491792684</v>
      </c>
      <c r="AE141" s="68">
        <f t="shared" si="31"/>
        <v>0.20880509202963629</v>
      </c>
      <c r="AF141" s="68">
        <f t="shared" si="32"/>
        <v>15.752143310149364</v>
      </c>
      <c r="AG141" s="21"/>
    </row>
    <row r="142" spans="2:33" x14ac:dyDescent="0.3">
      <c r="B142" s="22"/>
      <c r="D142" s="65">
        <v>121</v>
      </c>
      <c r="E142" s="101">
        <f>F18</f>
        <v>0</v>
      </c>
      <c r="H142" s="69" t="e">
        <f t="shared" si="18"/>
        <v>#DIV/0!</v>
      </c>
      <c r="I142" s="69" t="e">
        <f t="shared" si="19"/>
        <v>#DIV/0!</v>
      </c>
      <c r="J142" s="69" t="e">
        <f t="shared" si="20"/>
        <v>#DIV/0!</v>
      </c>
      <c r="K142" s="69" t="e">
        <f t="shared" si="21"/>
        <v>#DIV/0!</v>
      </c>
      <c r="L142" s="69" t="e">
        <f t="shared" si="22"/>
        <v>#DIV/0!</v>
      </c>
      <c r="N142" s="65">
        <v>121</v>
      </c>
      <c r="O142" s="73">
        <f>P18</f>
        <v>0</v>
      </c>
      <c r="R142" s="69" t="e">
        <f t="shared" si="23"/>
        <v>#DIV/0!</v>
      </c>
      <c r="S142" s="69" t="e">
        <f t="shared" si="24"/>
        <v>#DIV/0!</v>
      </c>
      <c r="T142" s="69" t="e">
        <f t="shared" si="25"/>
        <v>#DIV/0!</v>
      </c>
      <c r="U142" s="69" t="e">
        <f t="shared" si="26"/>
        <v>#DIV/0!</v>
      </c>
      <c r="V142" s="69" t="e">
        <f t="shared" si="27"/>
        <v>#DIV/0!</v>
      </c>
      <c r="X142" s="65">
        <v>121</v>
      </c>
      <c r="Y142" s="73">
        <f>Z18</f>
        <v>0</v>
      </c>
      <c r="AB142" s="69">
        <f t="shared" si="28"/>
        <v>0.97827945193393751</v>
      </c>
      <c r="AC142" s="69">
        <f t="shared" si="29"/>
        <v>0.81057429398924641</v>
      </c>
      <c r="AD142" s="69">
        <f t="shared" si="30"/>
        <v>0.16396806491792684</v>
      </c>
      <c r="AE142" s="69">
        <f t="shared" si="31"/>
        <v>0.20880509202963629</v>
      </c>
      <c r="AF142" s="69">
        <f t="shared" si="32"/>
        <v>15.752143310149364</v>
      </c>
      <c r="AG142" s="21"/>
    </row>
    <row r="143" spans="2:33" ht="15.6" thickBot="1" x14ac:dyDescent="0.35">
      <c r="B143" s="27"/>
      <c r="C143" s="28"/>
      <c r="D143" s="28"/>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9"/>
    </row>
    <row r="144" spans="2:33" x14ac:dyDescent="0.3">
      <c r="X144" s="18"/>
    </row>
    <row r="158" x14ac:dyDescent="0.3"/>
    <row r="159" x14ac:dyDescent="0.3"/>
  </sheetData>
  <mergeCells count="3">
    <mergeCell ref="H17:L19"/>
    <mergeCell ref="R17:V18"/>
    <mergeCell ref="AB17:AF18"/>
  </mergeCells>
  <phoneticPr fontId="8"/>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A1:AN153"/>
  <sheetViews>
    <sheetView showGridLines="0" tabSelected="1" zoomScaleNormal="100" workbookViewId="0"/>
  </sheetViews>
  <sheetFormatPr defaultColWidth="0" defaultRowHeight="0" customHeight="1" zeroHeight="1" x14ac:dyDescent="0.3"/>
  <cols>
    <col min="1" max="3" width="2.59765625" style="4" customWidth="1"/>
    <col min="4" max="11" width="9" style="4" customWidth="1"/>
    <col min="12" max="12" width="2.59765625" style="4" customWidth="1"/>
    <col min="13" max="14" width="9" style="4" customWidth="1"/>
    <col min="15" max="15" width="18.59765625" style="198" customWidth="1"/>
    <col min="16" max="16" width="9" style="4" customWidth="1"/>
    <col min="17" max="17" width="2.59765625" style="4" customWidth="1"/>
    <col min="18" max="19" width="9" style="4" customWidth="1"/>
    <col min="20" max="20" width="18.59765625" style="4" customWidth="1"/>
    <col min="21" max="21" width="9" style="4" customWidth="1"/>
    <col min="22" max="22" width="2.59765625" style="4" customWidth="1"/>
    <col min="23" max="23" width="9" style="4" customWidth="1"/>
    <col min="24" max="24" width="2.59765625" style="4" customWidth="1"/>
    <col min="25" max="27" width="9" style="4" customWidth="1"/>
    <col min="28" max="28" width="18.59765625" style="198" customWidth="1"/>
    <col min="29" max="29" width="9" style="4" customWidth="1"/>
    <col min="30" max="31" width="2.59765625" style="4" customWidth="1"/>
    <col min="32" max="33" width="9" style="4" customWidth="1"/>
    <col min="34" max="35" width="2.59765625" style="4" customWidth="1"/>
    <col min="36" max="36" width="2.69921875" style="4" customWidth="1"/>
    <col min="37" max="39" width="9" style="4" customWidth="1"/>
    <col min="40" max="40" width="2.69921875" style="4" customWidth="1"/>
    <col min="41" max="16384" width="9" style="4" hidden="1"/>
  </cols>
  <sheetData>
    <row r="1" spans="2:35" ht="15.6" thickBot="1" x14ac:dyDescent="0.35"/>
    <row r="2" spans="2:35" ht="15.6" thickBot="1" x14ac:dyDescent="0.35">
      <c r="B2" s="30"/>
      <c r="C2" s="18"/>
      <c r="D2" s="18"/>
      <c r="E2" s="18"/>
      <c r="F2" s="18"/>
      <c r="G2" s="18"/>
      <c r="H2" s="18"/>
      <c r="I2" s="18"/>
      <c r="J2" s="18"/>
      <c r="K2" s="18"/>
      <c r="L2" s="18"/>
      <c r="M2" s="18"/>
      <c r="N2" s="18"/>
      <c r="O2" s="199"/>
      <c r="P2" s="18"/>
      <c r="Q2" s="18"/>
      <c r="R2" s="18"/>
      <c r="S2" s="18"/>
      <c r="T2" s="18"/>
      <c r="U2" s="18"/>
      <c r="V2" s="18"/>
      <c r="W2" s="18"/>
      <c r="X2" s="18"/>
      <c r="Y2" s="18"/>
      <c r="Z2" s="18"/>
      <c r="AA2" s="18"/>
      <c r="AB2" s="199"/>
      <c r="AC2" s="18"/>
      <c r="AD2" s="18"/>
      <c r="AE2" s="18"/>
      <c r="AF2" s="18"/>
      <c r="AG2" s="18"/>
      <c r="AH2" s="18"/>
      <c r="AI2" s="19"/>
    </row>
    <row r="3" spans="2:35" ht="15" x14ac:dyDescent="0.3">
      <c r="B3" s="22"/>
      <c r="C3" s="6" t="s">
        <v>58</v>
      </c>
      <c r="D3" s="7"/>
      <c r="E3" s="7"/>
      <c r="F3" s="7"/>
      <c r="G3" s="7"/>
      <c r="H3" s="7"/>
      <c r="I3" s="7"/>
      <c r="J3" s="7"/>
      <c r="K3" s="7"/>
      <c r="L3" s="7"/>
      <c r="M3" s="7"/>
      <c r="N3" s="7"/>
      <c r="O3" s="213"/>
      <c r="P3" s="214"/>
      <c r="Q3" s="4" t="s">
        <v>32</v>
      </c>
      <c r="AB3" s="200"/>
      <c r="AI3" s="21"/>
    </row>
    <row r="4" spans="2:35" ht="15.6" thickBot="1" x14ac:dyDescent="0.35">
      <c r="B4" s="22"/>
      <c r="C4" s="9"/>
      <c r="D4" s="10" t="s">
        <v>59</v>
      </c>
      <c r="E4" s="10"/>
      <c r="F4" s="10"/>
      <c r="G4" s="10"/>
      <c r="H4" s="10"/>
      <c r="I4" s="10"/>
      <c r="J4" s="10"/>
      <c r="K4" s="10"/>
      <c r="L4" s="10"/>
      <c r="M4" s="10"/>
      <c r="N4" s="10"/>
      <c r="O4" s="215"/>
      <c r="P4" s="216"/>
      <c r="R4" s="4" t="s">
        <v>4</v>
      </c>
      <c r="AB4" s="200"/>
      <c r="AI4" s="21"/>
    </row>
    <row r="5" spans="2:35" ht="15" x14ac:dyDescent="0.3">
      <c r="B5" s="22"/>
      <c r="C5" s="9"/>
      <c r="D5" s="10" t="s">
        <v>60</v>
      </c>
      <c r="E5" s="10"/>
      <c r="F5" s="10"/>
      <c r="G5" s="10"/>
      <c r="H5" s="10"/>
      <c r="I5" s="10"/>
      <c r="J5" s="10"/>
      <c r="K5" s="10"/>
      <c r="L5" s="10"/>
      <c r="M5" s="10"/>
      <c r="N5" s="10"/>
      <c r="O5" s="215"/>
      <c r="P5" s="216"/>
      <c r="R5" s="242"/>
      <c r="S5" s="243"/>
      <c r="T5" s="243"/>
      <c r="U5" s="243"/>
      <c r="V5" s="243"/>
      <c r="W5" s="243"/>
      <c r="X5" s="243"/>
      <c r="Y5" s="243"/>
      <c r="Z5" s="243"/>
      <c r="AA5" s="244"/>
      <c r="AB5" s="200"/>
      <c r="AI5" s="21"/>
    </row>
    <row r="6" spans="2:35" ht="15" x14ac:dyDescent="0.3">
      <c r="B6" s="22"/>
      <c r="C6" s="9"/>
      <c r="D6" s="10" t="s">
        <v>61</v>
      </c>
      <c r="E6" s="10"/>
      <c r="F6" s="10"/>
      <c r="G6" s="10"/>
      <c r="H6" s="10"/>
      <c r="I6" s="10"/>
      <c r="J6" s="10"/>
      <c r="K6" s="10"/>
      <c r="L6" s="10"/>
      <c r="M6" s="10"/>
      <c r="N6" s="10"/>
      <c r="O6" s="215"/>
      <c r="P6" s="216"/>
      <c r="R6" s="245"/>
      <c r="S6" s="246"/>
      <c r="T6" s="246"/>
      <c r="U6" s="246"/>
      <c r="V6" s="246"/>
      <c r="W6" s="246"/>
      <c r="X6" s="246"/>
      <c r="Y6" s="246"/>
      <c r="Z6" s="246"/>
      <c r="AA6" s="247"/>
      <c r="AB6" s="200"/>
      <c r="AI6" s="21"/>
    </row>
    <row r="7" spans="2:35" ht="15" x14ac:dyDescent="0.3">
      <c r="B7" s="22"/>
      <c r="C7" s="9"/>
      <c r="D7" s="10" t="s">
        <v>62</v>
      </c>
      <c r="E7" s="10"/>
      <c r="F7" s="10"/>
      <c r="G7" s="10"/>
      <c r="H7" s="10"/>
      <c r="I7" s="10"/>
      <c r="J7" s="10"/>
      <c r="K7" s="10"/>
      <c r="L7" s="10"/>
      <c r="M7" s="10"/>
      <c r="N7" s="10"/>
      <c r="O7" s="215"/>
      <c r="P7" s="216"/>
      <c r="R7" s="245"/>
      <c r="S7" s="246"/>
      <c r="T7" s="246"/>
      <c r="U7" s="246"/>
      <c r="V7" s="246"/>
      <c r="W7" s="246"/>
      <c r="X7" s="246"/>
      <c r="Y7" s="246"/>
      <c r="Z7" s="246"/>
      <c r="AA7" s="247"/>
      <c r="AB7" s="200"/>
      <c r="AI7" s="21"/>
    </row>
    <row r="8" spans="2:35" ht="15.6" thickBot="1" x14ac:dyDescent="0.35">
      <c r="B8" s="22"/>
      <c r="C8" s="12"/>
      <c r="D8" s="13" t="s">
        <v>63</v>
      </c>
      <c r="E8" s="13"/>
      <c r="F8" s="13" t="s">
        <v>64</v>
      </c>
      <c r="G8" s="13"/>
      <c r="H8" s="13"/>
      <c r="I8" s="13" t="s">
        <v>65</v>
      </c>
      <c r="J8" s="13"/>
      <c r="K8" s="13"/>
      <c r="L8" s="13"/>
      <c r="M8" s="13"/>
      <c r="N8" s="13"/>
      <c r="O8" s="217"/>
      <c r="P8" s="218"/>
      <c r="R8" s="248"/>
      <c r="S8" s="249"/>
      <c r="T8" s="249"/>
      <c r="U8" s="249"/>
      <c r="V8" s="249"/>
      <c r="W8" s="249"/>
      <c r="X8" s="249"/>
      <c r="Y8" s="249"/>
      <c r="Z8" s="249"/>
      <c r="AA8" s="250"/>
      <c r="AB8" s="200"/>
      <c r="AI8" s="21"/>
    </row>
    <row r="9" spans="2:35" ht="15.6" thickBot="1" x14ac:dyDescent="0.35">
      <c r="B9" s="22"/>
      <c r="O9" s="200"/>
      <c r="R9" s="4" t="s">
        <v>66</v>
      </c>
      <c r="AB9" s="200"/>
      <c r="AI9" s="21"/>
    </row>
    <row r="10" spans="2:35" ht="15" x14ac:dyDescent="0.3">
      <c r="B10" s="22"/>
      <c r="C10" s="3" t="s">
        <v>67</v>
      </c>
      <c r="F10" s="31"/>
      <c r="H10" s="3" t="s">
        <v>68</v>
      </c>
      <c r="O10" s="200"/>
      <c r="R10" s="242"/>
      <c r="S10" s="243"/>
      <c r="T10" s="243"/>
      <c r="U10" s="243"/>
      <c r="V10" s="243"/>
      <c r="W10" s="243"/>
      <c r="X10" s="243"/>
      <c r="Y10" s="243"/>
      <c r="Z10" s="243"/>
      <c r="AA10" s="244"/>
      <c r="AB10" s="200"/>
      <c r="AI10" s="21"/>
    </row>
    <row r="11" spans="2:35" ht="15" x14ac:dyDescent="0.3">
      <c r="B11" s="22"/>
      <c r="D11" s="226" t="s">
        <v>69</v>
      </c>
      <c r="E11" s="104" t="s">
        <v>41</v>
      </c>
      <c r="F11" s="104"/>
      <c r="G11" s="105">
        <v>1000</v>
      </c>
      <c r="I11" s="103" t="s">
        <v>70</v>
      </c>
      <c r="J11" s="137" t="s">
        <v>71</v>
      </c>
      <c r="K11" s="138"/>
      <c r="L11" s="139"/>
      <c r="M11" s="112">
        <v>60</v>
      </c>
      <c r="O11" s="200"/>
      <c r="R11" s="245"/>
      <c r="S11" s="246"/>
      <c r="T11" s="246"/>
      <c r="U11" s="246"/>
      <c r="V11" s="246"/>
      <c r="W11" s="246"/>
      <c r="X11" s="246"/>
      <c r="Y11" s="246"/>
      <c r="Z11" s="246"/>
      <c r="AA11" s="247"/>
      <c r="AB11" s="200"/>
      <c r="AI11" s="21"/>
    </row>
    <row r="12" spans="2:35" ht="15" x14ac:dyDescent="0.3">
      <c r="B12" s="22"/>
      <c r="D12" s="106" t="s">
        <v>72</v>
      </c>
      <c r="E12" s="107" t="s">
        <v>11</v>
      </c>
      <c r="F12" s="107"/>
      <c r="G12" s="108">
        <v>1.4999999999999999E-2</v>
      </c>
      <c r="I12" s="106" t="s">
        <v>73</v>
      </c>
      <c r="J12" s="107" t="s">
        <v>74</v>
      </c>
      <c r="K12" s="107"/>
      <c r="L12" s="102"/>
      <c r="M12" s="225">
        <v>5</v>
      </c>
      <c r="N12" s="178">
        <f>M12*12</f>
        <v>60</v>
      </c>
      <c r="O12" s="200"/>
      <c r="R12" s="245"/>
      <c r="S12" s="246"/>
      <c r="T12" s="246"/>
      <c r="U12" s="246"/>
      <c r="V12" s="246"/>
      <c r="W12" s="246"/>
      <c r="X12" s="246"/>
      <c r="Y12" s="246"/>
      <c r="Z12" s="246"/>
      <c r="AA12" s="247"/>
      <c r="AB12" s="200"/>
      <c r="AI12" s="21"/>
    </row>
    <row r="13" spans="2:35" ht="15.6" thickBot="1" x14ac:dyDescent="0.35">
      <c r="B13" s="22"/>
      <c r="D13" s="106" t="s">
        <v>12</v>
      </c>
      <c r="E13" s="107" t="s">
        <v>75</v>
      </c>
      <c r="F13" s="107"/>
      <c r="G13" s="108">
        <v>0.05</v>
      </c>
      <c r="I13" s="106" t="s">
        <v>76</v>
      </c>
      <c r="J13" s="107" t="s">
        <v>77</v>
      </c>
      <c r="K13" s="107"/>
      <c r="L13" s="102"/>
      <c r="M13" s="150">
        <v>0.01</v>
      </c>
      <c r="O13" s="200"/>
      <c r="R13" s="248"/>
      <c r="S13" s="249"/>
      <c r="T13" s="249"/>
      <c r="U13" s="249"/>
      <c r="V13" s="249"/>
      <c r="W13" s="249"/>
      <c r="X13" s="249"/>
      <c r="Y13" s="249"/>
      <c r="Z13" s="249"/>
      <c r="AA13" s="250"/>
      <c r="AB13" s="200"/>
      <c r="AI13" s="21"/>
    </row>
    <row r="14" spans="2:35" ht="15.6" thickBot="1" x14ac:dyDescent="0.35">
      <c r="B14" s="22"/>
      <c r="D14" s="106" t="s">
        <v>78</v>
      </c>
      <c r="E14" s="107" t="s">
        <v>79</v>
      </c>
      <c r="F14" s="107"/>
      <c r="G14" s="146">
        <f>M16</f>
        <v>3.011567072832937E-2</v>
      </c>
      <c r="I14" s="106" t="s">
        <v>80</v>
      </c>
      <c r="J14" s="107" t="s">
        <v>81</v>
      </c>
      <c r="K14" s="107"/>
      <c r="L14" s="102"/>
      <c r="M14" s="241">
        <v>1.7973734273830668E-2</v>
      </c>
      <c r="O14" s="200"/>
      <c r="R14" s="4" t="s">
        <v>82</v>
      </c>
      <c r="AB14" s="200"/>
      <c r="AI14" s="21"/>
    </row>
    <row r="15" spans="2:35" ht="15" x14ac:dyDescent="0.3">
      <c r="B15" s="22"/>
      <c r="D15" s="109" t="s">
        <v>18</v>
      </c>
      <c r="E15" s="110" t="s">
        <v>19</v>
      </c>
      <c r="F15" s="110"/>
      <c r="G15" s="111">
        <v>1000</v>
      </c>
      <c r="I15" s="113" t="s">
        <v>83</v>
      </c>
      <c r="J15" s="107" t="s">
        <v>84</v>
      </c>
      <c r="K15" s="107"/>
      <c r="L15" s="102"/>
      <c r="M15" s="150">
        <v>2.5999999999999999E-3</v>
      </c>
      <c r="O15" s="200"/>
      <c r="R15" s="242"/>
      <c r="S15" s="243"/>
      <c r="T15" s="243"/>
      <c r="U15" s="243"/>
      <c r="V15" s="243"/>
      <c r="W15" s="243"/>
      <c r="X15" s="243"/>
      <c r="Y15" s="243"/>
      <c r="Z15" s="243"/>
      <c r="AA15" s="244"/>
      <c r="AB15" s="200"/>
      <c r="AI15" s="21"/>
    </row>
    <row r="16" spans="2:35" ht="15" x14ac:dyDescent="0.3">
      <c r="B16" s="22"/>
      <c r="I16" s="106" t="s">
        <v>78</v>
      </c>
      <c r="J16" s="107" t="s">
        <v>85</v>
      </c>
      <c r="K16" s="107"/>
      <c r="L16" s="102"/>
      <c r="M16" s="150">
        <f>LN(1+M13+M15+M14)</f>
        <v>3.011567072832937E-2</v>
      </c>
      <c r="N16" s="179">
        <f>EXP(M16)-1</f>
        <v>3.0573734273830588E-2</v>
      </c>
      <c r="O16" s="200"/>
      <c r="R16" s="245"/>
      <c r="S16" s="246"/>
      <c r="T16" s="246"/>
      <c r="U16" s="246"/>
      <c r="V16" s="246"/>
      <c r="W16" s="246"/>
      <c r="X16" s="246"/>
      <c r="Y16" s="246"/>
      <c r="Z16" s="246"/>
      <c r="AA16" s="247"/>
      <c r="AB16" s="200"/>
      <c r="AI16" s="21"/>
    </row>
    <row r="17" spans="2:39" ht="15" x14ac:dyDescent="0.3">
      <c r="B17" s="22"/>
      <c r="I17" s="109" t="s">
        <v>86</v>
      </c>
      <c r="J17" s="110" t="s">
        <v>87</v>
      </c>
      <c r="K17" s="110"/>
      <c r="L17" s="136"/>
      <c r="M17" s="151">
        <f>LN(1+M14)</f>
        <v>1.7814116492751275E-2</v>
      </c>
      <c r="N17" s="32"/>
      <c r="O17" s="200"/>
      <c r="R17" s="245"/>
      <c r="S17" s="246"/>
      <c r="T17" s="246"/>
      <c r="U17" s="246"/>
      <c r="V17" s="246"/>
      <c r="W17" s="246"/>
      <c r="X17" s="246"/>
      <c r="Y17" s="246"/>
      <c r="Z17" s="246"/>
      <c r="AA17" s="247"/>
      <c r="AB17" s="200"/>
      <c r="AI17" s="21"/>
    </row>
    <row r="18" spans="2:39" ht="15.6" thickBot="1" x14ac:dyDescent="0.35">
      <c r="B18" s="22"/>
      <c r="O18" s="200"/>
      <c r="P18" s="32"/>
      <c r="R18" s="248"/>
      <c r="S18" s="249"/>
      <c r="T18" s="249"/>
      <c r="U18" s="249"/>
      <c r="V18" s="249"/>
      <c r="W18" s="249"/>
      <c r="X18" s="249"/>
      <c r="Y18" s="249"/>
      <c r="Z18" s="249"/>
      <c r="AA18" s="250"/>
      <c r="AB18" s="200"/>
      <c r="AI18" s="21"/>
    </row>
    <row r="19" spans="2:39" ht="15" x14ac:dyDescent="0.3">
      <c r="B19" s="22"/>
      <c r="O19" s="200"/>
      <c r="AB19" s="200"/>
      <c r="AI19" s="21"/>
    </row>
    <row r="20" spans="2:39" ht="15.6" thickBot="1" x14ac:dyDescent="0.35">
      <c r="B20" s="22"/>
      <c r="O20" s="200"/>
      <c r="AB20" s="200"/>
      <c r="AI20" s="21"/>
    </row>
    <row r="21" spans="2:39" ht="18.600000000000001" thickBot="1" x14ac:dyDescent="0.5">
      <c r="B21" s="22"/>
      <c r="C21" s="3" t="s">
        <v>88</v>
      </c>
      <c r="E21" s="24"/>
      <c r="L21" s="33" t="s">
        <v>89</v>
      </c>
      <c r="M21" s="34"/>
      <c r="N21" s="34"/>
      <c r="O21" s="207"/>
      <c r="P21" s="35"/>
      <c r="Q21" s="35"/>
      <c r="R21" s="35"/>
      <c r="S21" s="35"/>
      <c r="T21" s="35"/>
      <c r="U21" s="35"/>
      <c r="X21" s="36" t="s">
        <v>90</v>
      </c>
      <c r="Y21" s="37"/>
      <c r="Z21" s="37"/>
      <c r="AA21" s="37"/>
      <c r="AB21" s="201"/>
      <c r="AC21" s="37"/>
      <c r="AD21" s="38"/>
      <c r="AG21"/>
      <c r="AH21"/>
      <c r="AI21" s="21"/>
    </row>
    <row r="22" spans="2:39" ht="15" x14ac:dyDescent="0.3">
      <c r="B22" s="22"/>
      <c r="D22" s="114"/>
      <c r="E22" s="115" t="s">
        <v>91</v>
      </c>
      <c r="F22" s="115"/>
      <c r="G22" s="116"/>
      <c r="H22" s="116"/>
      <c r="I22" s="116"/>
      <c r="J22" s="116"/>
      <c r="K22" s="3"/>
      <c r="L22" s="3"/>
      <c r="M22" s="44" t="s">
        <v>92</v>
      </c>
      <c r="O22" s="200"/>
      <c r="R22" s="44" t="s">
        <v>93</v>
      </c>
      <c r="Y22" s="44" t="s">
        <v>94</v>
      </c>
      <c r="AB22" s="200"/>
      <c r="AD22" s="44"/>
      <c r="AH22" s="44"/>
      <c r="AI22" s="21"/>
      <c r="AK22" s="44" t="s">
        <v>95</v>
      </c>
    </row>
    <row r="23" spans="2:39" ht="15" x14ac:dyDescent="0.3">
      <c r="B23" s="22"/>
      <c r="D23" s="118" t="s">
        <v>23</v>
      </c>
      <c r="E23" s="117" t="s">
        <v>96</v>
      </c>
      <c r="F23" s="117" t="s">
        <v>97</v>
      </c>
      <c r="G23" s="117" t="s">
        <v>17</v>
      </c>
      <c r="H23" s="117" t="s">
        <v>98</v>
      </c>
      <c r="I23" s="117" t="s">
        <v>99</v>
      </c>
      <c r="J23" s="71" t="s">
        <v>55</v>
      </c>
      <c r="M23" s="127" t="s">
        <v>100</v>
      </c>
      <c r="N23" s="128" t="s">
        <v>98</v>
      </c>
      <c r="O23" s="208" t="s">
        <v>101</v>
      </c>
      <c r="P23" s="117" t="s">
        <v>102</v>
      </c>
      <c r="R23" s="127" t="s">
        <v>100</v>
      </c>
      <c r="S23" s="128" t="s">
        <v>99</v>
      </c>
      <c r="T23" s="129" t="s">
        <v>103</v>
      </c>
      <c r="U23" s="117" t="s">
        <v>102</v>
      </c>
      <c r="W23" s="117" t="s">
        <v>104</v>
      </c>
      <c r="Y23" s="140" t="s">
        <v>105</v>
      </c>
      <c r="Z23" s="117" t="s">
        <v>98</v>
      </c>
      <c r="AA23" s="117" t="s">
        <v>99</v>
      </c>
      <c r="AB23" s="202" t="s">
        <v>106</v>
      </c>
      <c r="AC23" s="117" t="s">
        <v>102</v>
      </c>
      <c r="AD23" s="3"/>
      <c r="AF23" s="142" t="s">
        <v>107</v>
      </c>
      <c r="AG23" s="143">
        <f>(W24-AC24)^2</f>
        <v>7.2701421025168448E-27</v>
      </c>
      <c r="AH23" s="3"/>
      <c r="AI23" s="21"/>
      <c r="AK23" s="127" t="s">
        <v>100</v>
      </c>
      <c r="AL23" s="128" t="s">
        <v>99</v>
      </c>
      <c r="AM23" s="129" t="s">
        <v>103</v>
      </c>
    </row>
    <row r="24" spans="2:39" ht="15" x14ac:dyDescent="0.3">
      <c r="B24" s="22"/>
      <c r="C24" s="224">
        <f>IF(E24="","",E24+F24/12)</f>
        <v>60</v>
      </c>
      <c r="D24" s="119"/>
      <c r="E24" s="161">
        <f>M11</f>
        <v>60</v>
      </c>
      <c r="F24" s="162">
        <v>0</v>
      </c>
      <c r="G24" s="163">
        <v>0</v>
      </c>
      <c r="H24" s="164">
        <v>0</v>
      </c>
      <c r="I24" s="165">
        <f>IF(D24&lt;$N$12+1,'死亡率（標準生命表）'!N4,IF(D24=$N$12+1,I23,""))</f>
        <v>1</v>
      </c>
      <c r="J24" s="166"/>
      <c r="M24" s="130"/>
      <c r="N24" s="131"/>
      <c r="O24" s="203"/>
      <c r="P24" s="135">
        <f t="array" ref="P24">SUM(O25:O144)</f>
        <v>1.9552492732663767</v>
      </c>
      <c r="R24" s="177">
        <f>VLOOKUP($N$12+1,$D$25:$J$145,7)</f>
        <v>82.379947348029219</v>
      </c>
      <c r="S24" s="177">
        <f>VLOOKUP($N$12+1,$D$25:$J$145,6)</f>
        <v>0.9630466929633611</v>
      </c>
      <c r="T24" s="212"/>
      <c r="U24" s="132">
        <f>R24*S24</f>
        <v>79.335735860015347</v>
      </c>
      <c r="W24" s="135">
        <f>P24+U24</f>
        <v>81.290985133281723</v>
      </c>
      <c r="Y24" s="130"/>
      <c r="Z24" s="131"/>
      <c r="AA24" s="122"/>
      <c r="AB24" s="203"/>
      <c r="AC24" s="144">
        <f>SUM(AB25:AB145)</f>
        <v>81.290985133281637</v>
      </c>
      <c r="AI24" s="21"/>
      <c r="AK24" s="188"/>
      <c r="AL24" s="189"/>
      <c r="AM24" s="190"/>
    </row>
    <row r="25" spans="2:39" ht="18" x14ac:dyDescent="0.45">
      <c r="B25" s="22"/>
      <c r="C25" s="224">
        <f t="shared" ref="C25:C88" si="0">IF(E25="","",E25+F25/12)</f>
        <v>60.041666666666664</v>
      </c>
      <c r="D25" s="120">
        <v>1</v>
      </c>
      <c r="E25" s="167">
        <f>E24</f>
        <v>60</v>
      </c>
      <c r="F25" s="168">
        <v>0.5</v>
      </c>
      <c r="G25" s="192">
        <f>IFERROR(E25-$E$24+F25/12,"")</f>
        <v>4.1666666666666664E-2</v>
      </c>
      <c r="H25" s="169">
        <f>IF(D25&lt;=$N$12+1,'死亡率（標準生命表）'!M4,0)</f>
        <v>5.350000000000632E-4</v>
      </c>
      <c r="I25" s="170">
        <f>IF(D25&lt;$N$12+1,'死亡率（標準生命表）'!N5,IF(D25=$N$12+1,I24,0))</f>
        <v>0.99946499999999994</v>
      </c>
      <c r="J25" s="171">
        <f>IF(E25="",0,CalcPut($G$11,$G$15,$G$12,$G$13,$G$14,G25))</f>
        <v>4.390201659407162</v>
      </c>
      <c r="M25" s="125">
        <f>J25</f>
        <v>4.390201659407162</v>
      </c>
      <c r="N25" s="126">
        <f>H25</f>
        <v>5.350000000000632E-4</v>
      </c>
      <c r="O25" s="209">
        <f>M25*N25</f>
        <v>2.3487578877831091E-3</v>
      </c>
      <c r="P25"/>
      <c r="R25"/>
      <c r="S25"/>
      <c r="T25"/>
      <c r="U25"/>
      <c r="Y25" s="180">
        <f>IF($E25="",0,$G$11*$M$17*(1-EXP(-$M$16*G25))/$M$16)</f>
        <v>0.74178935061805673</v>
      </c>
      <c r="Z25" s="181">
        <f t="shared" ref="Z25:Z56" si="1">H25</f>
        <v>5.350000000000632E-4</v>
      </c>
      <c r="AA25" s="196">
        <f>I25</f>
        <v>0.99946499999999994</v>
      </c>
      <c r="AB25" s="204">
        <f>IF(D25=$N$12+1,$AA25,$Z25)*$Y25</f>
        <v>3.9685730258070726E-4</v>
      </c>
      <c r="AI25" s="21"/>
      <c r="AK25" s="183" t="str">
        <f>IF($D25=$N$12+1,$R$24,"")</f>
        <v/>
      </c>
      <c r="AL25" s="184" t="str">
        <f>IF($D25=$N$12+1,$S$24,"")</f>
        <v/>
      </c>
      <c r="AM25" s="185" t="str">
        <f>IF($D25=$N$12+1,$T$24,"")</f>
        <v/>
      </c>
    </row>
    <row r="26" spans="2:39" ht="18" x14ac:dyDescent="0.45">
      <c r="B26" s="22"/>
      <c r="C26" s="224">
        <f t="shared" si="0"/>
        <v>60.125</v>
      </c>
      <c r="D26" s="120">
        <v>2</v>
      </c>
      <c r="E26" s="167">
        <f t="shared" ref="E26:E57" si="2">IF(D26&lt;=$N$12,IF(F26=0.5,E25+1,E25),IF(D26=$N$12+1,E25+1,""))</f>
        <v>60</v>
      </c>
      <c r="F26" s="168">
        <f t="shared" ref="F26:F57" si="3">IF(D26&lt;=$N$12,IF(F25=11.5,0.5,F25+1),IF(D26=$N$12+1,0,""))</f>
        <v>1.5</v>
      </c>
      <c r="G26" s="192">
        <f t="shared" ref="G26:G89" si="4">IFERROR(E26-$E$24+F26/12,"")</f>
        <v>0.125</v>
      </c>
      <c r="H26" s="169">
        <f>IF(D26&lt;=$N$12+1,'死亡率（標準生命表）'!M5,0)</f>
        <v>5.3499999999984116E-4</v>
      </c>
      <c r="I26" s="170">
        <f>IF(D26&lt;$N$12+1,'死亡率（標準生命表）'!N6,IF(D26=$N$12+1,I25,0))</f>
        <v>0.9989300000000001</v>
      </c>
      <c r="J26" s="171">
        <f>IF(E26="",0,CalcPut($G$11,$G$15,$G$12,$G$13,$G$14,G26))</f>
        <v>8.0146235919426925</v>
      </c>
      <c r="M26" s="125">
        <f t="shared" ref="M26:M89" si="5">J26</f>
        <v>8.0146235919426925</v>
      </c>
      <c r="N26" s="126">
        <f t="shared" ref="N26:N89" si="6">H26</f>
        <v>5.3499999999984116E-4</v>
      </c>
      <c r="O26" s="209">
        <f t="shared" ref="O26:O89" si="7">M26*N26</f>
        <v>4.2878236216880678E-3</v>
      </c>
      <c r="P26"/>
      <c r="R26"/>
      <c r="S26"/>
      <c r="T26"/>
      <c r="U26"/>
      <c r="Y26" s="180">
        <f t="shared" ref="Y26:Y84" si="8">IF($E26="",0,$G$11*$M$17*(1-EXP(-$M$16*G26))/$M$16)</f>
        <v>2.2225785341801814</v>
      </c>
      <c r="Z26" s="181">
        <f t="shared" si="1"/>
        <v>5.3499999999984116E-4</v>
      </c>
      <c r="AA26" s="196">
        <f t="shared" ref="AA26:AA89" si="9">I26</f>
        <v>0.9989300000000001</v>
      </c>
      <c r="AB26" s="204">
        <f t="shared" ref="AB26:AB89" si="10">IF(D26=$N$12+1,$AA26,$Z26)*$Y26</f>
        <v>1.1890795157860441E-3</v>
      </c>
      <c r="AI26" s="21"/>
      <c r="AK26" s="183" t="str">
        <f t="shared" ref="AK26:AK89" si="11">IF($D26=$N$12+1,$R$24,"")</f>
        <v/>
      </c>
      <c r="AL26" s="184" t="str">
        <f t="shared" ref="AL26:AL89" si="12">IF($D26=$N$12+1,$S$24,"")</f>
        <v/>
      </c>
      <c r="AM26" s="185" t="str">
        <f t="shared" ref="AM26:AM89" si="13">IF($D26=$N$12+1,$T$24,"")</f>
        <v/>
      </c>
    </row>
    <row r="27" spans="2:39" ht="18" x14ac:dyDescent="0.45">
      <c r="B27" s="22"/>
      <c r="C27" s="224">
        <f t="shared" si="0"/>
        <v>60.208333333333336</v>
      </c>
      <c r="D27" s="120">
        <v>3</v>
      </c>
      <c r="E27" s="167">
        <f t="shared" si="2"/>
        <v>60</v>
      </c>
      <c r="F27" s="168">
        <f t="shared" si="3"/>
        <v>2.5</v>
      </c>
      <c r="G27" s="192">
        <f t="shared" si="4"/>
        <v>0.20833333333333334</v>
      </c>
      <c r="H27" s="169">
        <f>IF(D27&lt;=$N$12+1,'死亡率（標準生命表）'!M6,0)</f>
        <v>5.350000000000632E-4</v>
      </c>
      <c r="I27" s="170">
        <f>IF(D27&lt;$N$12+1,'死亡率（標準生命表）'!N7,IF(D27=$N$12+1,I26,0))</f>
        <v>0.99839500000000003</v>
      </c>
      <c r="J27" s="171">
        <f>IF(E27="",0,CalcPut($G$11,$G$15,$G$12,$G$13,$G$14,G27))</f>
        <v>10.714993453700766</v>
      </c>
      <c r="M27" s="125">
        <f t="shared" si="5"/>
        <v>10.714993453700766</v>
      </c>
      <c r="N27" s="126">
        <f t="shared" si="6"/>
        <v>5.350000000000632E-4</v>
      </c>
      <c r="O27" s="209">
        <f t="shared" si="7"/>
        <v>5.7325214977305868E-3</v>
      </c>
      <c r="P27"/>
      <c r="R27"/>
      <c r="S27"/>
      <c r="T27"/>
      <c r="U27"/>
      <c r="Y27" s="180">
        <f t="shared" si="8"/>
        <v>3.6996561304404234</v>
      </c>
      <c r="Z27" s="181">
        <f t="shared" si="1"/>
        <v>5.350000000000632E-4</v>
      </c>
      <c r="AA27" s="196">
        <f t="shared" si="9"/>
        <v>0.99839500000000003</v>
      </c>
      <c r="AB27" s="204">
        <f t="shared" si="10"/>
        <v>1.9793160297858605E-3</v>
      </c>
      <c r="AI27" s="21"/>
      <c r="AK27" s="183" t="str">
        <f t="shared" si="11"/>
        <v/>
      </c>
      <c r="AL27" s="184" t="str">
        <f t="shared" si="12"/>
        <v/>
      </c>
      <c r="AM27" s="185" t="str">
        <f t="shared" si="13"/>
        <v/>
      </c>
    </row>
    <row r="28" spans="2:39" ht="18" x14ac:dyDescent="0.45">
      <c r="B28" s="22"/>
      <c r="C28" s="224">
        <f t="shared" si="0"/>
        <v>60.291666666666664</v>
      </c>
      <c r="D28" s="120">
        <v>4</v>
      </c>
      <c r="E28" s="167">
        <f t="shared" si="2"/>
        <v>60</v>
      </c>
      <c r="F28" s="168">
        <f t="shared" si="3"/>
        <v>3.5</v>
      </c>
      <c r="G28" s="192">
        <f t="shared" si="4"/>
        <v>0.29166666666666669</v>
      </c>
      <c r="H28" s="169">
        <f>IF(D28&lt;=$N$12+1,'死亡率（標準生命表）'!M7,0)</f>
        <v>5.3499999999995218E-4</v>
      </c>
      <c r="I28" s="170">
        <f>IF(D28&lt;$N$12+1,'死亡率（標準生命表）'!N8,IF(D28=$N$12+1,I27,0))</f>
        <v>0.99786000000000008</v>
      </c>
      <c r="J28" s="171">
        <f>IF(E28="",0,CalcPut($G$11,$G$15,$G$12,$G$13,$G$14,G28))</f>
        <v>13.033953499502687</v>
      </c>
      <c r="M28" s="125">
        <f t="shared" si="5"/>
        <v>13.033953499502687</v>
      </c>
      <c r="N28" s="126">
        <f t="shared" si="6"/>
        <v>5.3499999999995218E-4</v>
      </c>
      <c r="O28" s="209">
        <f t="shared" si="7"/>
        <v>6.9731651222333137E-3</v>
      </c>
      <c r="P28"/>
      <c r="R28"/>
      <c r="S28"/>
      <c r="T28"/>
      <c r="U28"/>
      <c r="Y28" s="180">
        <f t="shared" si="8"/>
        <v>5.1730314424652715</v>
      </c>
      <c r="Z28" s="181">
        <f t="shared" si="1"/>
        <v>5.3499999999995218E-4</v>
      </c>
      <c r="AA28" s="196">
        <f t="shared" si="9"/>
        <v>0.99786000000000008</v>
      </c>
      <c r="AB28" s="204">
        <f t="shared" si="10"/>
        <v>2.7675718217186731E-3</v>
      </c>
      <c r="AI28" s="21"/>
      <c r="AK28" s="183" t="str">
        <f t="shared" si="11"/>
        <v/>
      </c>
      <c r="AL28" s="184" t="str">
        <f t="shared" si="12"/>
        <v/>
      </c>
      <c r="AM28" s="185" t="str">
        <f t="shared" si="13"/>
        <v/>
      </c>
    </row>
    <row r="29" spans="2:39" ht="18" x14ac:dyDescent="0.45">
      <c r="B29" s="22"/>
      <c r="C29" s="224">
        <f t="shared" si="0"/>
        <v>60.375</v>
      </c>
      <c r="D29" s="120">
        <v>5</v>
      </c>
      <c r="E29" s="167">
        <f t="shared" si="2"/>
        <v>60</v>
      </c>
      <c r="F29" s="168">
        <f t="shared" si="3"/>
        <v>4.5</v>
      </c>
      <c r="G29" s="192">
        <f t="shared" si="4"/>
        <v>0.375</v>
      </c>
      <c r="H29" s="169">
        <f>IF(D29&lt;=$N$12+1,'死亡率（標準生命表）'!M8,0)</f>
        <v>5.350000000000632E-4</v>
      </c>
      <c r="I29" s="170">
        <f>IF(D29&lt;$N$12+1,'死亡率（標準生命表）'!N9,IF(D29=$N$12+1,I28,0))</f>
        <v>0.99732500000000002</v>
      </c>
      <c r="J29" s="171">
        <f>IF(E29="",0,CalcPut($G$11,$G$15,$G$12,$G$13,$G$14,G29))</f>
        <v>15.129005263519758</v>
      </c>
      <c r="M29" s="125">
        <f t="shared" si="5"/>
        <v>15.129005263519758</v>
      </c>
      <c r="N29" s="126">
        <f t="shared" si="6"/>
        <v>5.350000000000632E-4</v>
      </c>
      <c r="O29" s="209">
        <f t="shared" si="7"/>
        <v>8.0940178159840271E-3</v>
      </c>
      <c r="P29"/>
      <c r="R29"/>
      <c r="S29"/>
      <c r="T29"/>
      <c r="U29"/>
      <c r="Y29" s="180">
        <f t="shared" si="8"/>
        <v>6.6427137500032263</v>
      </c>
      <c r="Z29" s="181">
        <f t="shared" si="1"/>
        <v>5.350000000000632E-4</v>
      </c>
      <c r="AA29" s="196">
        <f t="shared" si="9"/>
        <v>0.99732500000000002</v>
      </c>
      <c r="AB29" s="204">
        <f t="shared" si="10"/>
        <v>3.5538518562521458E-3</v>
      </c>
      <c r="AI29" s="21"/>
      <c r="AK29" s="183" t="str">
        <f t="shared" si="11"/>
        <v/>
      </c>
      <c r="AL29" s="184" t="str">
        <f t="shared" si="12"/>
        <v/>
      </c>
      <c r="AM29" s="185" t="str">
        <f t="shared" si="13"/>
        <v/>
      </c>
    </row>
    <row r="30" spans="2:39" ht="18" x14ac:dyDescent="0.45">
      <c r="B30" s="22"/>
      <c r="C30" s="224">
        <f t="shared" si="0"/>
        <v>60.458333333333336</v>
      </c>
      <c r="D30" s="120">
        <v>6</v>
      </c>
      <c r="E30" s="167">
        <f t="shared" si="2"/>
        <v>60</v>
      </c>
      <c r="F30" s="168">
        <f t="shared" si="3"/>
        <v>5.5</v>
      </c>
      <c r="G30" s="192">
        <f t="shared" si="4"/>
        <v>0.45833333333333331</v>
      </c>
      <c r="H30" s="169">
        <f>IF(D30&lt;=$N$12+1,'死亡率（標準生命表）'!M9,0)</f>
        <v>5.3499999999995218E-4</v>
      </c>
      <c r="I30" s="170">
        <f>IF(D30&lt;$N$12+1,'死亡率（標準生命表）'!N10,IF(D30=$N$12+1,I29,0))</f>
        <v>0.99679000000000006</v>
      </c>
      <c r="J30" s="171">
        <f>IF(E30="",0,CalcPut($G$11,$G$15,$G$12,$G$13,$G$14,G30))</f>
        <v>17.07210122539664</v>
      </c>
      <c r="M30" s="125">
        <f t="shared" si="5"/>
        <v>17.07210122539664</v>
      </c>
      <c r="N30" s="126">
        <f t="shared" si="6"/>
        <v>5.3499999999995218E-4</v>
      </c>
      <c r="O30" s="209">
        <f t="shared" si="7"/>
        <v>9.133574155586386E-3</v>
      </c>
      <c r="P30"/>
      <c r="R30"/>
      <c r="S30"/>
      <c r="T30"/>
      <c r="U30"/>
      <c r="Y30" s="180">
        <f t="shared" si="8"/>
        <v>8.1087123095430531</v>
      </c>
      <c r="Z30" s="181">
        <f t="shared" si="1"/>
        <v>5.3499999999995218E-4</v>
      </c>
      <c r="AA30" s="196">
        <f t="shared" si="9"/>
        <v>0.99679000000000006</v>
      </c>
      <c r="AB30" s="204">
        <f t="shared" si="10"/>
        <v>4.3381610856051455E-3</v>
      </c>
      <c r="AI30" s="21"/>
      <c r="AK30" s="183" t="str">
        <f t="shared" si="11"/>
        <v/>
      </c>
      <c r="AL30" s="184" t="str">
        <f t="shared" si="12"/>
        <v/>
      </c>
      <c r="AM30" s="185" t="str">
        <f t="shared" si="13"/>
        <v/>
      </c>
    </row>
    <row r="31" spans="2:39" ht="18" x14ac:dyDescent="0.45">
      <c r="B31" s="22"/>
      <c r="C31" s="224">
        <f t="shared" si="0"/>
        <v>60.541666666666664</v>
      </c>
      <c r="D31" s="120">
        <v>7</v>
      </c>
      <c r="E31" s="167">
        <f t="shared" si="2"/>
        <v>60</v>
      </c>
      <c r="F31" s="168">
        <f t="shared" si="3"/>
        <v>6.5</v>
      </c>
      <c r="G31" s="192">
        <f t="shared" si="4"/>
        <v>0.54166666666666663</v>
      </c>
      <c r="H31" s="169">
        <f>IF(D31&lt;=$N$12+1,'死亡率（標準生命表）'!M10,0)</f>
        <v>5.350000000000632E-4</v>
      </c>
      <c r="I31" s="170">
        <f>IF(D31&lt;$N$12+1,'死亡率（標準生命表）'!N11,IF(D31=$N$12+1,I30,0))</f>
        <v>0.996255</v>
      </c>
      <c r="J31" s="171">
        <f>IF(E31="",0,CalcPut($G$11,$G$15,$G$12,$G$13,$G$14,G31))</f>
        <v>18.903248901589972</v>
      </c>
      <c r="M31" s="125">
        <f t="shared" si="5"/>
        <v>18.903248901589972</v>
      </c>
      <c r="N31" s="126">
        <f t="shared" si="6"/>
        <v>5.350000000000632E-4</v>
      </c>
      <c r="O31" s="209">
        <f t="shared" si="7"/>
        <v>1.011323816235183E-2</v>
      </c>
      <c r="P31"/>
      <c r="R31"/>
      <c r="S31"/>
      <c r="T31"/>
      <c r="U31"/>
      <c r="Y31" s="180">
        <f t="shared" si="8"/>
        <v>9.5710363543723638</v>
      </c>
      <c r="Z31" s="181">
        <f t="shared" si="1"/>
        <v>5.350000000000632E-4</v>
      </c>
      <c r="AA31" s="196">
        <f t="shared" si="9"/>
        <v>0.996255</v>
      </c>
      <c r="AB31" s="204">
        <f t="shared" si="10"/>
        <v>5.1205044495898199E-3</v>
      </c>
      <c r="AI31" s="21"/>
      <c r="AK31" s="183" t="str">
        <f t="shared" si="11"/>
        <v/>
      </c>
      <c r="AL31" s="184" t="str">
        <f t="shared" si="12"/>
        <v/>
      </c>
      <c r="AM31" s="185" t="str">
        <f t="shared" si="13"/>
        <v/>
      </c>
    </row>
    <row r="32" spans="2:39" ht="18" x14ac:dyDescent="0.45">
      <c r="B32" s="22"/>
      <c r="C32" s="224">
        <f t="shared" si="0"/>
        <v>60.625</v>
      </c>
      <c r="D32" s="120">
        <v>8</v>
      </c>
      <c r="E32" s="167">
        <f t="shared" si="2"/>
        <v>60</v>
      </c>
      <c r="F32" s="168">
        <f t="shared" si="3"/>
        <v>7.5</v>
      </c>
      <c r="G32" s="192">
        <f t="shared" si="4"/>
        <v>0.625</v>
      </c>
      <c r="H32" s="169">
        <f>IF(D32&lt;=$N$12+1,'死亡率（標準生命表）'!M11,0)</f>
        <v>5.3499999999995218E-4</v>
      </c>
      <c r="I32" s="170">
        <f>IF(D32&lt;$N$12+1,'死亡率（標準生命表）'!N12,IF(D32=$N$12+1,I31,0))</f>
        <v>0.99572000000000005</v>
      </c>
      <c r="J32" s="171">
        <f>IF(E32="",0,CalcPut($G$11,$G$15,$G$12,$G$13,$G$14,G32))</f>
        <v>20.647397799010193</v>
      </c>
      <c r="M32" s="125">
        <f t="shared" si="5"/>
        <v>20.647397799010193</v>
      </c>
      <c r="N32" s="126">
        <f t="shared" si="6"/>
        <v>5.3499999999995218E-4</v>
      </c>
      <c r="O32" s="209">
        <f t="shared" si="7"/>
        <v>1.1046357822469466E-2</v>
      </c>
      <c r="P32"/>
      <c r="R32"/>
      <c r="S32"/>
      <c r="T32"/>
      <c r="U32"/>
      <c r="Y32" s="180">
        <f t="shared" si="8"/>
        <v>11.029695094635462</v>
      </c>
      <c r="Z32" s="181">
        <f t="shared" si="1"/>
        <v>5.3499999999995218E-4</v>
      </c>
      <c r="AA32" s="196">
        <f t="shared" si="9"/>
        <v>0.99572000000000005</v>
      </c>
      <c r="AB32" s="204">
        <f t="shared" si="10"/>
        <v>5.900886875629445E-3</v>
      </c>
      <c r="AI32" s="21"/>
      <c r="AK32" s="183" t="str">
        <f t="shared" si="11"/>
        <v/>
      </c>
      <c r="AL32" s="184" t="str">
        <f t="shared" si="12"/>
        <v/>
      </c>
      <c r="AM32" s="185" t="str">
        <f t="shared" si="13"/>
        <v/>
      </c>
    </row>
    <row r="33" spans="2:39" ht="18" x14ac:dyDescent="0.45">
      <c r="B33" s="22"/>
      <c r="C33" s="224">
        <f t="shared" si="0"/>
        <v>60.708333333333336</v>
      </c>
      <c r="D33" s="120">
        <v>9</v>
      </c>
      <c r="E33" s="167">
        <f t="shared" si="2"/>
        <v>60</v>
      </c>
      <c r="F33" s="168">
        <f t="shared" si="3"/>
        <v>8.5</v>
      </c>
      <c r="G33" s="192">
        <f t="shared" si="4"/>
        <v>0.70833333333333337</v>
      </c>
      <c r="H33" s="169">
        <f>IF(D33&lt;=$N$12+1,'死亡率（標準生命表）'!M12,0)</f>
        <v>5.350000000000632E-4</v>
      </c>
      <c r="I33" s="170">
        <f>IF(D33&lt;$N$12+1,'死亡率（標準生命表）'!N13,IF(D33=$N$12+1,I32,0))</f>
        <v>0.99518499999999999</v>
      </c>
      <c r="J33" s="171">
        <f>IF(E33="",0,CalcPut($G$11,$G$15,$G$12,$G$13,$G$14,G33))</f>
        <v>22.321338095017897</v>
      </c>
      <c r="M33" s="125">
        <f t="shared" si="5"/>
        <v>22.321338095017897</v>
      </c>
      <c r="N33" s="126">
        <f t="shared" si="6"/>
        <v>5.350000000000632E-4</v>
      </c>
      <c r="O33" s="209">
        <f t="shared" si="7"/>
        <v>1.1941915880835985E-2</v>
      </c>
      <c r="P33"/>
      <c r="R33"/>
      <c r="S33"/>
      <c r="T33"/>
      <c r="U33"/>
      <c r="Y33" s="180">
        <f t="shared" si="8"/>
        <v>12.484697717391615</v>
      </c>
      <c r="Z33" s="181">
        <f t="shared" si="1"/>
        <v>5.350000000000632E-4</v>
      </c>
      <c r="AA33" s="196">
        <f t="shared" si="9"/>
        <v>0.99518499999999999</v>
      </c>
      <c r="AB33" s="204">
        <f t="shared" si="10"/>
        <v>6.6793132788053036E-3</v>
      </c>
      <c r="AI33" s="21"/>
      <c r="AK33" s="183" t="str">
        <f t="shared" si="11"/>
        <v/>
      </c>
      <c r="AL33" s="184" t="str">
        <f t="shared" si="12"/>
        <v/>
      </c>
      <c r="AM33" s="185" t="str">
        <f t="shared" si="13"/>
        <v/>
      </c>
    </row>
    <row r="34" spans="2:39" ht="18" x14ac:dyDescent="0.45">
      <c r="B34" s="22"/>
      <c r="C34" s="224">
        <f t="shared" si="0"/>
        <v>60.791666666666664</v>
      </c>
      <c r="D34" s="120">
        <v>10</v>
      </c>
      <c r="E34" s="167">
        <f t="shared" si="2"/>
        <v>60</v>
      </c>
      <c r="F34" s="168">
        <f t="shared" si="3"/>
        <v>9.5</v>
      </c>
      <c r="G34" s="192">
        <f t="shared" si="4"/>
        <v>0.79166666666666663</v>
      </c>
      <c r="H34" s="169">
        <f>IF(D34&lt;=$N$12+1,'死亡率（標準生命表）'!M13,0)</f>
        <v>5.3499999999995218E-4</v>
      </c>
      <c r="I34" s="170">
        <f>IF(D34&lt;$N$12+1,'死亡率（標準生命表）'!N14,IF(D34=$N$12+1,I33,0))</f>
        <v>0.99465000000000003</v>
      </c>
      <c r="J34" s="171">
        <f>IF(E34="",0,CalcPut($G$11,$G$15,$G$12,$G$13,$G$14,G34))</f>
        <v>23.937002121042973</v>
      </c>
      <c r="M34" s="125">
        <f t="shared" si="5"/>
        <v>23.937002121042973</v>
      </c>
      <c r="N34" s="126">
        <f t="shared" si="6"/>
        <v>5.3499999999995218E-4</v>
      </c>
      <c r="O34" s="209">
        <f t="shared" si="7"/>
        <v>1.2806296134756846E-2</v>
      </c>
      <c r="P34"/>
      <c r="R34"/>
      <c r="S34"/>
      <c r="T34"/>
      <c r="U34"/>
      <c r="Y34" s="180">
        <f t="shared" si="8"/>
        <v>13.936053386672627</v>
      </c>
      <c r="Z34" s="181">
        <f t="shared" si="1"/>
        <v>5.3499999999995218E-4</v>
      </c>
      <c r="AA34" s="196">
        <f t="shared" si="9"/>
        <v>0.99465000000000003</v>
      </c>
      <c r="AB34" s="204">
        <f t="shared" si="10"/>
        <v>7.4557885618691897E-3</v>
      </c>
      <c r="AI34" s="21"/>
      <c r="AK34" s="183" t="str">
        <f t="shared" si="11"/>
        <v/>
      </c>
      <c r="AL34" s="184" t="str">
        <f t="shared" si="12"/>
        <v/>
      </c>
      <c r="AM34" s="185" t="str">
        <f t="shared" si="13"/>
        <v/>
      </c>
    </row>
    <row r="35" spans="2:39" ht="18" x14ac:dyDescent="0.45">
      <c r="B35" s="22"/>
      <c r="C35" s="224">
        <f t="shared" si="0"/>
        <v>60.875</v>
      </c>
      <c r="D35" s="120">
        <v>11</v>
      </c>
      <c r="E35" s="167">
        <f t="shared" si="2"/>
        <v>60</v>
      </c>
      <c r="F35" s="168">
        <f t="shared" si="3"/>
        <v>10.5</v>
      </c>
      <c r="G35" s="192">
        <f t="shared" si="4"/>
        <v>0.875</v>
      </c>
      <c r="H35" s="169">
        <f>IF(D35&lt;=$N$12+1,'死亡率（標準生命表）'!M14,0)</f>
        <v>5.350000000000632E-4</v>
      </c>
      <c r="I35" s="170">
        <f>IF(D35&lt;$N$12+1,'死亡率（標準生命表）'!N15,IF(D35=$N$12+1,I34,0))</f>
        <v>0.99411499999999997</v>
      </c>
      <c r="J35" s="171">
        <f>IF(E35="",0,CalcPut($G$11,$G$15,$G$12,$G$13,$G$14,G35))</f>
        <v>25.503225325510662</v>
      </c>
      <c r="M35" s="125">
        <f t="shared" si="5"/>
        <v>25.503225325510662</v>
      </c>
      <c r="N35" s="126">
        <f t="shared" si="6"/>
        <v>5.350000000000632E-4</v>
      </c>
      <c r="O35" s="209">
        <f t="shared" si="7"/>
        <v>1.3644225549149817E-2</v>
      </c>
      <c r="P35"/>
      <c r="R35"/>
      <c r="S35"/>
      <c r="T35"/>
      <c r="U35"/>
      <c r="Y35" s="180">
        <f t="shared" si="8"/>
        <v>15.383771243540842</v>
      </c>
      <c r="Z35" s="181">
        <f t="shared" si="1"/>
        <v>5.350000000000632E-4</v>
      </c>
      <c r="AA35" s="196">
        <f t="shared" si="9"/>
        <v>0.99411499999999997</v>
      </c>
      <c r="AB35" s="204">
        <f t="shared" si="10"/>
        <v>8.2303176152953225E-3</v>
      </c>
      <c r="AI35" s="21"/>
      <c r="AK35" s="183" t="str">
        <f t="shared" si="11"/>
        <v/>
      </c>
      <c r="AL35" s="184" t="str">
        <f t="shared" si="12"/>
        <v/>
      </c>
      <c r="AM35" s="185" t="str">
        <f t="shared" si="13"/>
        <v/>
      </c>
    </row>
    <row r="36" spans="2:39" ht="18" x14ac:dyDescent="0.45">
      <c r="B36" s="22"/>
      <c r="C36" s="224">
        <f t="shared" si="0"/>
        <v>60.958333333333336</v>
      </c>
      <c r="D36" s="120">
        <v>12</v>
      </c>
      <c r="E36" s="167">
        <f t="shared" si="2"/>
        <v>60</v>
      </c>
      <c r="F36" s="168">
        <f t="shared" si="3"/>
        <v>11.5</v>
      </c>
      <c r="G36" s="192">
        <f t="shared" si="4"/>
        <v>0.95833333333333337</v>
      </c>
      <c r="H36" s="169">
        <f>IF(D36&lt;=$N$12+1,'死亡率（標準生命表）'!M15,0)</f>
        <v>5.3499999999995218E-4</v>
      </c>
      <c r="I36" s="170">
        <f>IF(D36&lt;$N$12+1,'死亡率（標準生命表）'!N16,IF(D36=$N$12+1,I35,0))</f>
        <v>0.99358000000000002</v>
      </c>
      <c r="J36" s="171">
        <f>IF(E36="",0,CalcPut($G$11,$G$15,$G$12,$G$13,$G$14,G36))</f>
        <v>27.026763370387815</v>
      </c>
      <c r="M36" s="125">
        <f t="shared" si="5"/>
        <v>27.026763370387815</v>
      </c>
      <c r="N36" s="126">
        <f t="shared" si="6"/>
        <v>5.3499999999995218E-4</v>
      </c>
      <c r="O36" s="209">
        <f t="shared" si="7"/>
        <v>1.445931840315619E-2</v>
      </c>
      <c r="P36"/>
      <c r="R36"/>
      <c r="S36"/>
      <c r="T36"/>
      <c r="U36"/>
      <c r="Y36" s="180">
        <f t="shared" si="8"/>
        <v>16.827860406146602</v>
      </c>
      <c r="Z36" s="181">
        <f t="shared" si="1"/>
        <v>5.3499999999995218E-4</v>
      </c>
      <c r="AA36" s="196">
        <f t="shared" si="9"/>
        <v>0.99358000000000002</v>
      </c>
      <c r="AB36" s="204">
        <f t="shared" si="10"/>
        <v>9.002905317287627E-3</v>
      </c>
      <c r="AI36" s="21"/>
      <c r="AK36" s="183" t="str">
        <f t="shared" si="11"/>
        <v/>
      </c>
      <c r="AL36" s="184" t="str">
        <f t="shared" si="12"/>
        <v/>
      </c>
      <c r="AM36" s="185" t="str">
        <f t="shared" si="13"/>
        <v/>
      </c>
    </row>
    <row r="37" spans="2:39" ht="18" x14ac:dyDescent="0.45">
      <c r="B37" s="22"/>
      <c r="C37" s="224">
        <f t="shared" si="0"/>
        <v>61.041666666666664</v>
      </c>
      <c r="D37" s="120">
        <v>13</v>
      </c>
      <c r="E37" s="167">
        <f t="shared" si="2"/>
        <v>61</v>
      </c>
      <c r="F37" s="168">
        <f t="shared" si="3"/>
        <v>0.5</v>
      </c>
      <c r="G37" s="192">
        <f t="shared" si="4"/>
        <v>1.0416666666666667</v>
      </c>
      <c r="H37" s="169">
        <f>IF(D37&lt;=$N$12+1,'死亡率（標準生命表）'!M16,0)</f>
        <v>5.6137270000011785E-4</v>
      </c>
      <c r="I37" s="170">
        <f>IF(D37&lt;$N$12+1,'死亡率（標準生命表）'!N17,IF(D37=$N$12+1,I36,0))</f>
        <v>0.9930186272999999</v>
      </c>
      <c r="J37" s="171">
        <f>IF(E37="",0,CalcPut($G$11,$G$15,$G$12,$G$13,$G$14,G37))</f>
        <v>28.512916646820184</v>
      </c>
      <c r="M37" s="125">
        <f t="shared" si="5"/>
        <v>28.512916646820184</v>
      </c>
      <c r="N37" s="126">
        <f t="shared" si="6"/>
        <v>5.6137270000011785E-4</v>
      </c>
      <c r="O37" s="209">
        <f t="shared" si="7"/>
        <v>1.6006373002903754E-2</v>
      </c>
      <c r="P37"/>
      <c r="R37"/>
      <c r="S37"/>
      <c r="T37"/>
      <c r="U37"/>
      <c r="Y37" s="180">
        <f t="shared" si="8"/>
        <v>18.268329969785643</v>
      </c>
      <c r="Z37" s="181">
        <f t="shared" si="1"/>
        <v>5.6137270000011785E-4</v>
      </c>
      <c r="AA37" s="196">
        <f t="shared" si="9"/>
        <v>0.9930186272999999</v>
      </c>
      <c r="AB37" s="204">
        <f t="shared" si="10"/>
        <v>1.0255341719631638E-2</v>
      </c>
      <c r="AI37" s="21"/>
      <c r="AK37" s="183" t="str">
        <f t="shared" si="11"/>
        <v/>
      </c>
      <c r="AL37" s="184" t="str">
        <f t="shared" si="12"/>
        <v/>
      </c>
      <c r="AM37" s="185" t="str">
        <f t="shared" si="13"/>
        <v/>
      </c>
    </row>
    <row r="38" spans="2:39" ht="18" x14ac:dyDescent="0.45">
      <c r="B38" s="22"/>
      <c r="C38" s="224">
        <f t="shared" si="0"/>
        <v>61.125</v>
      </c>
      <c r="D38" s="120">
        <v>14</v>
      </c>
      <c r="E38" s="167">
        <f t="shared" si="2"/>
        <v>61</v>
      </c>
      <c r="F38" s="168">
        <f t="shared" si="3"/>
        <v>1.5</v>
      </c>
      <c r="G38" s="192">
        <f t="shared" si="4"/>
        <v>1.125</v>
      </c>
      <c r="H38" s="169">
        <f>IF(D38&lt;=$N$12+1,'死亡率（標準生命表）'!M17,0)</f>
        <v>5.6137269999978479E-4</v>
      </c>
      <c r="I38" s="170">
        <f>IF(D38&lt;$N$12+1,'死亡率（標準生命表）'!N18,IF(D38=$N$12+1,I37,0))</f>
        <v>0.99245725460000012</v>
      </c>
      <c r="J38" s="171">
        <f>IF(E38="",0,CalcPut($G$11,$G$15,$G$12,$G$13,$G$14,G38))</f>
        <v>29.965932839092151</v>
      </c>
      <c r="M38" s="125">
        <f t="shared" si="5"/>
        <v>29.965932839092151</v>
      </c>
      <c r="N38" s="126">
        <f t="shared" si="6"/>
        <v>5.6137269999978479E-4</v>
      </c>
      <c r="O38" s="209">
        <f t="shared" si="7"/>
        <v>1.6822056625893377E-2</v>
      </c>
      <c r="P38"/>
      <c r="R38"/>
      <c r="S38"/>
      <c r="T38"/>
      <c r="U38"/>
      <c r="Y38" s="180">
        <f t="shared" si="8"/>
        <v>19.70518900695637</v>
      </c>
      <c r="Z38" s="181">
        <f t="shared" si="1"/>
        <v>5.6137269999978479E-4</v>
      </c>
      <c r="AA38" s="196">
        <f t="shared" si="9"/>
        <v>0.99245725460000012</v>
      </c>
      <c r="AB38" s="204">
        <f t="shared" si="10"/>
        <v>1.1061955156841176E-2</v>
      </c>
      <c r="AI38" s="21"/>
      <c r="AK38" s="183" t="str">
        <f t="shared" si="11"/>
        <v/>
      </c>
      <c r="AL38" s="184" t="str">
        <f t="shared" si="12"/>
        <v/>
      </c>
      <c r="AM38" s="185" t="str">
        <f t="shared" si="13"/>
        <v/>
      </c>
    </row>
    <row r="39" spans="2:39" ht="18" x14ac:dyDescent="0.45">
      <c r="B39" s="22"/>
      <c r="C39" s="224">
        <f t="shared" si="0"/>
        <v>61.208333333333336</v>
      </c>
      <c r="D39" s="120">
        <v>15</v>
      </c>
      <c r="E39" s="167">
        <f t="shared" si="2"/>
        <v>61</v>
      </c>
      <c r="F39" s="168">
        <f t="shared" si="3"/>
        <v>2.5</v>
      </c>
      <c r="G39" s="192">
        <f t="shared" si="4"/>
        <v>1.2083333333333333</v>
      </c>
      <c r="H39" s="169">
        <f>IF(D39&lt;=$N$12+1,'死亡率（標準生命表）'!M18,0)</f>
        <v>5.6137270000011785E-4</v>
      </c>
      <c r="I39" s="170">
        <f>IF(D39&lt;$N$12+1,'死亡率（標準生命表）'!N19,IF(D39=$N$12+1,I38,0))</f>
        <v>0.9918958819</v>
      </c>
      <c r="J39" s="171">
        <f>IF(E39="",0,CalcPut($G$11,$G$15,$G$12,$G$13,$G$14,G39))</f>
        <v>31.389276904169531</v>
      </c>
      <c r="M39" s="125">
        <f t="shared" si="5"/>
        <v>31.389276904169531</v>
      </c>
      <c r="N39" s="126">
        <f t="shared" si="6"/>
        <v>5.6137270000011785E-4</v>
      </c>
      <c r="O39" s="209">
        <f t="shared" si="7"/>
        <v>1.7621083126744989E-2</v>
      </c>
      <c r="P39"/>
      <c r="R39"/>
      <c r="S39"/>
      <c r="T39"/>
      <c r="U39"/>
      <c r="Y39" s="180">
        <f t="shared" si="8"/>
        <v>21.138446567417105</v>
      </c>
      <c r="Z39" s="181">
        <f t="shared" si="1"/>
        <v>5.6137270000011785E-4</v>
      </c>
      <c r="AA39" s="196">
        <f t="shared" si="9"/>
        <v>0.9918958819</v>
      </c>
      <c r="AB39" s="204">
        <f t="shared" si="10"/>
        <v>1.1866546823359164E-2</v>
      </c>
      <c r="AI39" s="21"/>
      <c r="AK39" s="183" t="str">
        <f t="shared" si="11"/>
        <v/>
      </c>
      <c r="AL39" s="184" t="str">
        <f t="shared" si="12"/>
        <v/>
      </c>
      <c r="AM39" s="185" t="str">
        <f t="shared" si="13"/>
        <v/>
      </c>
    </row>
    <row r="40" spans="2:39" ht="18" x14ac:dyDescent="0.45">
      <c r="B40" s="22"/>
      <c r="C40" s="224">
        <f t="shared" si="0"/>
        <v>61.291666666666664</v>
      </c>
      <c r="D40" s="120">
        <v>16</v>
      </c>
      <c r="E40" s="167">
        <f t="shared" si="2"/>
        <v>61</v>
      </c>
      <c r="F40" s="168">
        <f t="shared" si="3"/>
        <v>3.5</v>
      </c>
      <c r="G40" s="192">
        <f t="shared" si="4"/>
        <v>1.2916666666666667</v>
      </c>
      <c r="H40" s="169">
        <f>IF(D40&lt;=$N$12+1,'死亡率（標準生命表）'!M19,0)</f>
        <v>5.6137269999989581E-4</v>
      </c>
      <c r="I40" s="170">
        <f>IF(D40&lt;$N$12+1,'死亡率（標準生命表）'!N20,IF(D40=$N$12+1,I39,0))</f>
        <v>0.9913345092000001</v>
      </c>
      <c r="J40" s="171">
        <f>IF(E40="",0,CalcPut($G$11,$G$15,$G$12,$G$13,$G$14,G40))</f>
        <v>32.78581819694373</v>
      </c>
      <c r="M40" s="125">
        <f t="shared" si="5"/>
        <v>32.78581819694373</v>
      </c>
      <c r="N40" s="126">
        <f t="shared" si="6"/>
        <v>5.6137269999989581E-4</v>
      </c>
      <c r="O40" s="209">
        <f t="shared" si="7"/>
        <v>1.8405063282924017E-2</v>
      </c>
      <c r="P40"/>
      <c r="R40"/>
      <c r="S40"/>
      <c r="T40"/>
      <c r="U40"/>
      <c r="Y40" s="180">
        <f t="shared" si="8"/>
        <v>22.568111678242975</v>
      </c>
      <c r="Z40" s="181">
        <f t="shared" si="1"/>
        <v>5.6137269999989581E-4</v>
      </c>
      <c r="AA40" s="196">
        <f t="shared" si="9"/>
        <v>0.9913345092000001</v>
      </c>
      <c r="AB40" s="204">
        <f t="shared" si="10"/>
        <v>1.2669121786714439E-2</v>
      </c>
      <c r="AI40" s="21"/>
      <c r="AK40" s="183" t="str">
        <f t="shared" si="11"/>
        <v/>
      </c>
      <c r="AL40" s="184" t="str">
        <f t="shared" si="12"/>
        <v/>
      </c>
      <c r="AM40" s="185" t="str">
        <f t="shared" si="13"/>
        <v/>
      </c>
    </row>
    <row r="41" spans="2:39" ht="18" x14ac:dyDescent="0.45">
      <c r="B41" s="22"/>
      <c r="C41" s="224">
        <f t="shared" si="0"/>
        <v>61.375</v>
      </c>
      <c r="D41" s="120">
        <v>17</v>
      </c>
      <c r="E41" s="167">
        <f t="shared" si="2"/>
        <v>61</v>
      </c>
      <c r="F41" s="168">
        <f t="shared" si="3"/>
        <v>4.5</v>
      </c>
      <c r="G41" s="192">
        <f t="shared" si="4"/>
        <v>1.375</v>
      </c>
      <c r="H41" s="169">
        <f>IF(D41&lt;=$N$12+1,'死亡率（標準生命表）'!M20,0)</f>
        <v>5.6137270000011785E-4</v>
      </c>
      <c r="I41" s="170">
        <f>IF(D41&lt;$N$12+1,'死亡率（標準生命表）'!N21,IF(D41=$N$12+1,I40,0))</f>
        <v>0.99077313649999998</v>
      </c>
      <c r="J41" s="171">
        <f>IF(E41="",0,CalcPut($G$11,$G$15,$G$12,$G$13,$G$14,G41))</f>
        <v>34.157963830056232</v>
      </c>
      <c r="M41" s="125">
        <f t="shared" si="5"/>
        <v>34.157963830056232</v>
      </c>
      <c r="N41" s="126">
        <f t="shared" si="6"/>
        <v>5.6137270000011785E-4</v>
      </c>
      <c r="O41" s="209">
        <f t="shared" si="7"/>
        <v>1.9175348381785032E-2</v>
      </c>
      <c r="P41"/>
      <c r="R41"/>
      <c r="S41"/>
      <c r="T41"/>
      <c r="U41"/>
      <c r="Y41" s="180">
        <f t="shared" si="8"/>
        <v>23.994193343882856</v>
      </c>
      <c r="Z41" s="181">
        <f t="shared" si="1"/>
        <v>5.6137270000011785E-4</v>
      </c>
      <c r="AA41" s="196">
        <f t="shared" si="9"/>
        <v>0.99077313649999998</v>
      </c>
      <c r="AB41" s="204">
        <f t="shared" si="10"/>
        <v>1.3469685101780374E-2</v>
      </c>
      <c r="AI41" s="21"/>
      <c r="AK41" s="183" t="str">
        <f t="shared" si="11"/>
        <v/>
      </c>
      <c r="AL41" s="184" t="str">
        <f t="shared" si="12"/>
        <v/>
      </c>
      <c r="AM41" s="185" t="str">
        <f t="shared" si="13"/>
        <v/>
      </c>
    </row>
    <row r="42" spans="2:39" ht="18" x14ac:dyDescent="0.45">
      <c r="B42" s="22"/>
      <c r="C42" s="224">
        <f t="shared" si="0"/>
        <v>61.458333333333336</v>
      </c>
      <c r="D42" s="120">
        <v>18</v>
      </c>
      <c r="E42" s="167">
        <f t="shared" si="2"/>
        <v>61</v>
      </c>
      <c r="F42" s="168">
        <f t="shared" si="3"/>
        <v>5.5</v>
      </c>
      <c r="G42" s="192">
        <f t="shared" si="4"/>
        <v>1.4583333333333333</v>
      </c>
      <c r="H42" s="169">
        <f>IF(D42&lt;=$N$12+1,'死亡率（標準生命表）'!M21,0)</f>
        <v>5.6137269999989581E-4</v>
      </c>
      <c r="I42" s="170">
        <f>IF(D42&lt;$N$12+1,'死亡率（標準生命表）'!N22,IF(D42=$N$12+1,I41,0))</f>
        <v>0.99021176380000009</v>
      </c>
      <c r="J42" s="171">
        <f>IF(E42="",0,CalcPut($G$11,$G$15,$G$12,$G$13,$G$14,G42))</f>
        <v>35.507756010648173</v>
      </c>
      <c r="M42" s="125">
        <f t="shared" si="5"/>
        <v>35.507756010648173</v>
      </c>
      <c r="N42" s="126">
        <f t="shared" si="6"/>
        <v>5.6137269999989581E-4</v>
      </c>
      <c r="O42" s="209">
        <f t="shared" si="7"/>
        <v>1.9933084862635096E-2</v>
      </c>
      <c r="P42"/>
      <c r="R42"/>
      <c r="S42"/>
      <c r="T42"/>
      <c r="U42"/>
      <c r="Y42" s="180">
        <f t="shared" si="8"/>
        <v>25.416700546216024</v>
      </c>
      <c r="Z42" s="181">
        <f t="shared" si="1"/>
        <v>5.6137269999989581E-4</v>
      </c>
      <c r="AA42" s="196">
        <f t="shared" si="9"/>
        <v>0.99021176380000009</v>
      </c>
      <c r="AB42" s="204">
        <f t="shared" si="10"/>
        <v>1.4268241810718115E-2</v>
      </c>
      <c r="AI42" s="21"/>
      <c r="AK42" s="183" t="str">
        <f t="shared" si="11"/>
        <v/>
      </c>
      <c r="AL42" s="184" t="str">
        <f t="shared" si="12"/>
        <v/>
      </c>
      <c r="AM42" s="185" t="str">
        <f t="shared" si="13"/>
        <v/>
      </c>
    </row>
    <row r="43" spans="2:39" ht="18" x14ac:dyDescent="0.45">
      <c r="B43" s="22"/>
      <c r="C43" s="224">
        <f t="shared" si="0"/>
        <v>61.541666666666664</v>
      </c>
      <c r="D43" s="120">
        <v>19</v>
      </c>
      <c r="E43" s="167">
        <f t="shared" si="2"/>
        <v>61</v>
      </c>
      <c r="F43" s="168">
        <f t="shared" si="3"/>
        <v>6.5</v>
      </c>
      <c r="G43" s="192">
        <f t="shared" si="4"/>
        <v>1.5416666666666665</v>
      </c>
      <c r="H43" s="169">
        <f>IF(D43&lt;=$N$12+1,'死亡率（標準生命表）'!M22,0)</f>
        <v>5.6137270000000683E-4</v>
      </c>
      <c r="I43" s="170">
        <f>IF(D43&lt;$N$12+1,'死亡率（標準生命表）'!N23,IF(D43=$N$12+1,I42,0))</f>
        <v>0.98965039110000008</v>
      </c>
      <c r="J43" s="171">
        <f>IF(E43="",0,CalcPut($G$11,$G$15,$G$12,$G$13,$G$14,G43))</f>
        <v>36.836944568488661</v>
      </c>
      <c r="M43" s="125">
        <f t="shared" si="5"/>
        <v>36.836944568488661</v>
      </c>
      <c r="N43" s="126">
        <f t="shared" si="6"/>
        <v>5.6137270000000683E-4</v>
      </c>
      <c r="O43" s="209">
        <f t="shared" si="7"/>
        <v>2.0679255032163068E-2</v>
      </c>
      <c r="P43"/>
      <c r="R43"/>
      <c r="S43"/>
      <c r="T43"/>
      <c r="U43"/>
      <c r="Y43" s="180">
        <f t="shared" si="8"/>
        <v>26.835642244608582</v>
      </c>
      <c r="Z43" s="181">
        <f t="shared" si="1"/>
        <v>5.6137270000000683E-4</v>
      </c>
      <c r="AA43" s="196">
        <f t="shared" si="9"/>
        <v>0.98965039110000008</v>
      </c>
      <c r="AB43" s="204">
        <f t="shared" si="10"/>
        <v>1.5064796943090163E-2</v>
      </c>
      <c r="AI43" s="21"/>
      <c r="AK43" s="183" t="str">
        <f t="shared" si="11"/>
        <v/>
      </c>
      <c r="AL43" s="184" t="str">
        <f t="shared" si="12"/>
        <v/>
      </c>
      <c r="AM43" s="185" t="str">
        <f t="shared" si="13"/>
        <v/>
      </c>
    </row>
    <row r="44" spans="2:39" ht="18" x14ac:dyDescent="0.45">
      <c r="B44" s="22"/>
      <c r="C44" s="224">
        <f t="shared" si="0"/>
        <v>61.625</v>
      </c>
      <c r="D44" s="120">
        <v>20</v>
      </c>
      <c r="E44" s="167">
        <f t="shared" si="2"/>
        <v>61</v>
      </c>
      <c r="F44" s="168">
        <f t="shared" si="3"/>
        <v>7.5</v>
      </c>
      <c r="G44" s="192">
        <f t="shared" si="4"/>
        <v>1.625</v>
      </c>
      <c r="H44" s="169">
        <f>IF(D44&lt;=$N$12+1,'死亡率（標準生命表）'!M23,0)</f>
        <v>5.6137270000000683E-4</v>
      </c>
      <c r="I44" s="170">
        <f>IF(D44&lt;$N$12+1,'死亡率（標準生命表）'!N24,IF(D44=$N$12+1,I43,0))</f>
        <v>0.98908901840000008</v>
      </c>
      <c r="J44" s="171">
        <f>IF(E44="",0,CalcPut($G$11,$G$15,$G$12,$G$13,$G$14,G44))</f>
        <v>38.147041985247256</v>
      </c>
      <c r="M44" s="125">
        <f t="shared" si="5"/>
        <v>38.147041985247256</v>
      </c>
      <c r="N44" s="126">
        <f t="shared" si="6"/>
        <v>5.6137270000000683E-4</v>
      </c>
      <c r="O44" s="209">
        <f t="shared" si="7"/>
        <v>2.1414707956271872E-2</v>
      </c>
      <c r="P44"/>
      <c r="R44"/>
      <c r="S44"/>
      <c r="T44"/>
      <c r="U44"/>
      <c r="Y44" s="180">
        <f t="shared" si="8"/>
        <v>28.251027375970338</v>
      </c>
      <c r="Z44" s="181">
        <f t="shared" si="1"/>
        <v>5.6137270000000683E-4</v>
      </c>
      <c r="AA44" s="196">
        <f t="shared" si="9"/>
        <v>0.98908901840000008</v>
      </c>
      <c r="AB44" s="204">
        <f t="shared" si="10"/>
        <v>1.5859355515822578E-2</v>
      </c>
      <c r="AI44" s="21"/>
      <c r="AK44" s="183" t="str">
        <f t="shared" si="11"/>
        <v/>
      </c>
      <c r="AL44" s="184" t="str">
        <f t="shared" si="12"/>
        <v/>
      </c>
      <c r="AM44" s="185" t="str">
        <f t="shared" si="13"/>
        <v/>
      </c>
    </row>
    <row r="45" spans="2:39" ht="18" x14ac:dyDescent="0.45">
      <c r="B45" s="22"/>
      <c r="C45" s="224">
        <f t="shared" si="0"/>
        <v>61.708333333333336</v>
      </c>
      <c r="D45" s="120">
        <v>21</v>
      </c>
      <c r="E45" s="167">
        <f t="shared" si="2"/>
        <v>61</v>
      </c>
      <c r="F45" s="168">
        <f t="shared" si="3"/>
        <v>8.5</v>
      </c>
      <c r="G45" s="192">
        <f t="shared" si="4"/>
        <v>1.7083333333333335</v>
      </c>
      <c r="H45" s="169">
        <f>IF(D45&lt;=$N$12+1,'死亡率（標準生命表）'!M24,0)</f>
        <v>5.6137270000000683E-4</v>
      </c>
      <c r="I45" s="170">
        <f>IF(D45&lt;$N$12+1,'死亡率（標準生命表）'!N25,IF(D45=$N$12+1,I44,0))</f>
        <v>0.98852764570000007</v>
      </c>
      <c r="J45" s="171">
        <f>IF(E45="",0,CalcPut($G$11,$G$15,$G$12,$G$13,$G$14,G45))</f>
        <v>39.439365819050664</v>
      </c>
      <c r="M45" s="125">
        <f t="shared" si="5"/>
        <v>39.439365819050664</v>
      </c>
      <c r="N45" s="126">
        <f t="shared" si="6"/>
        <v>5.6137270000000683E-4</v>
      </c>
      <c r="O45" s="209">
        <f t="shared" si="7"/>
        <v>2.2140183276128451E-2</v>
      </c>
      <c r="P45"/>
      <c r="R45"/>
      <c r="S45"/>
      <c r="T45"/>
      <c r="U45"/>
      <c r="Y45" s="180">
        <f t="shared" si="8"/>
        <v>29.662864854810557</v>
      </c>
      <c r="Z45" s="181">
        <f t="shared" si="1"/>
        <v>5.6137270000000683E-4</v>
      </c>
      <c r="AA45" s="196">
        <f t="shared" si="9"/>
        <v>0.98852764570000007</v>
      </c>
      <c r="AB45" s="204">
        <f t="shared" si="10"/>
        <v>1.6651922533280312E-2</v>
      </c>
      <c r="AI45" s="21"/>
      <c r="AK45" s="183" t="str">
        <f t="shared" si="11"/>
        <v/>
      </c>
      <c r="AL45" s="184" t="str">
        <f t="shared" si="12"/>
        <v/>
      </c>
      <c r="AM45" s="185" t="str">
        <f t="shared" si="13"/>
        <v/>
      </c>
    </row>
    <row r="46" spans="2:39" ht="18" x14ac:dyDescent="0.45">
      <c r="B46" s="22"/>
      <c r="C46" s="224">
        <f t="shared" si="0"/>
        <v>61.791666666666664</v>
      </c>
      <c r="D46" s="120">
        <v>22</v>
      </c>
      <c r="E46" s="167">
        <f t="shared" si="2"/>
        <v>61</v>
      </c>
      <c r="F46" s="168">
        <f t="shared" si="3"/>
        <v>9.5</v>
      </c>
      <c r="G46" s="192">
        <f t="shared" si="4"/>
        <v>1.7916666666666665</v>
      </c>
      <c r="H46" s="169">
        <f>IF(D46&lt;=$N$12+1,'死亡率（標準生命表）'!M25,0)</f>
        <v>5.6137270000000683E-4</v>
      </c>
      <c r="I46" s="170">
        <f>IF(D46&lt;$N$12+1,'死亡率（標準生命表）'!N26,IF(D46=$N$12+1,I45,0))</f>
        <v>0.98796627300000006</v>
      </c>
      <c r="J46" s="171">
        <f>IF(E46="",0,CalcPut($G$11,$G$15,$G$12,$G$13,$G$14,G46))</f>
        <v>40.715071879394216</v>
      </c>
      <c r="M46" s="125">
        <f t="shared" si="5"/>
        <v>40.715071879394216</v>
      </c>
      <c r="N46" s="126">
        <f t="shared" si="6"/>
        <v>5.6137270000000683E-4</v>
      </c>
      <c r="O46" s="209">
        <f t="shared" si="7"/>
        <v>2.2856329831629885E-2</v>
      </c>
      <c r="P46"/>
      <c r="R46"/>
      <c r="S46"/>
      <c r="T46"/>
      <c r="U46"/>
      <c r="Y46" s="180">
        <f t="shared" si="8"/>
        <v>31.07116357329442</v>
      </c>
      <c r="Z46" s="181">
        <f t="shared" si="1"/>
        <v>5.6137270000000683E-4</v>
      </c>
      <c r="AA46" s="196">
        <f t="shared" si="9"/>
        <v>0.98796627300000006</v>
      </c>
      <c r="AB46" s="204">
        <f t="shared" si="10"/>
        <v>1.744250298728215E-2</v>
      </c>
      <c r="AI46" s="21"/>
      <c r="AK46" s="183" t="str">
        <f t="shared" si="11"/>
        <v/>
      </c>
      <c r="AL46" s="184" t="str">
        <f t="shared" si="12"/>
        <v/>
      </c>
      <c r="AM46" s="185" t="str">
        <f t="shared" si="13"/>
        <v/>
      </c>
    </row>
    <row r="47" spans="2:39" ht="18" x14ac:dyDescent="0.45">
      <c r="B47" s="22"/>
      <c r="C47" s="224">
        <f t="shared" si="0"/>
        <v>61.875</v>
      </c>
      <c r="D47" s="120">
        <v>23</v>
      </c>
      <c r="E47" s="167">
        <f t="shared" si="2"/>
        <v>61</v>
      </c>
      <c r="F47" s="168">
        <f t="shared" si="3"/>
        <v>10.5</v>
      </c>
      <c r="G47" s="192">
        <f t="shared" si="4"/>
        <v>1.875</v>
      </c>
      <c r="H47" s="169">
        <f>IF(D47&lt;=$N$12+1,'死亡率（標準生命表）'!M26,0)</f>
        <v>5.6137270000000683E-4</v>
      </c>
      <c r="I47" s="170">
        <f>IF(D47&lt;$N$12+1,'死亡率（標準生命表）'!N27,IF(D47=$N$12+1,I46,0))</f>
        <v>0.98740490030000005</v>
      </c>
      <c r="J47" s="171">
        <f>IF(E47="",0,CalcPut($G$11,$G$15,$G$12,$G$13,$G$14,G47))</f>
        <v>41.975180501079983</v>
      </c>
      <c r="M47" s="125">
        <f t="shared" si="5"/>
        <v>41.975180501079983</v>
      </c>
      <c r="N47" s="126">
        <f t="shared" si="6"/>
        <v>5.6137270000000683E-4</v>
      </c>
      <c r="O47" s="209">
        <f t="shared" si="7"/>
        <v>2.3563720410878911E-2</v>
      </c>
      <c r="P47"/>
      <c r="R47"/>
      <c r="S47"/>
      <c r="T47"/>
      <c r="U47"/>
      <c r="Y47" s="180">
        <f t="shared" si="8"/>
        <v>32.475932401299076</v>
      </c>
      <c r="Z47" s="181">
        <f t="shared" si="1"/>
        <v>5.6137270000000683E-4</v>
      </c>
      <c r="AA47" s="196">
        <f t="shared" si="9"/>
        <v>0.98740490030000005</v>
      </c>
      <c r="AB47" s="204">
        <f t="shared" si="10"/>
        <v>1.8231101857134967E-2</v>
      </c>
      <c r="AI47" s="21"/>
      <c r="AK47" s="183" t="str">
        <f t="shared" si="11"/>
        <v/>
      </c>
      <c r="AL47" s="184" t="str">
        <f t="shared" si="12"/>
        <v/>
      </c>
      <c r="AM47" s="185" t="str">
        <f t="shared" si="13"/>
        <v/>
      </c>
    </row>
    <row r="48" spans="2:39" ht="18" x14ac:dyDescent="0.45">
      <c r="B48" s="22"/>
      <c r="C48" s="224">
        <f t="shared" si="0"/>
        <v>61.958333333333336</v>
      </c>
      <c r="D48" s="120">
        <v>24</v>
      </c>
      <c r="E48" s="167">
        <f t="shared" si="2"/>
        <v>61</v>
      </c>
      <c r="F48" s="168">
        <f t="shared" si="3"/>
        <v>11.5</v>
      </c>
      <c r="G48" s="192">
        <f t="shared" si="4"/>
        <v>1.9583333333333335</v>
      </c>
      <c r="H48" s="169">
        <f>IF(D48&lt;=$N$12+1,'死亡率（標準生命表）'!M27,0)</f>
        <v>5.6137270000000683E-4</v>
      </c>
      <c r="I48" s="170">
        <f>IF(D48&lt;$N$12+1,'死亡率（標準生命表）'!N28,IF(D48=$N$12+1,I47,0))</f>
        <v>0.98684352760000005</v>
      </c>
      <c r="J48" s="171">
        <f>IF(E48="",0,CalcPut($G$11,$G$15,$G$12,$G$13,$G$14,G48))</f>
        <v>43.220597592386092</v>
      </c>
      <c r="M48" s="125">
        <f t="shared" si="5"/>
        <v>43.220597592386092</v>
      </c>
      <c r="N48" s="126">
        <f t="shared" si="6"/>
        <v>5.6137270000000683E-4</v>
      </c>
      <c r="O48" s="209">
        <f t="shared" si="7"/>
        <v>2.4262863566051576E-2</v>
      </c>
      <c r="P48"/>
      <c r="R48"/>
      <c r="S48"/>
      <c r="T48"/>
      <c r="U48"/>
      <c r="Y48" s="180">
        <f t="shared" si="8"/>
        <v>33.877180186469239</v>
      </c>
      <c r="Z48" s="181">
        <f t="shared" si="1"/>
        <v>5.6137270000000683E-4</v>
      </c>
      <c r="AA48" s="196">
        <f t="shared" si="9"/>
        <v>0.98684352760000005</v>
      </c>
      <c r="AB48" s="204">
        <f t="shared" si="10"/>
        <v>1.9017724109664971E-2</v>
      </c>
      <c r="AI48" s="21"/>
      <c r="AK48" s="183" t="str">
        <f t="shared" si="11"/>
        <v/>
      </c>
      <c r="AL48" s="184" t="str">
        <f t="shared" si="12"/>
        <v/>
      </c>
      <c r="AM48" s="185" t="str">
        <f t="shared" si="13"/>
        <v/>
      </c>
    </row>
    <row r="49" spans="2:39" ht="18" x14ac:dyDescent="0.45">
      <c r="B49" s="22"/>
      <c r="C49" s="224">
        <f t="shared" si="0"/>
        <v>62.041666666666664</v>
      </c>
      <c r="D49" s="120">
        <v>25</v>
      </c>
      <c r="E49" s="167">
        <f t="shared" si="2"/>
        <v>62</v>
      </c>
      <c r="F49" s="168">
        <f t="shared" si="3"/>
        <v>0.5</v>
      </c>
      <c r="G49" s="192">
        <f t="shared" si="4"/>
        <v>2.0416666666666665</v>
      </c>
      <c r="H49" s="169">
        <f>IF(D49&lt;=$N$12+1,'死亡率（標準生命表）'!M28,0)</f>
        <v>6.0608639986770019E-4</v>
      </c>
      <c r="I49" s="170">
        <f>IF(D49&lt;$N$12+1,'死亡率（標準生命表）'!N29,IF(D49=$N$12+1,I48,0))</f>
        <v>0.98623744120013235</v>
      </c>
      <c r="J49" s="171">
        <f>IF(E49="",0,CalcPut($G$11,$G$15,$G$12,$G$13,$G$14,G49))</f>
        <v>44.45213167259562</v>
      </c>
      <c r="M49" s="125">
        <f t="shared" si="5"/>
        <v>44.45213167259562</v>
      </c>
      <c r="N49" s="126">
        <f t="shared" si="6"/>
        <v>6.0608639986770019E-4</v>
      </c>
      <c r="O49" s="209">
        <f t="shared" si="7"/>
        <v>2.6941832451888449E-2</v>
      </c>
      <c r="P49"/>
      <c r="R49"/>
      <c r="S49"/>
      <c r="T49"/>
      <c r="U49"/>
      <c r="Y49" s="180">
        <f t="shared" si="8"/>
        <v>35.27491575427316</v>
      </c>
      <c r="Z49" s="181">
        <f t="shared" si="1"/>
        <v>6.0608639986770019E-4</v>
      </c>
      <c r="AA49" s="196">
        <f t="shared" si="9"/>
        <v>0.98623744120013235</v>
      </c>
      <c r="AB49" s="204">
        <f t="shared" si="10"/>
        <v>2.137964669514384E-2</v>
      </c>
      <c r="AI49" s="21"/>
      <c r="AK49" s="183" t="str">
        <f t="shared" si="11"/>
        <v/>
      </c>
      <c r="AL49" s="184" t="str">
        <f t="shared" si="12"/>
        <v/>
      </c>
      <c r="AM49" s="185" t="str">
        <f t="shared" si="13"/>
        <v/>
      </c>
    </row>
    <row r="50" spans="2:39" ht="18" x14ac:dyDescent="0.45">
      <c r="B50" s="22"/>
      <c r="C50" s="224">
        <f t="shared" si="0"/>
        <v>62.125</v>
      </c>
      <c r="D50" s="120">
        <v>26</v>
      </c>
      <c r="E50" s="167">
        <f t="shared" si="2"/>
        <v>62</v>
      </c>
      <c r="F50" s="168">
        <f t="shared" si="3"/>
        <v>1.5</v>
      </c>
      <c r="G50" s="192">
        <f t="shared" si="4"/>
        <v>2.125</v>
      </c>
      <c r="H50" s="169">
        <f>IF(D50&lt;=$N$12+1,'死亡率（標準生命表）'!M29,0)</f>
        <v>6.0608639986758917E-4</v>
      </c>
      <c r="I50" s="170">
        <f>IF(D50&lt;$N$12+1,'死亡率（標準生命表）'!N30,IF(D50=$N$12+1,I49,0))</f>
        <v>0.98563135480026476</v>
      </c>
      <c r="J50" s="171">
        <f>IF(E50="",0,CalcPut($G$11,$G$15,$G$12,$G$13,$G$14,G50))</f>
        <v>45.670507793789355</v>
      </c>
      <c r="M50" s="125">
        <f t="shared" si="5"/>
        <v>45.670507793789355</v>
      </c>
      <c r="N50" s="126">
        <f t="shared" si="6"/>
        <v>6.0608639986758917E-4</v>
      </c>
      <c r="O50" s="209">
        <f t="shared" si="7"/>
        <v>2.7680273648862462E-2</v>
      </c>
      <c r="P50"/>
      <c r="R50"/>
      <c r="S50"/>
      <c r="T50"/>
      <c r="U50"/>
      <c r="Y50" s="180">
        <f t="shared" si="8"/>
        <v>36.669147908058086</v>
      </c>
      <c r="Z50" s="181">
        <f t="shared" si="1"/>
        <v>6.0608639986758917E-4</v>
      </c>
      <c r="AA50" s="196">
        <f t="shared" si="9"/>
        <v>0.98563135480026476</v>
      </c>
      <c r="AB50" s="204">
        <f t="shared" si="10"/>
        <v>2.2224671841807063E-2</v>
      </c>
      <c r="AI50" s="21"/>
      <c r="AK50" s="183" t="str">
        <f t="shared" si="11"/>
        <v/>
      </c>
      <c r="AL50" s="184" t="str">
        <f t="shared" si="12"/>
        <v/>
      </c>
      <c r="AM50" s="185" t="str">
        <f t="shared" si="13"/>
        <v/>
      </c>
    </row>
    <row r="51" spans="2:39" ht="18" x14ac:dyDescent="0.45">
      <c r="B51" s="22"/>
      <c r="C51" s="224">
        <f t="shared" si="0"/>
        <v>62.208333333333336</v>
      </c>
      <c r="D51" s="120">
        <v>27</v>
      </c>
      <c r="E51" s="167">
        <f t="shared" si="2"/>
        <v>62</v>
      </c>
      <c r="F51" s="168">
        <f t="shared" si="3"/>
        <v>2.5</v>
      </c>
      <c r="G51" s="192">
        <f t="shared" si="4"/>
        <v>2.2083333333333335</v>
      </c>
      <c r="H51" s="169">
        <f>IF(D51&lt;=$N$12+1,'死亡率（標準生命表）'!M30,0)</f>
        <v>6.0608639986770019E-4</v>
      </c>
      <c r="I51" s="170">
        <f>IF(D51&lt;$N$12+1,'死亡率（標準生命表）'!N31,IF(D51=$N$12+1,I50,0))</f>
        <v>0.98502526840039706</v>
      </c>
      <c r="J51" s="171">
        <f>IF(E51="",0,CalcPut($G$11,$G$15,$G$12,$G$13,$G$14,G51))</f>
        <v>46.876379015146583</v>
      </c>
      <c r="M51" s="125">
        <f t="shared" si="5"/>
        <v>46.876379015146583</v>
      </c>
      <c r="N51" s="126">
        <f t="shared" si="6"/>
        <v>6.0608639986770019E-4</v>
      </c>
      <c r="O51" s="209">
        <f t="shared" si="7"/>
        <v>2.8411135796124001E-2</v>
      </c>
      <c r="P51"/>
      <c r="R51"/>
      <c r="S51"/>
      <c r="T51"/>
      <c r="U51"/>
      <c r="Y51" s="180">
        <f t="shared" si="8"/>
        <v>38.059885429105684</v>
      </c>
      <c r="Z51" s="181">
        <f t="shared" si="1"/>
        <v>6.0608639986770019E-4</v>
      </c>
      <c r="AA51" s="196">
        <f t="shared" si="9"/>
        <v>0.98502526840039706</v>
      </c>
      <c r="AB51" s="204">
        <f t="shared" si="10"/>
        <v>2.3067578939103803E-2</v>
      </c>
      <c r="AI51" s="21"/>
      <c r="AK51" s="183" t="str">
        <f t="shared" si="11"/>
        <v/>
      </c>
      <c r="AL51" s="184" t="str">
        <f t="shared" si="12"/>
        <v/>
      </c>
      <c r="AM51" s="185" t="str">
        <f t="shared" si="13"/>
        <v/>
      </c>
    </row>
    <row r="52" spans="2:39" ht="18" x14ac:dyDescent="0.45">
      <c r="B52" s="22"/>
      <c r="C52" s="224">
        <f t="shared" si="0"/>
        <v>62.291666666666664</v>
      </c>
      <c r="D52" s="120">
        <v>28</v>
      </c>
      <c r="E52" s="167">
        <f t="shared" si="2"/>
        <v>62</v>
      </c>
      <c r="F52" s="168">
        <f t="shared" si="3"/>
        <v>3.5</v>
      </c>
      <c r="G52" s="192">
        <f t="shared" si="4"/>
        <v>2.2916666666666665</v>
      </c>
      <c r="H52" s="169">
        <f>IF(D52&lt;=$N$12+1,'死亡率（標準生命表）'!M31,0)</f>
        <v>6.0608639986758917E-4</v>
      </c>
      <c r="I52" s="170">
        <f>IF(D52&lt;$N$12+1,'死亡率（標準生命表）'!N32,IF(D52=$N$12+1,I51,0))</f>
        <v>0.98441918200052947</v>
      </c>
      <c r="J52" s="171">
        <f>IF(E52="",0,CalcPut($G$11,$G$15,$G$12,$G$13,$G$14,G52))</f>
        <v>48.070335935078027</v>
      </c>
      <c r="M52" s="125">
        <f t="shared" si="5"/>
        <v>48.070335935078027</v>
      </c>
      <c r="N52" s="126">
        <f t="shared" si="6"/>
        <v>6.0608639986758917E-4</v>
      </c>
      <c r="O52" s="209">
        <f t="shared" si="7"/>
        <v>2.9134776847317041E-2</v>
      </c>
      <c r="P52"/>
      <c r="R52"/>
      <c r="S52"/>
      <c r="T52"/>
      <c r="U52"/>
      <c r="Y52" s="180">
        <f t="shared" si="8"/>
        <v>39.447137076687468</v>
      </c>
      <c r="Z52" s="181">
        <f t="shared" si="1"/>
        <v>6.0608639986758917E-4</v>
      </c>
      <c r="AA52" s="196">
        <f t="shared" si="9"/>
        <v>0.98441918200052947</v>
      </c>
      <c r="AB52" s="204">
        <f t="shared" si="10"/>
        <v>2.3908373295892803E-2</v>
      </c>
      <c r="AI52" s="21"/>
      <c r="AK52" s="183" t="str">
        <f t="shared" si="11"/>
        <v/>
      </c>
      <c r="AL52" s="184" t="str">
        <f t="shared" si="12"/>
        <v/>
      </c>
      <c r="AM52" s="185" t="str">
        <f t="shared" si="13"/>
        <v/>
      </c>
    </row>
    <row r="53" spans="2:39" ht="18" x14ac:dyDescent="0.45">
      <c r="B53" s="22"/>
      <c r="C53" s="224">
        <f t="shared" si="0"/>
        <v>62.375</v>
      </c>
      <c r="D53" s="120">
        <v>29</v>
      </c>
      <c r="E53" s="167">
        <f t="shared" si="2"/>
        <v>62</v>
      </c>
      <c r="F53" s="168">
        <f t="shared" si="3"/>
        <v>4.5</v>
      </c>
      <c r="G53" s="192">
        <f t="shared" si="4"/>
        <v>2.375</v>
      </c>
      <c r="H53" s="169">
        <f>IF(D53&lt;=$N$12+1,'死亡率（標準生命表）'!M32,0)</f>
        <v>6.0608639986781121E-4</v>
      </c>
      <c r="I53" s="170">
        <f>IF(D53&lt;$N$12+1,'死亡率（標準生命表）'!N33,IF(D53=$N$12+1,I52,0))</f>
        <v>0.98381309560066166</v>
      </c>
      <c r="J53" s="171">
        <f>IF(E53="",0,CalcPut($G$11,$G$15,$G$12,$G$13,$G$14,G53))</f>
        <v>49.252914667754283</v>
      </c>
      <c r="M53" s="125">
        <f t="shared" si="5"/>
        <v>49.252914667754283</v>
      </c>
      <c r="N53" s="126">
        <f t="shared" si="6"/>
        <v>6.0608639986781121E-4</v>
      </c>
      <c r="O53" s="209">
        <f t="shared" si="7"/>
        <v>2.9851521733975706E-2</v>
      </c>
      <c r="P53"/>
      <c r="R53"/>
      <c r="S53"/>
      <c r="T53"/>
      <c r="U53"/>
      <c r="Y53" s="180">
        <f t="shared" si="8"/>
        <v>40.830911588119875</v>
      </c>
      <c r="Z53" s="181">
        <f t="shared" si="1"/>
        <v>6.0608639986781121E-4</v>
      </c>
      <c r="AA53" s="196">
        <f t="shared" si="9"/>
        <v>0.98381309560066166</v>
      </c>
      <c r="AB53" s="204">
        <f t="shared" si="10"/>
        <v>2.474706020776447E-2</v>
      </c>
      <c r="AI53" s="21"/>
      <c r="AK53" s="183" t="str">
        <f t="shared" si="11"/>
        <v/>
      </c>
      <c r="AL53" s="184" t="str">
        <f t="shared" si="12"/>
        <v/>
      </c>
      <c r="AM53" s="185" t="str">
        <f t="shared" si="13"/>
        <v/>
      </c>
    </row>
    <row r="54" spans="2:39" ht="18" x14ac:dyDescent="0.45">
      <c r="B54" s="22"/>
      <c r="C54" s="224">
        <f t="shared" si="0"/>
        <v>62.458333333333336</v>
      </c>
      <c r="D54" s="120">
        <v>30</v>
      </c>
      <c r="E54" s="167">
        <f t="shared" si="2"/>
        <v>62</v>
      </c>
      <c r="F54" s="168">
        <f t="shared" si="3"/>
        <v>5.5</v>
      </c>
      <c r="G54" s="192">
        <f t="shared" si="4"/>
        <v>2.4583333333333335</v>
      </c>
      <c r="H54" s="169">
        <f>IF(D54&lt;=$N$12+1,'死亡率（標準生命表）'!M33,0)</f>
        <v>6.0608639986758917E-4</v>
      </c>
      <c r="I54" s="170">
        <f>IF(D54&lt;$N$12+1,'死亡率（標準生命表）'!N34,IF(D54=$N$12+1,I53,0))</f>
        <v>0.98320700920079407</v>
      </c>
      <c r="J54" s="171">
        <f>IF(E54="",0,CalcPut($G$11,$G$15,$G$12,$G$13,$G$14,G54))</f>
        <v>50.424603562903641</v>
      </c>
      <c r="M54" s="125">
        <f t="shared" si="5"/>
        <v>50.424603562903641</v>
      </c>
      <c r="N54" s="126">
        <f t="shared" si="6"/>
        <v>6.0608639986758917E-4</v>
      </c>
      <c r="O54" s="209">
        <f t="shared" si="7"/>
        <v>3.0561666438190676E-2</v>
      </c>
      <c r="P54"/>
      <c r="R54"/>
      <c r="S54"/>
      <c r="T54"/>
      <c r="U54"/>
      <c r="Y54" s="180">
        <f t="shared" si="8"/>
        <v>42.211217678819409</v>
      </c>
      <c r="Z54" s="181">
        <f t="shared" si="1"/>
        <v>6.0608639986758917E-4</v>
      </c>
      <c r="AA54" s="196">
        <f t="shared" si="9"/>
        <v>0.98320700920079407</v>
      </c>
      <c r="AB54" s="204">
        <f t="shared" si="10"/>
        <v>2.5583644956982791E-2</v>
      </c>
      <c r="AI54" s="21"/>
      <c r="AK54" s="183" t="str">
        <f t="shared" si="11"/>
        <v/>
      </c>
      <c r="AL54" s="184" t="str">
        <f t="shared" si="12"/>
        <v/>
      </c>
      <c r="AM54" s="185" t="str">
        <f t="shared" si="13"/>
        <v/>
      </c>
    </row>
    <row r="55" spans="2:39" ht="18" x14ac:dyDescent="0.45">
      <c r="B55" s="22"/>
      <c r="C55" s="224">
        <f t="shared" si="0"/>
        <v>62.541666666666664</v>
      </c>
      <c r="D55" s="120">
        <v>31</v>
      </c>
      <c r="E55" s="167">
        <f t="shared" si="2"/>
        <v>62</v>
      </c>
      <c r="F55" s="168">
        <f t="shared" si="3"/>
        <v>6.5</v>
      </c>
      <c r="G55" s="192">
        <f t="shared" si="4"/>
        <v>2.5416666666666665</v>
      </c>
      <c r="H55" s="169">
        <f>IF(D55&lt;=$N$12+1,'死亡率（標準生命表）'!M34,0)</f>
        <v>6.0608639986758917E-4</v>
      </c>
      <c r="I55" s="170">
        <f>IF(D55&lt;$N$12+1,'死亡率（標準生命表）'!N35,IF(D55=$N$12+1,I54,0))</f>
        <v>0.98260092280092648</v>
      </c>
      <c r="J55" s="171">
        <f>IF(E55="",0,CalcPut($G$11,$G$15,$G$12,$G$13,$G$14,G55))</f>
        <v>51.585848902239029</v>
      </c>
      <c r="M55" s="125">
        <f t="shared" si="5"/>
        <v>51.585848902239029</v>
      </c>
      <c r="N55" s="126">
        <f t="shared" si="6"/>
        <v>6.0608639986758917E-4</v>
      </c>
      <c r="O55" s="209">
        <f t="shared" si="7"/>
        <v>3.1265481445271477E-2</v>
      </c>
      <c r="P55"/>
      <c r="R55"/>
      <c r="S55"/>
      <c r="T55"/>
      <c r="U55"/>
      <c r="Y55" s="180">
        <f t="shared" si="8"/>
        <v>43.588064042357296</v>
      </c>
      <c r="Z55" s="181">
        <f t="shared" si="1"/>
        <v>6.0608639986758917E-4</v>
      </c>
      <c r="AA55" s="196">
        <f t="shared" si="9"/>
        <v>0.98260092280092648</v>
      </c>
      <c r="AB55" s="204">
        <f t="shared" si="10"/>
        <v>2.6418132812630248E-2</v>
      </c>
      <c r="AI55" s="21"/>
      <c r="AK55" s="183" t="str">
        <f t="shared" si="11"/>
        <v/>
      </c>
      <c r="AL55" s="184" t="str">
        <f t="shared" si="12"/>
        <v/>
      </c>
      <c r="AM55" s="185" t="str">
        <f t="shared" si="13"/>
        <v/>
      </c>
    </row>
    <row r="56" spans="2:39" ht="18" x14ac:dyDescent="0.45">
      <c r="B56" s="22"/>
      <c r="C56" s="224">
        <f t="shared" si="0"/>
        <v>62.625</v>
      </c>
      <c r="D56" s="120">
        <v>32</v>
      </c>
      <c r="E56" s="167">
        <f t="shared" si="2"/>
        <v>62</v>
      </c>
      <c r="F56" s="168">
        <f t="shared" si="3"/>
        <v>7.5</v>
      </c>
      <c r="G56" s="192">
        <f t="shared" si="4"/>
        <v>2.625</v>
      </c>
      <c r="H56" s="169">
        <f>IF(D56&lt;=$N$12+1,'死亡率（標準生命表）'!M35,0)</f>
        <v>6.0608639986781121E-4</v>
      </c>
      <c r="I56" s="170">
        <f>IF(D56&lt;$N$12+1,'死亡率（標準生命表）'!N36,IF(D56=$N$12+1,I55,0))</f>
        <v>0.98199483640105867</v>
      </c>
      <c r="J56" s="171">
        <f>IF(E56="",0,CalcPut($G$11,$G$15,$G$12,$G$13,$G$14,G56))</f>
        <v>52.737059756374094</v>
      </c>
      <c r="M56" s="125">
        <f t="shared" si="5"/>
        <v>52.737059756374094</v>
      </c>
      <c r="N56" s="126">
        <f t="shared" si="6"/>
        <v>6.0608639986781121E-4</v>
      </c>
      <c r="O56" s="209">
        <f t="shared" si="7"/>
        <v>3.1963214687354406E-2</v>
      </c>
      <c r="P56"/>
      <c r="R56"/>
      <c r="S56"/>
      <c r="T56"/>
      <c r="U56"/>
      <c r="Y56" s="180">
        <f t="shared" si="8"/>
        <v>44.961459350514545</v>
      </c>
      <c r="Z56" s="181">
        <f t="shared" si="1"/>
        <v>6.0608639986781121E-4</v>
      </c>
      <c r="AA56" s="196">
        <f t="shared" si="9"/>
        <v>0.98199483640105867</v>
      </c>
      <c r="AB56" s="204">
        <f t="shared" si="10"/>
        <v>2.7250529030556296E-2</v>
      </c>
      <c r="AI56" s="21"/>
      <c r="AK56" s="183" t="str">
        <f t="shared" si="11"/>
        <v/>
      </c>
      <c r="AL56" s="184" t="str">
        <f t="shared" si="12"/>
        <v/>
      </c>
      <c r="AM56" s="185" t="str">
        <f t="shared" si="13"/>
        <v/>
      </c>
    </row>
    <row r="57" spans="2:39" ht="18" x14ac:dyDescent="0.45">
      <c r="B57" s="22"/>
      <c r="C57" s="224">
        <f t="shared" si="0"/>
        <v>62.708333333333336</v>
      </c>
      <c r="D57" s="120">
        <v>33</v>
      </c>
      <c r="E57" s="167">
        <f t="shared" si="2"/>
        <v>62</v>
      </c>
      <c r="F57" s="168">
        <f t="shared" si="3"/>
        <v>8.5</v>
      </c>
      <c r="G57" s="192">
        <f t="shared" si="4"/>
        <v>2.7083333333333335</v>
      </c>
      <c r="H57" s="169">
        <f>IF(D57&lt;=$N$12+1,'死亡率（標準生命表）'!M36,0)</f>
        <v>6.0608639986758917E-4</v>
      </c>
      <c r="I57" s="170">
        <f>IF(D57&lt;$N$12+1,'死亡率（標準生命表）'!N37,IF(D57=$N$12+1,I56,0))</f>
        <v>0.98138875000119108</v>
      </c>
      <c r="J57" s="171">
        <f>IF(E57="",0,CalcPut($G$11,$G$15,$G$12,$G$13,$G$14,G57))</f>
        <v>53.878612148323413</v>
      </c>
      <c r="M57" s="125">
        <f t="shared" si="5"/>
        <v>53.878612148323413</v>
      </c>
      <c r="N57" s="126">
        <f t="shared" si="6"/>
        <v>6.0608639986758917E-4</v>
      </c>
      <c r="O57" s="209">
        <f t="shared" si="7"/>
        <v>3.2655094066839488E-2</v>
      </c>
      <c r="P57"/>
      <c r="R57"/>
      <c r="S57"/>
      <c r="T57"/>
      <c r="U57"/>
      <c r="Y57" s="180">
        <f t="shared" si="8"/>
        <v>46.331412253336204</v>
      </c>
      <c r="Z57" s="181">
        <f t="shared" ref="Z57:Z88" si="14">H57</f>
        <v>6.0608639986758917E-4</v>
      </c>
      <c r="AA57" s="196">
        <f t="shared" si="9"/>
        <v>0.98138875000119108</v>
      </c>
      <c r="AB57" s="204">
        <f t="shared" si="10"/>
        <v>2.8080838853405645E-2</v>
      </c>
      <c r="AI57" s="21"/>
      <c r="AK57" s="183" t="str">
        <f t="shared" si="11"/>
        <v/>
      </c>
      <c r="AL57" s="184" t="str">
        <f t="shared" si="12"/>
        <v/>
      </c>
      <c r="AM57" s="185" t="str">
        <f t="shared" si="13"/>
        <v/>
      </c>
    </row>
    <row r="58" spans="2:39" ht="18" x14ac:dyDescent="0.45">
      <c r="B58" s="22"/>
      <c r="C58" s="224">
        <f t="shared" si="0"/>
        <v>62.791666666666664</v>
      </c>
      <c r="D58" s="120">
        <v>34</v>
      </c>
      <c r="E58" s="167">
        <f t="shared" ref="E58:E89" si="15">IF(D58&lt;=$N$12,IF(F58=0.5,E57+1,E57),IF(D58=$N$12+1,E57+1,""))</f>
        <v>62</v>
      </c>
      <c r="F58" s="168">
        <f t="shared" ref="F58:F89" si="16">IF(D58&lt;=$N$12,IF(F57=11.5,0.5,F57+1),IF(D58=$N$12+1,0,""))</f>
        <v>9.5</v>
      </c>
      <c r="G58" s="192">
        <f t="shared" si="4"/>
        <v>2.7916666666666665</v>
      </c>
      <c r="H58" s="169">
        <f>IF(D58&lt;=$N$12+1,'死亡率（標準生命表）'!M37,0)</f>
        <v>6.0608639986770019E-4</v>
      </c>
      <c r="I58" s="170">
        <f>IF(D58&lt;$N$12+1,'死亡率（標準生命表）'!N38,IF(D58=$N$12+1,I57,0))</f>
        <v>0.98078266360132338</v>
      </c>
      <c r="J58" s="171">
        <f>IF(E58="",0,CalcPut($G$11,$G$15,$G$12,$G$13,$G$14,G58))</f>
        <v>55.010852640584766</v>
      </c>
      <c r="M58" s="125">
        <f t="shared" si="5"/>
        <v>55.010852640584766</v>
      </c>
      <c r="N58" s="126">
        <f t="shared" si="6"/>
        <v>6.0608639986770019E-4</v>
      </c>
      <c r="O58" s="209">
        <f t="shared" si="7"/>
        <v>3.3341329630584587E-2</v>
      </c>
      <c r="P58"/>
      <c r="R58"/>
      <c r="S58"/>
      <c r="T58"/>
      <c r="U58"/>
      <c r="Y58" s="180">
        <f t="shared" si="8"/>
        <v>47.697931379186244</v>
      </c>
      <c r="Z58" s="181">
        <f t="shared" si="14"/>
        <v>6.0608639986770019E-4</v>
      </c>
      <c r="AA58" s="196">
        <f t="shared" si="9"/>
        <v>0.98078266360132338</v>
      </c>
      <c r="AB58" s="204">
        <f t="shared" si="10"/>
        <v>2.8909067510747597E-2</v>
      </c>
      <c r="AI58" s="21"/>
      <c r="AK58" s="183" t="str">
        <f t="shared" si="11"/>
        <v/>
      </c>
      <c r="AL58" s="184" t="str">
        <f t="shared" si="12"/>
        <v/>
      </c>
      <c r="AM58" s="185" t="str">
        <f t="shared" si="13"/>
        <v/>
      </c>
    </row>
    <row r="59" spans="2:39" ht="18" x14ac:dyDescent="0.45">
      <c r="B59" s="22"/>
      <c r="C59" s="224">
        <f t="shared" si="0"/>
        <v>62.875</v>
      </c>
      <c r="D59" s="120">
        <v>35</v>
      </c>
      <c r="E59" s="167">
        <f t="shared" si="15"/>
        <v>62</v>
      </c>
      <c r="F59" s="168">
        <f t="shared" si="16"/>
        <v>10.5</v>
      </c>
      <c r="G59" s="192">
        <f t="shared" si="4"/>
        <v>2.875</v>
      </c>
      <c r="H59" s="169">
        <f>IF(D59&lt;=$N$12+1,'死亡率（標準生命表）'!M38,0)</f>
        <v>6.0608639986758917E-4</v>
      </c>
      <c r="I59" s="170">
        <f>IF(D59&lt;$N$12+1,'死亡率（標準生命表）'!N39,IF(D59=$N$12+1,I58,0))</f>
        <v>0.98017657720145579</v>
      </c>
      <c r="J59" s="171">
        <f>IF(E59="",0,CalcPut($G$11,$G$15,$G$12,$G$13,$G$14,G59))</f>
        <v>56.134101440190896</v>
      </c>
      <c r="M59" s="125">
        <f t="shared" si="5"/>
        <v>56.134101440190896</v>
      </c>
      <c r="N59" s="126">
        <f t="shared" si="6"/>
        <v>6.0608639986758917E-4</v>
      </c>
      <c r="O59" s="209">
        <f t="shared" si="7"/>
        <v>3.4022115451687353E-2</v>
      </c>
      <c r="P59"/>
      <c r="R59"/>
      <c r="S59"/>
      <c r="T59"/>
      <c r="U59"/>
      <c r="Y59" s="180">
        <f t="shared" si="8"/>
        <v>49.061025334801656</v>
      </c>
      <c r="Z59" s="181">
        <f t="shared" si="14"/>
        <v>6.0608639986758917E-4</v>
      </c>
      <c r="AA59" s="196">
        <f t="shared" si="9"/>
        <v>0.98017657720145579</v>
      </c>
      <c r="AB59" s="204">
        <f t="shared" si="10"/>
        <v>2.9735220218982519E-2</v>
      </c>
      <c r="AI59" s="21"/>
      <c r="AK59" s="183" t="str">
        <f t="shared" si="11"/>
        <v/>
      </c>
      <c r="AL59" s="184" t="str">
        <f t="shared" si="12"/>
        <v/>
      </c>
      <c r="AM59" s="185" t="str">
        <f t="shared" si="13"/>
        <v/>
      </c>
    </row>
    <row r="60" spans="2:39" ht="18" x14ac:dyDescent="0.45">
      <c r="B60" s="22"/>
      <c r="C60" s="224">
        <f t="shared" si="0"/>
        <v>62.958333333333336</v>
      </c>
      <c r="D60" s="120">
        <v>36</v>
      </c>
      <c r="E60" s="167">
        <f t="shared" si="15"/>
        <v>62</v>
      </c>
      <c r="F60" s="168">
        <f t="shared" si="16"/>
        <v>11.5</v>
      </c>
      <c r="G60" s="192">
        <f t="shared" si="4"/>
        <v>2.9583333333333335</v>
      </c>
      <c r="H60" s="169">
        <f>IF(D60&lt;=$N$12+1,'死亡率（標準生命表）'!M39,0)</f>
        <v>6.0608639986770019E-4</v>
      </c>
      <c r="I60" s="170">
        <f>IF(D60&lt;$N$12+1,'死亡率（標準生命表）'!N40,IF(D60=$N$12+1,I59,0))</f>
        <v>0.97957049080158809</v>
      </c>
      <c r="J60" s="171">
        <f>IF(E60="",0,CalcPut($G$11,$G$15,$G$12,$G$13,$G$14,G60))</f>
        <v>57.248655098399475</v>
      </c>
      <c r="M60" s="125">
        <f t="shared" si="5"/>
        <v>57.248655098399475</v>
      </c>
      <c r="N60" s="126">
        <f t="shared" si="6"/>
        <v>6.0608639986770019E-4</v>
      </c>
      <c r="O60" s="209">
        <f t="shared" si="7"/>
        <v>3.46976312658566E-2</v>
      </c>
      <c r="P60"/>
      <c r="R60"/>
      <c r="S60"/>
      <c r="T60"/>
      <c r="U60"/>
      <c r="Y60" s="180">
        <f t="shared" si="8"/>
        <v>50.42070270534667</v>
      </c>
      <c r="Z60" s="181">
        <f t="shared" si="14"/>
        <v>6.0608639986770019E-4</v>
      </c>
      <c r="AA60" s="196">
        <f t="shared" si="9"/>
        <v>0.97957049080158809</v>
      </c>
      <c r="AB60" s="204">
        <f t="shared" si="10"/>
        <v>3.0559302181483176E-2</v>
      </c>
      <c r="AI60" s="21"/>
      <c r="AK60" s="183" t="str">
        <f t="shared" si="11"/>
        <v/>
      </c>
      <c r="AL60" s="184" t="str">
        <f t="shared" si="12"/>
        <v/>
      </c>
      <c r="AM60" s="185" t="str">
        <f t="shared" si="13"/>
        <v/>
      </c>
    </row>
    <row r="61" spans="2:39" ht="18" x14ac:dyDescent="0.45">
      <c r="B61" s="22"/>
      <c r="C61" s="224">
        <f t="shared" si="0"/>
        <v>63.041666666666664</v>
      </c>
      <c r="D61" s="120">
        <v>37</v>
      </c>
      <c r="E61" s="167">
        <f t="shared" si="15"/>
        <v>63</v>
      </c>
      <c r="F61" s="168">
        <f t="shared" si="16"/>
        <v>0.5</v>
      </c>
      <c r="G61" s="192">
        <f t="shared" si="4"/>
        <v>3.0416666666666665</v>
      </c>
      <c r="H61" s="169">
        <f>IF(D61&lt;=$N$12+1,'死亡率（標準生命表）'!M40,0)</f>
        <v>6.5957746380640447E-4</v>
      </c>
      <c r="I61" s="170">
        <f>IF(D61&lt;$N$12+1,'死亡率（標準生命表）'!N41,IF(D61=$N$12+1,I60,0))</f>
        <v>0.97891091333778169</v>
      </c>
      <c r="J61" s="171">
        <f>IF(E61="",0,CalcPut($G$11,$G$15,$G$12,$G$13,$G$14,G61))</f>
        <v>58.354788867701082</v>
      </c>
      <c r="M61" s="125">
        <f t="shared" si="5"/>
        <v>58.354788867701082</v>
      </c>
      <c r="N61" s="126">
        <f t="shared" si="6"/>
        <v>6.5957746380640447E-4</v>
      </c>
      <c r="O61" s="209">
        <f t="shared" si="7"/>
        <v>3.8489503642316486E-2</v>
      </c>
      <c r="P61"/>
      <c r="R61"/>
      <c r="S61"/>
      <c r="T61"/>
      <c r="U61"/>
      <c r="Y61" s="180">
        <f t="shared" si="8"/>
        <v>51.776972054466853</v>
      </c>
      <c r="Z61" s="181">
        <f t="shared" si="14"/>
        <v>6.5957746380640447E-4</v>
      </c>
      <c r="AA61" s="196">
        <f t="shared" si="9"/>
        <v>0.97891091333778169</v>
      </c>
      <c r="AB61" s="204">
        <f t="shared" si="10"/>
        <v>3.4150923911260324E-2</v>
      </c>
      <c r="AI61" s="21"/>
      <c r="AK61" s="183" t="str">
        <f t="shared" si="11"/>
        <v/>
      </c>
      <c r="AL61" s="184" t="str">
        <f t="shared" si="12"/>
        <v/>
      </c>
      <c r="AM61" s="185" t="str">
        <f t="shared" si="13"/>
        <v/>
      </c>
    </row>
    <row r="62" spans="2:39" ht="18" x14ac:dyDescent="0.45">
      <c r="B62" s="22"/>
      <c r="C62" s="224">
        <f t="shared" si="0"/>
        <v>63.125</v>
      </c>
      <c r="D62" s="120">
        <v>38</v>
      </c>
      <c r="E62" s="167">
        <f t="shared" si="15"/>
        <v>63</v>
      </c>
      <c r="F62" s="168">
        <f t="shared" si="16"/>
        <v>1.5</v>
      </c>
      <c r="G62" s="192">
        <f t="shared" si="4"/>
        <v>3.125</v>
      </c>
      <c r="H62" s="169">
        <f>IF(D62&lt;=$N$12+1,'死亡率（標準生命表）'!M41,0)</f>
        <v>6.5957746380640447E-4</v>
      </c>
      <c r="I62" s="170">
        <f>IF(D62&lt;$N$12+1,'死亡率（標準生命表）'!N42,IF(D62=$N$12+1,I61,0))</f>
        <v>0.97825133587397528</v>
      </c>
      <c r="J62" s="171">
        <f>IF(E62="",0,CalcPut($G$11,$G$15,$G$12,$G$13,$G$14,G62))</f>
        <v>59.452758767697091</v>
      </c>
      <c r="M62" s="125">
        <f t="shared" si="5"/>
        <v>59.452758767697091</v>
      </c>
      <c r="N62" s="126">
        <f t="shared" si="6"/>
        <v>6.5957746380640447E-4</v>
      </c>
      <c r="O62" s="209">
        <f t="shared" si="7"/>
        <v>3.9213699844291627E-2</v>
      </c>
      <c r="P62"/>
      <c r="R62"/>
      <c r="S62"/>
      <c r="T62"/>
      <c r="U62"/>
      <c r="Y62" s="180">
        <f t="shared" si="8"/>
        <v>53.129841924343083</v>
      </c>
      <c r="Z62" s="181">
        <f t="shared" si="14"/>
        <v>6.5957746380640447E-4</v>
      </c>
      <c r="AA62" s="196">
        <f t="shared" si="9"/>
        <v>0.97825133587397528</v>
      </c>
      <c r="AB62" s="204">
        <f t="shared" si="10"/>
        <v>3.504324638889339E-2</v>
      </c>
      <c r="AI62" s="21"/>
      <c r="AK62" s="183" t="str">
        <f t="shared" si="11"/>
        <v/>
      </c>
      <c r="AL62" s="184" t="str">
        <f t="shared" si="12"/>
        <v/>
      </c>
      <c r="AM62" s="185" t="str">
        <f t="shared" si="13"/>
        <v/>
      </c>
    </row>
    <row r="63" spans="2:39" ht="18" x14ac:dyDescent="0.45">
      <c r="B63" s="22"/>
      <c r="C63" s="224">
        <f t="shared" si="0"/>
        <v>63.208333333333336</v>
      </c>
      <c r="D63" s="120">
        <v>39</v>
      </c>
      <c r="E63" s="167">
        <f t="shared" si="15"/>
        <v>63</v>
      </c>
      <c r="F63" s="168">
        <f t="shared" si="16"/>
        <v>2.5</v>
      </c>
      <c r="G63" s="192">
        <f t="shared" si="4"/>
        <v>3.2083333333333335</v>
      </c>
      <c r="H63" s="169">
        <f>IF(D63&lt;=$N$12+1,'死亡率（標準生命表）'!M42,0)</f>
        <v>6.5957746380640447E-4</v>
      </c>
      <c r="I63" s="170">
        <f>IF(D63&lt;$N$12+1,'死亡率（標準生命表）'!N43,IF(D63=$N$12+1,I62,0))</f>
        <v>0.97759175841016888</v>
      </c>
      <c r="J63" s="171">
        <f>IF(E63="",0,CalcPut($G$11,$G$15,$G$12,$G$13,$G$14,G63))</f>
        <v>60.542803402492403</v>
      </c>
      <c r="M63" s="125">
        <f t="shared" si="5"/>
        <v>60.542803402492403</v>
      </c>
      <c r="N63" s="126">
        <f t="shared" si="6"/>
        <v>6.5957746380640447E-4</v>
      </c>
      <c r="O63" s="209">
        <f t="shared" si="7"/>
        <v>3.9932668719945698E-2</v>
      </c>
      <c r="P63"/>
      <c r="R63"/>
      <c r="S63"/>
      <c r="T63"/>
      <c r="U63"/>
      <c r="Y63" s="180">
        <f t="shared" si="8"/>
        <v>54.479320835745334</v>
      </c>
      <c r="Z63" s="181">
        <f t="shared" si="14"/>
        <v>6.5957746380640447E-4</v>
      </c>
      <c r="AA63" s="196">
        <f t="shared" si="9"/>
        <v>0.97759175841016888</v>
      </c>
      <c r="AB63" s="204">
        <f t="shared" si="10"/>
        <v>3.5933332266736312E-2</v>
      </c>
      <c r="AI63" s="21"/>
      <c r="AK63" s="183" t="str">
        <f t="shared" si="11"/>
        <v/>
      </c>
      <c r="AL63" s="184" t="str">
        <f t="shared" si="12"/>
        <v/>
      </c>
      <c r="AM63" s="185" t="str">
        <f t="shared" si="13"/>
        <v/>
      </c>
    </row>
    <row r="64" spans="2:39" ht="18" x14ac:dyDescent="0.45">
      <c r="B64" s="22"/>
      <c r="C64" s="224">
        <f t="shared" si="0"/>
        <v>63.291666666666664</v>
      </c>
      <c r="D64" s="120">
        <v>40</v>
      </c>
      <c r="E64" s="167">
        <f t="shared" si="15"/>
        <v>63</v>
      </c>
      <c r="F64" s="168">
        <f t="shared" si="16"/>
        <v>3.5</v>
      </c>
      <c r="G64" s="192">
        <f t="shared" si="4"/>
        <v>3.2916666666666665</v>
      </c>
      <c r="H64" s="169">
        <f>IF(D64&lt;=$N$12+1,'死亡率（標準生命表）'!M43,0)</f>
        <v>6.5957746380640447E-4</v>
      </c>
      <c r="I64" s="170">
        <f>IF(D64&lt;$N$12+1,'死亡率（標準生命表）'!N44,IF(D64=$N$12+1,I63,0))</f>
        <v>0.97693218094636247</v>
      </c>
      <c r="J64" s="171">
        <f>IF(E64="",0,CalcPut($G$11,$G$15,$G$12,$G$13,$G$14,G64))</f>
        <v>61.625145565062461</v>
      </c>
      <c r="M64" s="125">
        <f t="shared" si="5"/>
        <v>61.625145565062461</v>
      </c>
      <c r="N64" s="126">
        <f t="shared" si="6"/>
        <v>6.5957746380640447E-4</v>
      </c>
      <c r="O64" s="209">
        <f t="shared" si="7"/>
        <v>4.0646557218504395E-2</v>
      </c>
      <c r="P64"/>
      <c r="R64"/>
      <c r="S64"/>
      <c r="T64"/>
      <c r="U64"/>
      <c r="Y64" s="180">
        <f t="shared" si="8"/>
        <v>55.825417288086271</v>
      </c>
      <c r="Z64" s="181">
        <f t="shared" si="14"/>
        <v>6.5957746380640447E-4</v>
      </c>
      <c r="AA64" s="196">
        <f t="shared" si="9"/>
        <v>0.97693218094636247</v>
      </c>
      <c r="AB64" s="204">
        <f t="shared" si="10"/>
        <v>3.6821187150810147E-2</v>
      </c>
      <c r="AI64" s="21"/>
      <c r="AK64" s="183" t="str">
        <f t="shared" si="11"/>
        <v/>
      </c>
      <c r="AL64" s="184" t="str">
        <f t="shared" si="12"/>
        <v/>
      </c>
      <c r="AM64" s="185" t="str">
        <f t="shared" si="13"/>
        <v/>
      </c>
    </row>
    <row r="65" spans="2:39" ht="18" x14ac:dyDescent="0.45">
      <c r="B65" s="22"/>
      <c r="C65" s="224">
        <f t="shared" si="0"/>
        <v>63.375</v>
      </c>
      <c r="D65" s="120">
        <v>41</v>
      </c>
      <c r="E65" s="167">
        <f t="shared" si="15"/>
        <v>63</v>
      </c>
      <c r="F65" s="168">
        <f t="shared" si="16"/>
        <v>4.5</v>
      </c>
      <c r="G65" s="192">
        <f t="shared" si="4"/>
        <v>3.375</v>
      </c>
      <c r="H65" s="169">
        <f>IF(D65&lt;=$N$12+1,'死亡率（標準生命表）'!M44,0)</f>
        <v>6.595774638065155E-4</v>
      </c>
      <c r="I65" s="170">
        <f>IF(D65&lt;$N$12+1,'死亡率（標準生命表）'!N45,IF(D65=$N$12+1,I64,0))</f>
        <v>0.97627260348255596</v>
      </c>
      <c r="J65" s="171">
        <f>IF(E65="",0,CalcPut($G$11,$G$15,$G$12,$G$13,$G$14,G65))</f>
        <v>62.699993658240103</v>
      </c>
      <c r="M65" s="125">
        <f t="shared" si="5"/>
        <v>62.699993658240103</v>
      </c>
      <c r="N65" s="126">
        <f t="shared" si="6"/>
        <v>6.595774638065155E-4</v>
      </c>
      <c r="O65" s="209">
        <f t="shared" si="7"/>
        <v>4.135550279778661E-2</v>
      </c>
      <c r="P65"/>
      <c r="R65"/>
      <c r="S65"/>
      <c r="T65"/>
      <c r="U65"/>
      <c r="Y65" s="180">
        <f t="shared" si="8"/>
        <v>57.168139759474975</v>
      </c>
      <c r="Z65" s="181">
        <f t="shared" si="14"/>
        <v>6.595774638065155E-4</v>
      </c>
      <c r="AA65" s="196">
        <f t="shared" si="9"/>
        <v>0.97627260348255596</v>
      </c>
      <c r="AB65" s="204">
        <f t="shared" si="10"/>
        <v>3.7706816633090924E-2</v>
      </c>
      <c r="AI65" s="21"/>
      <c r="AK65" s="183" t="str">
        <f t="shared" si="11"/>
        <v/>
      </c>
      <c r="AL65" s="184" t="str">
        <f t="shared" si="12"/>
        <v/>
      </c>
      <c r="AM65" s="185" t="str">
        <f t="shared" si="13"/>
        <v/>
      </c>
    </row>
    <row r="66" spans="2:39" ht="18" x14ac:dyDescent="0.45">
      <c r="B66" s="22"/>
      <c r="C66" s="224">
        <f t="shared" si="0"/>
        <v>63.458333333333336</v>
      </c>
      <c r="D66" s="120">
        <v>42</v>
      </c>
      <c r="E66" s="167">
        <f t="shared" si="15"/>
        <v>63</v>
      </c>
      <c r="F66" s="168">
        <f t="shared" si="16"/>
        <v>5.5</v>
      </c>
      <c r="G66" s="192">
        <f t="shared" si="4"/>
        <v>3.4583333333333335</v>
      </c>
      <c r="H66" s="169">
        <f>IF(D66&lt;=$N$12+1,'死亡率（標準生命表）'!M45,0)</f>
        <v>6.5957746380629345E-4</v>
      </c>
      <c r="I66" s="170">
        <f>IF(D66&lt;$N$12+1,'死亡率（標準生命表）'!N46,IF(D66=$N$12+1,I65,0))</f>
        <v>0.97561302601874966</v>
      </c>
      <c r="J66" s="171">
        <f>IF(E66="",0,CalcPut($G$11,$G$15,$G$12,$G$13,$G$14,G66))</f>
        <v>63.76754295721269</v>
      </c>
      <c r="M66" s="125">
        <f t="shared" si="5"/>
        <v>63.76754295721269</v>
      </c>
      <c r="N66" s="126">
        <f t="shared" si="6"/>
        <v>6.5957746380629345E-4</v>
      </c>
      <c r="O66" s="209">
        <f t="shared" si="7"/>
        <v>4.2059634256877219E-2</v>
      </c>
      <c r="P66"/>
      <c r="R66"/>
      <c r="S66"/>
      <c r="T66"/>
      <c r="U66"/>
      <c r="Y66" s="180">
        <f t="shared" si="8"/>
        <v>58.507496706770077</v>
      </c>
      <c r="Z66" s="181">
        <f t="shared" si="14"/>
        <v>6.5957746380629345E-4</v>
      </c>
      <c r="AA66" s="196">
        <f t="shared" si="9"/>
        <v>0.97561302601874966</v>
      </c>
      <c r="AB66" s="204">
        <f t="shared" si="10"/>
        <v>3.8590226291506477E-2</v>
      </c>
      <c r="AI66" s="21"/>
      <c r="AK66" s="183" t="str">
        <f t="shared" si="11"/>
        <v/>
      </c>
      <c r="AL66" s="184" t="str">
        <f t="shared" si="12"/>
        <v/>
      </c>
      <c r="AM66" s="185" t="str">
        <f t="shared" si="13"/>
        <v/>
      </c>
    </row>
    <row r="67" spans="2:39" ht="18" x14ac:dyDescent="0.45">
      <c r="B67" s="22"/>
      <c r="C67" s="224">
        <f t="shared" si="0"/>
        <v>63.541666666666664</v>
      </c>
      <c r="D67" s="120">
        <v>43</v>
      </c>
      <c r="E67" s="167">
        <f t="shared" si="15"/>
        <v>63</v>
      </c>
      <c r="F67" s="168">
        <f t="shared" si="16"/>
        <v>6.5</v>
      </c>
      <c r="G67" s="192">
        <f t="shared" si="4"/>
        <v>3.5416666666666665</v>
      </c>
      <c r="H67" s="169">
        <f>IF(D67&lt;=$N$12+1,'死亡率（標準生命表）'!M46,0)</f>
        <v>6.5957746380640447E-4</v>
      </c>
      <c r="I67" s="170">
        <f>IF(D67&lt;$N$12+1,'死亡率（標準生命表）'!N47,IF(D67=$N$12+1,I66,0))</f>
        <v>0.97495344855494326</v>
      </c>
      <c r="J67" s="171">
        <f>IF(E67="",0,CalcPut($G$11,$G$15,$G$12,$G$13,$G$14,G67))</f>
        <v>64.82797673453544</v>
      </c>
      <c r="M67" s="125">
        <f t="shared" si="5"/>
        <v>64.82797673453544</v>
      </c>
      <c r="N67" s="126">
        <f t="shared" si="6"/>
        <v>6.5957746380640447E-4</v>
      </c>
      <c r="O67" s="209">
        <f t="shared" si="7"/>
        <v>4.2759072478265478E-2</v>
      </c>
      <c r="P67"/>
      <c r="R67"/>
      <c r="S67"/>
      <c r="T67"/>
      <c r="U67"/>
      <c r="Y67" s="180">
        <f t="shared" si="8"/>
        <v>59.843496565633238</v>
      </c>
      <c r="Z67" s="181">
        <f t="shared" si="14"/>
        <v>6.5957746380640447E-4</v>
      </c>
      <c r="AA67" s="196">
        <f t="shared" si="9"/>
        <v>0.97495344855494326</v>
      </c>
      <c r="AB67" s="204">
        <f t="shared" si="10"/>
        <v>3.9471421690067648E-2</v>
      </c>
      <c r="AI67" s="21"/>
      <c r="AK67" s="183" t="str">
        <f t="shared" si="11"/>
        <v/>
      </c>
      <c r="AL67" s="184" t="str">
        <f t="shared" si="12"/>
        <v/>
      </c>
      <c r="AM67" s="185" t="str">
        <f t="shared" si="13"/>
        <v/>
      </c>
    </row>
    <row r="68" spans="2:39" ht="18" x14ac:dyDescent="0.45">
      <c r="B68" s="22"/>
      <c r="C68" s="224">
        <f t="shared" si="0"/>
        <v>63.625</v>
      </c>
      <c r="D68" s="120">
        <v>44</v>
      </c>
      <c r="E68" s="167">
        <f t="shared" si="15"/>
        <v>63</v>
      </c>
      <c r="F68" s="168">
        <f t="shared" si="16"/>
        <v>7.5</v>
      </c>
      <c r="G68" s="192">
        <f t="shared" si="4"/>
        <v>3.625</v>
      </c>
      <c r="H68" s="169">
        <f>IF(D68&lt;=$N$12+1,'死亡率（標準生命表）'!M47,0)</f>
        <v>6.5957746380640447E-4</v>
      </c>
      <c r="I68" s="170">
        <f>IF(D68&lt;$N$12+1,'死亡率（標準生命表）'!N48,IF(D68=$N$12+1,I67,0))</f>
        <v>0.97429387109113685</v>
      </c>
      <c r="J68" s="171">
        <f>IF(E68="",0,CalcPut($G$11,$G$15,$G$12,$G$13,$G$14,G68))</f>
        <v>65.881467265457374</v>
      </c>
      <c r="M68" s="125">
        <f t="shared" si="5"/>
        <v>65.881467265457374</v>
      </c>
      <c r="N68" s="126">
        <f t="shared" si="6"/>
        <v>6.5957746380640447E-4</v>
      </c>
      <c r="O68" s="209">
        <f t="shared" si="7"/>
        <v>4.3453931090795032E-2</v>
      </c>
      <c r="P68"/>
      <c r="R68"/>
      <c r="S68"/>
      <c r="T68"/>
      <c r="U68"/>
      <c r="Y68" s="180">
        <f t="shared" si="8"/>
        <v>61.176147750582096</v>
      </c>
      <c r="Z68" s="181">
        <f t="shared" si="14"/>
        <v>6.5957746380640447E-4</v>
      </c>
      <c r="AA68" s="196">
        <f t="shared" si="9"/>
        <v>0.97429387109113685</v>
      </c>
      <c r="AB68" s="204">
        <f t="shared" si="10"/>
        <v>4.0350408378774814E-2</v>
      </c>
      <c r="AI68" s="21"/>
      <c r="AK68" s="183" t="str">
        <f t="shared" si="11"/>
        <v/>
      </c>
      <c r="AL68" s="184" t="str">
        <f t="shared" si="12"/>
        <v/>
      </c>
      <c r="AM68" s="185" t="str">
        <f t="shared" si="13"/>
        <v/>
      </c>
    </row>
    <row r="69" spans="2:39" ht="18" x14ac:dyDescent="0.45">
      <c r="B69" s="22"/>
      <c r="C69" s="224">
        <f t="shared" si="0"/>
        <v>63.708333333333336</v>
      </c>
      <c r="D69" s="120">
        <v>45</v>
      </c>
      <c r="E69" s="167">
        <f t="shared" si="15"/>
        <v>63</v>
      </c>
      <c r="F69" s="168">
        <f t="shared" si="16"/>
        <v>8.5</v>
      </c>
      <c r="G69" s="192">
        <f t="shared" si="4"/>
        <v>3.7083333333333335</v>
      </c>
      <c r="H69" s="169">
        <f>IF(D69&lt;=$N$12+1,'死亡率（標準生命表）'!M48,0)</f>
        <v>6.5957746380640447E-4</v>
      </c>
      <c r="I69" s="170">
        <f>IF(D69&lt;$N$12+1,'死亡率（標準生命表）'!N49,IF(D69=$N$12+1,I68,0))</f>
        <v>0.97363429362733045</v>
      </c>
      <c r="J69" s="171">
        <f>IF(E69="",0,CalcPut($G$11,$G$15,$G$12,$G$13,$G$14,G69))</f>
        <v>66.928176728698134</v>
      </c>
      <c r="M69" s="125">
        <f t="shared" si="5"/>
        <v>66.928176728698134</v>
      </c>
      <c r="N69" s="126">
        <f t="shared" si="6"/>
        <v>6.5957746380640447E-4</v>
      </c>
      <c r="O69" s="209">
        <f t="shared" si="7"/>
        <v>4.4144317063901532E-2</v>
      </c>
      <c r="P69"/>
      <c r="R69"/>
      <c r="S69"/>
      <c r="T69"/>
      <c r="U69"/>
      <c r="Y69" s="180">
        <f t="shared" si="8"/>
        <v>62.505458655043491</v>
      </c>
      <c r="Z69" s="181">
        <f t="shared" si="14"/>
        <v>6.5957746380640447E-4</v>
      </c>
      <c r="AA69" s="196">
        <f t="shared" si="9"/>
        <v>0.97363429362733045</v>
      </c>
      <c r="AB69" s="204">
        <f t="shared" si="10"/>
        <v>4.1227191893749661E-2</v>
      </c>
      <c r="AI69" s="21"/>
      <c r="AK69" s="183" t="str">
        <f t="shared" si="11"/>
        <v/>
      </c>
      <c r="AL69" s="184" t="str">
        <f t="shared" si="12"/>
        <v/>
      </c>
      <c r="AM69" s="185" t="str">
        <f t="shared" si="13"/>
        <v/>
      </c>
    </row>
    <row r="70" spans="2:39" ht="18" x14ac:dyDescent="0.45">
      <c r="B70" s="22"/>
      <c r="C70" s="224">
        <f t="shared" si="0"/>
        <v>63.791666666666664</v>
      </c>
      <c r="D70" s="120">
        <v>46</v>
      </c>
      <c r="E70" s="167">
        <f t="shared" si="15"/>
        <v>63</v>
      </c>
      <c r="F70" s="168">
        <f t="shared" si="16"/>
        <v>9.5</v>
      </c>
      <c r="G70" s="192">
        <f t="shared" si="4"/>
        <v>3.7916666666666665</v>
      </c>
      <c r="H70" s="169">
        <f>IF(D70&lt;=$N$12+1,'死亡率（標準生命表）'!M49,0)</f>
        <v>6.5957746380640447E-4</v>
      </c>
      <c r="I70" s="170">
        <f>IF(D70&lt;$N$12+1,'死亡率（標準生命表）'!N50,IF(D70=$N$12+1,I69,0))</f>
        <v>0.97297471616352404</v>
      </c>
      <c r="J70" s="171">
        <f>IF(E70="",0,CalcPut($G$11,$G$15,$G$12,$G$13,$G$14,G70))</f>
        <v>67.968258015612165</v>
      </c>
      <c r="M70" s="125">
        <f t="shared" si="5"/>
        <v>67.968258015612165</v>
      </c>
      <c r="N70" s="126">
        <f t="shared" si="6"/>
        <v>6.5957746380640447E-4</v>
      </c>
      <c r="O70" s="209">
        <f t="shared" si="7"/>
        <v>4.4830331241276791E-2</v>
      </c>
      <c r="P70"/>
      <c r="R70"/>
      <c r="S70"/>
      <c r="T70"/>
      <c r="U70"/>
      <c r="Y70" s="180">
        <f t="shared" si="8"/>
        <v>63.831437651406027</v>
      </c>
      <c r="Z70" s="181">
        <f t="shared" si="14"/>
        <v>6.5957746380640447E-4</v>
      </c>
      <c r="AA70" s="196">
        <f t="shared" si="9"/>
        <v>0.97297471616352404</v>
      </c>
      <c r="AB70" s="204">
        <f t="shared" si="10"/>
        <v>4.2101777757231021E-2</v>
      </c>
      <c r="AI70" s="21"/>
      <c r="AK70" s="183" t="str">
        <f t="shared" si="11"/>
        <v/>
      </c>
      <c r="AL70" s="184" t="str">
        <f t="shared" si="12"/>
        <v/>
      </c>
      <c r="AM70" s="185" t="str">
        <f t="shared" si="13"/>
        <v/>
      </c>
    </row>
    <row r="71" spans="2:39" ht="18" x14ac:dyDescent="0.45">
      <c r="B71" s="22"/>
      <c r="C71" s="224">
        <f t="shared" si="0"/>
        <v>63.875</v>
      </c>
      <c r="D71" s="120">
        <v>47</v>
      </c>
      <c r="E71" s="167">
        <f t="shared" si="15"/>
        <v>63</v>
      </c>
      <c r="F71" s="168">
        <f t="shared" si="16"/>
        <v>10.5</v>
      </c>
      <c r="G71" s="192">
        <f t="shared" si="4"/>
        <v>3.875</v>
      </c>
      <c r="H71" s="169">
        <f>IF(D71&lt;=$N$12+1,'死亡率（標準生命表）'!M50,0)</f>
        <v>6.5957746380640447E-4</v>
      </c>
      <c r="I71" s="170">
        <f>IF(D71&lt;$N$12+1,'死亡率（標準生命表）'!N51,IF(D71=$N$12+1,I70,0))</f>
        <v>0.97231513869971764</v>
      </c>
      <c r="J71" s="171">
        <f>IF(E71="",0,CalcPut($G$11,$G$15,$G$12,$G$13,$G$14,G71))</f>
        <v>69.00185545882546</v>
      </c>
      <c r="M71" s="125">
        <f t="shared" si="5"/>
        <v>69.00185545882546</v>
      </c>
      <c r="N71" s="126">
        <f t="shared" si="6"/>
        <v>6.5957746380640447E-4</v>
      </c>
      <c r="O71" s="209">
        <f t="shared" si="7"/>
        <v>4.5512068821468202E-2</v>
      </c>
      <c r="P71"/>
      <c r="R71"/>
      <c r="S71"/>
      <c r="T71"/>
      <c r="U71"/>
      <c r="Y71" s="180">
        <f t="shared" si="8"/>
        <v>65.154093091073207</v>
      </c>
      <c r="Z71" s="181">
        <f t="shared" si="14"/>
        <v>6.5957746380640447E-4</v>
      </c>
      <c r="AA71" s="196">
        <f t="shared" si="9"/>
        <v>0.97231513869971764</v>
      </c>
      <c r="AB71" s="204">
        <f t="shared" si="10"/>
        <v>4.2974171477616445E-2</v>
      </c>
      <c r="AI71" s="21"/>
      <c r="AK71" s="183" t="str">
        <f t="shared" si="11"/>
        <v/>
      </c>
      <c r="AL71" s="184" t="str">
        <f t="shared" si="12"/>
        <v/>
      </c>
      <c r="AM71" s="185" t="str">
        <f t="shared" si="13"/>
        <v/>
      </c>
    </row>
    <row r="72" spans="2:39" ht="18" x14ac:dyDescent="0.45">
      <c r="B72" s="22"/>
      <c r="C72" s="224">
        <f t="shared" si="0"/>
        <v>63.958333333333336</v>
      </c>
      <c r="D72" s="120">
        <v>48</v>
      </c>
      <c r="E72" s="167">
        <f t="shared" si="15"/>
        <v>63</v>
      </c>
      <c r="F72" s="168">
        <f t="shared" si="16"/>
        <v>11.5</v>
      </c>
      <c r="G72" s="192">
        <f t="shared" si="4"/>
        <v>3.9583333333333335</v>
      </c>
      <c r="H72" s="169">
        <f>IF(D72&lt;=$N$12+1,'死亡率（標準生命表）'!M51,0)</f>
        <v>6.5957746380640447E-4</v>
      </c>
      <c r="I72" s="170">
        <f>IF(D72&lt;$N$12+1,'死亡率（標準生命表）'!N52,IF(D72=$N$12+1,I71,0))</f>
        <v>0.97165556123591124</v>
      </c>
      <c r="J72" s="171">
        <f>IF(E72="",0,CalcPut($G$11,$G$15,$G$12,$G$13,$G$14,G72))</f>
        <v>70.029105489882014</v>
      </c>
      <c r="M72" s="125">
        <f t="shared" si="5"/>
        <v>70.029105489882014</v>
      </c>
      <c r="N72" s="126">
        <f t="shared" si="6"/>
        <v>6.5957746380640447E-4</v>
      </c>
      <c r="O72" s="209">
        <f t="shared" si="7"/>
        <v>4.6189619791647533E-2</v>
      </c>
      <c r="P72"/>
      <c r="R72"/>
      <c r="S72"/>
      <c r="T72"/>
      <c r="U72"/>
      <c r="Y72" s="180">
        <f t="shared" si="8"/>
        <v>66.473433304515694</v>
      </c>
      <c r="Z72" s="181">
        <f t="shared" si="14"/>
        <v>6.5957746380640447E-4</v>
      </c>
      <c r="AA72" s="196">
        <f t="shared" si="9"/>
        <v>0.97165556123591124</v>
      </c>
      <c r="AB72" s="204">
        <f t="shared" si="10"/>
        <v>4.3844378549496639E-2</v>
      </c>
      <c r="AI72" s="21"/>
      <c r="AK72" s="183" t="str">
        <f t="shared" si="11"/>
        <v/>
      </c>
      <c r="AL72" s="184" t="str">
        <f t="shared" si="12"/>
        <v/>
      </c>
      <c r="AM72" s="185" t="str">
        <f t="shared" si="13"/>
        <v/>
      </c>
    </row>
    <row r="73" spans="2:39" ht="18" x14ac:dyDescent="0.45">
      <c r="B73" s="22"/>
      <c r="C73" s="224">
        <f t="shared" si="0"/>
        <v>64.041666666666671</v>
      </c>
      <c r="D73" s="120">
        <v>49</v>
      </c>
      <c r="E73" s="167">
        <f t="shared" si="15"/>
        <v>64</v>
      </c>
      <c r="F73" s="168">
        <f t="shared" si="16"/>
        <v>0.5</v>
      </c>
      <c r="G73" s="192">
        <f t="shared" si="4"/>
        <v>4.041666666666667</v>
      </c>
      <c r="H73" s="169">
        <f>IF(D73&lt;=$N$12+1,'死亡率（標準生命表）'!M52,0)</f>
        <v>7.1740568937928018E-4</v>
      </c>
      <c r="I73" s="170">
        <f>IF(D73&lt;$N$12+1,'死亡率（標準生命表）'!N53,IF(D73=$N$12+1,I72,0))</f>
        <v>0.97093815554653196</v>
      </c>
      <c r="J73" s="171">
        <f>IF(E73="",0,CalcPut($G$11,$G$15,$G$12,$G$13,$G$14,G73))</f>
        <v>71.050137234135889</v>
      </c>
      <c r="M73" s="125">
        <f t="shared" si="5"/>
        <v>71.050137234135889</v>
      </c>
      <c r="N73" s="126">
        <f t="shared" si="6"/>
        <v>7.1740568937928018E-4</v>
      </c>
      <c r="O73" s="209">
        <f t="shared" si="7"/>
        <v>5.0971772682947718E-2</v>
      </c>
      <c r="P73"/>
      <c r="R73"/>
      <c r="S73"/>
      <c r="T73"/>
      <c r="U73"/>
      <c r="Y73" s="180">
        <f t="shared" si="8"/>
        <v>67.78946660132371</v>
      </c>
      <c r="Z73" s="181">
        <f t="shared" si="14"/>
        <v>7.1740568937928018E-4</v>
      </c>
      <c r="AA73" s="196">
        <f t="shared" si="9"/>
        <v>0.97093815554653196</v>
      </c>
      <c r="AB73" s="204">
        <f t="shared" si="10"/>
        <v>4.8632549019776324E-2</v>
      </c>
      <c r="AI73" s="21"/>
      <c r="AK73" s="183" t="str">
        <f t="shared" si="11"/>
        <v/>
      </c>
      <c r="AL73" s="184" t="str">
        <f t="shared" si="12"/>
        <v/>
      </c>
      <c r="AM73" s="185" t="str">
        <f t="shared" si="13"/>
        <v/>
      </c>
    </row>
    <row r="74" spans="2:39" ht="18" x14ac:dyDescent="0.45">
      <c r="B74" s="22"/>
      <c r="C74" s="224">
        <f t="shared" si="0"/>
        <v>64.125</v>
      </c>
      <c r="D74" s="120">
        <v>50</v>
      </c>
      <c r="E74" s="167">
        <f t="shared" si="15"/>
        <v>64</v>
      </c>
      <c r="F74" s="168">
        <f t="shared" si="16"/>
        <v>1.5</v>
      </c>
      <c r="G74" s="192">
        <f t="shared" si="4"/>
        <v>4.125</v>
      </c>
      <c r="H74" s="169">
        <f>IF(D74&lt;=$N$12+1,'死亡率（標準生命表）'!M53,0)</f>
        <v>7.1740568937905813E-4</v>
      </c>
      <c r="I74" s="170">
        <f>IF(D74&lt;$N$12+1,'死亡率（標準生命表）'!N54,IF(D74=$N$12+1,I73,0))</f>
        <v>0.9702207498571529</v>
      </c>
      <c r="J74" s="171">
        <f>IF(E74="",0,CalcPut($G$11,$G$15,$G$12,$G$13,$G$14,G74))</f>
        <v>72.065073050021169</v>
      </c>
      <c r="M74" s="125">
        <f t="shared" si="5"/>
        <v>72.065073050021169</v>
      </c>
      <c r="N74" s="126">
        <f t="shared" si="6"/>
        <v>7.1740568937905813E-4</v>
      </c>
      <c r="O74" s="209">
        <f t="shared" si="7"/>
        <v>5.1699893411602624E-2</v>
      </c>
      <c r="P74"/>
      <c r="R74"/>
      <c r="S74"/>
      <c r="T74"/>
      <c r="U74"/>
      <c r="Y74" s="180">
        <f t="shared" si="8"/>
        <v>69.102201270259869</v>
      </c>
      <c r="Z74" s="181">
        <f t="shared" si="14"/>
        <v>7.1740568937905813E-4</v>
      </c>
      <c r="AA74" s="196">
        <f t="shared" si="9"/>
        <v>0.9702207498571529</v>
      </c>
      <c r="AB74" s="204">
        <f t="shared" si="10"/>
        <v>4.9574312339901207E-2</v>
      </c>
      <c r="AI74" s="21"/>
      <c r="AK74" s="183" t="str">
        <f t="shared" si="11"/>
        <v/>
      </c>
      <c r="AL74" s="184" t="str">
        <f t="shared" si="12"/>
        <v/>
      </c>
      <c r="AM74" s="185" t="str">
        <f t="shared" si="13"/>
        <v/>
      </c>
    </row>
    <row r="75" spans="2:39" ht="18" x14ac:dyDescent="0.45">
      <c r="B75" s="22"/>
      <c r="C75" s="224">
        <f t="shared" si="0"/>
        <v>64.208333333333329</v>
      </c>
      <c r="D75" s="120">
        <v>51</v>
      </c>
      <c r="E75" s="167">
        <f t="shared" si="15"/>
        <v>64</v>
      </c>
      <c r="F75" s="168">
        <f t="shared" si="16"/>
        <v>2.5</v>
      </c>
      <c r="G75" s="192">
        <f t="shared" si="4"/>
        <v>4.208333333333333</v>
      </c>
      <c r="H75" s="169">
        <f>IF(D75&lt;=$N$12+1,'死亡率（標準生命表）'!M54,0)</f>
        <v>7.1740568937916915E-4</v>
      </c>
      <c r="I75" s="170">
        <f>IF(D75&lt;$N$12+1,'死亡率（標準生命表）'!N55,IF(D75=$N$12+1,I74,0))</f>
        <v>0.96950334416777373</v>
      </c>
      <c r="J75" s="171">
        <f>IF(E75="",0,CalcPut($G$11,$G$15,$G$12,$G$13,$G$14,G75))</f>
        <v>73.07402901888959</v>
      </c>
      <c r="M75" s="125">
        <f t="shared" si="5"/>
        <v>73.07402901888959</v>
      </c>
      <c r="N75" s="126">
        <f t="shared" si="6"/>
        <v>7.1740568937916915E-4</v>
      </c>
      <c r="O75" s="209">
        <f t="shared" si="7"/>
        <v>5.2423724164009901E-2</v>
      </c>
      <c r="P75"/>
      <c r="R75"/>
      <c r="S75"/>
      <c r="T75"/>
      <c r="U75"/>
      <c r="Y75" s="180">
        <f t="shared" si="8"/>
        <v>70.411645579310786</v>
      </c>
      <c r="Z75" s="181">
        <f t="shared" si="14"/>
        <v>7.1740568937916915E-4</v>
      </c>
      <c r="AA75" s="196">
        <f t="shared" si="9"/>
        <v>0.96950334416777373</v>
      </c>
      <c r="AB75" s="204">
        <f t="shared" si="10"/>
        <v>5.0513715137147183E-2</v>
      </c>
      <c r="AI75" s="21"/>
      <c r="AK75" s="183" t="str">
        <f t="shared" si="11"/>
        <v/>
      </c>
      <c r="AL75" s="184" t="str">
        <f t="shared" si="12"/>
        <v/>
      </c>
      <c r="AM75" s="185" t="str">
        <f t="shared" si="13"/>
        <v/>
      </c>
    </row>
    <row r="76" spans="2:39" ht="18" x14ac:dyDescent="0.45">
      <c r="B76" s="22"/>
      <c r="C76" s="224">
        <f t="shared" si="0"/>
        <v>64.291666666666671</v>
      </c>
      <c r="D76" s="120">
        <v>52</v>
      </c>
      <c r="E76" s="167">
        <f t="shared" si="15"/>
        <v>64</v>
      </c>
      <c r="F76" s="168">
        <f t="shared" si="16"/>
        <v>3.5</v>
      </c>
      <c r="G76" s="192">
        <f t="shared" si="4"/>
        <v>4.291666666666667</v>
      </c>
      <c r="H76" s="169">
        <f>IF(D76&lt;=$N$12+1,'死亡率（標準生命表）'!M55,0)</f>
        <v>7.1740568937916915E-4</v>
      </c>
      <c r="I76" s="170">
        <f>IF(D76&lt;$N$12+1,'死亡率（標準生命表）'!N56,IF(D76=$N$12+1,I75,0))</f>
        <v>0.96878593847839456</v>
      </c>
      <c r="J76" s="171">
        <f>IF(E76="",0,CalcPut($G$11,$G$15,$G$12,$G$13,$G$14,G76))</f>
        <v>74.077115390820254</v>
      </c>
      <c r="M76" s="125">
        <f t="shared" si="5"/>
        <v>74.077115390820254</v>
      </c>
      <c r="N76" s="126">
        <f t="shared" si="6"/>
        <v>7.1740568937916915E-4</v>
      </c>
      <c r="O76" s="209">
        <f t="shared" si="7"/>
        <v>5.3143344034171668E-2</v>
      </c>
      <c r="P76"/>
      <c r="R76"/>
      <c r="S76"/>
      <c r="T76"/>
      <c r="U76"/>
      <c r="Y76" s="180">
        <f t="shared" si="8"/>
        <v>71.71780777573963</v>
      </c>
      <c r="Z76" s="181">
        <f t="shared" si="14"/>
        <v>7.1740568937916915E-4</v>
      </c>
      <c r="AA76" s="196">
        <f t="shared" si="9"/>
        <v>0.96878593847839456</v>
      </c>
      <c r="AB76" s="204">
        <f t="shared" si="10"/>
        <v>5.1450763328117224E-2</v>
      </c>
      <c r="AI76" s="21"/>
      <c r="AK76" s="183" t="str">
        <f t="shared" si="11"/>
        <v/>
      </c>
      <c r="AL76" s="184" t="str">
        <f t="shared" si="12"/>
        <v/>
      </c>
      <c r="AM76" s="185" t="str">
        <f t="shared" si="13"/>
        <v/>
      </c>
    </row>
    <row r="77" spans="2:39" ht="18" x14ac:dyDescent="0.45">
      <c r="B77" s="22"/>
      <c r="C77" s="224">
        <f t="shared" si="0"/>
        <v>64.375</v>
      </c>
      <c r="D77" s="120">
        <v>53</v>
      </c>
      <c r="E77" s="167">
        <f t="shared" si="15"/>
        <v>64</v>
      </c>
      <c r="F77" s="168">
        <f t="shared" si="16"/>
        <v>4.5</v>
      </c>
      <c r="G77" s="192">
        <f t="shared" si="4"/>
        <v>4.375</v>
      </c>
      <c r="H77" s="169">
        <f>IF(D77&lt;=$N$12+1,'死亡率（標準生命表）'!M56,0)</f>
        <v>7.1740568937928018E-4</v>
      </c>
      <c r="I77" s="170">
        <f>IF(D77&lt;$N$12+1,'死亡率（標準生命表）'!N57,IF(D77=$N$12+1,I76,0))</f>
        <v>0.96806853278901528</v>
      </c>
      <c r="J77" s="171">
        <f>IF(E77="",0,CalcPut($G$11,$G$15,$G$12,$G$13,$G$14,G77))</f>
        <v>75.074436991110943</v>
      </c>
      <c r="M77" s="125">
        <f t="shared" si="5"/>
        <v>75.074436991110943</v>
      </c>
      <c r="N77" s="126">
        <f t="shared" si="6"/>
        <v>7.1740568937928018E-4</v>
      </c>
      <c r="O77" s="209">
        <f t="shared" si="7"/>
        <v>5.3858828224369278E-2</v>
      </c>
      <c r="P77"/>
      <c r="R77"/>
      <c r="S77"/>
      <c r="T77"/>
      <c r="U77"/>
      <c r="Y77" s="180">
        <f t="shared" si="8"/>
        <v>73.020696086137761</v>
      </c>
      <c r="Z77" s="181">
        <f t="shared" si="14"/>
        <v>7.1740568937928018E-4</v>
      </c>
      <c r="AA77" s="196">
        <f t="shared" si="9"/>
        <v>0.96806853278901528</v>
      </c>
      <c r="AB77" s="204">
        <f t="shared" si="10"/>
        <v>5.2385462814630565E-2</v>
      </c>
      <c r="AI77" s="21"/>
      <c r="AK77" s="183" t="str">
        <f t="shared" si="11"/>
        <v/>
      </c>
      <c r="AL77" s="184" t="str">
        <f t="shared" si="12"/>
        <v/>
      </c>
      <c r="AM77" s="185" t="str">
        <f t="shared" si="13"/>
        <v/>
      </c>
    </row>
    <row r="78" spans="2:39" ht="18" x14ac:dyDescent="0.45">
      <c r="B78" s="22"/>
      <c r="C78" s="224">
        <f t="shared" si="0"/>
        <v>64.458333333333329</v>
      </c>
      <c r="D78" s="120">
        <v>54</v>
      </c>
      <c r="E78" s="167">
        <f t="shared" si="15"/>
        <v>64</v>
      </c>
      <c r="F78" s="168">
        <f t="shared" si="16"/>
        <v>5.5</v>
      </c>
      <c r="G78" s="192">
        <f t="shared" si="4"/>
        <v>4.458333333333333</v>
      </c>
      <c r="H78" s="169">
        <f>IF(D78&lt;=$N$12+1,'死亡率（標準生命表）'!M57,0)</f>
        <v>7.1740568937905813E-4</v>
      </c>
      <c r="I78" s="170">
        <f>IF(D78&lt;$N$12+1,'死亡率（標準生命表）'!N58,IF(D78=$N$12+1,I77,0))</f>
        <v>0.96735112709963622</v>
      </c>
      <c r="J78" s="171">
        <f>IF(E78="",0,CalcPut($G$11,$G$15,$G$12,$G$13,$G$14,G78))</f>
        <v>76.066093591587659</v>
      </c>
      <c r="M78" s="125">
        <f t="shared" si="5"/>
        <v>76.066093591587659</v>
      </c>
      <c r="N78" s="126">
        <f t="shared" si="6"/>
        <v>7.1740568937905813E-4</v>
      </c>
      <c r="O78" s="209">
        <f t="shared" si="7"/>
        <v>5.4570248311444899E-2</v>
      </c>
      <c r="P78"/>
      <c r="R78"/>
      <c r="S78"/>
      <c r="T78"/>
      <c r="U78"/>
      <c r="Y78" s="180">
        <f t="shared" si="8"/>
        <v>74.320318716476592</v>
      </c>
      <c r="Z78" s="181">
        <f t="shared" si="14"/>
        <v>7.1740568937905813E-4</v>
      </c>
      <c r="AA78" s="196">
        <f t="shared" si="9"/>
        <v>0.96735112709963622</v>
      </c>
      <c r="AB78" s="204">
        <f t="shared" si="10"/>
        <v>5.3317819483665208E-2</v>
      </c>
      <c r="AI78" s="21"/>
      <c r="AK78" s="183" t="str">
        <f t="shared" si="11"/>
        <v/>
      </c>
      <c r="AL78" s="184" t="str">
        <f t="shared" si="12"/>
        <v/>
      </c>
      <c r="AM78" s="185" t="str">
        <f t="shared" si="13"/>
        <v/>
      </c>
    </row>
    <row r="79" spans="2:39" ht="18" x14ac:dyDescent="0.45">
      <c r="B79" s="22"/>
      <c r="C79" s="224">
        <f t="shared" si="0"/>
        <v>64.541666666666671</v>
      </c>
      <c r="D79" s="120">
        <v>55</v>
      </c>
      <c r="E79" s="167">
        <f t="shared" si="15"/>
        <v>64</v>
      </c>
      <c r="F79" s="168">
        <f t="shared" si="16"/>
        <v>6.5</v>
      </c>
      <c r="G79" s="192">
        <f t="shared" si="4"/>
        <v>4.541666666666667</v>
      </c>
      <c r="H79" s="169">
        <f>IF(D79&lt;=$N$12+1,'死亡率（標準生命表）'!M58,0)</f>
        <v>7.1740568937928018E-4</v>
      </c>
      <c r="I79" s="170">
        <f>IF(D79&lt;$N$12+1,'死亡率（標準生命表）'!N59,IF(D79=$N$12+1,I78,0))</f>
        <v>0.96663372141025694</v>
      </c>
      <c r="J79" s="171">
        <f>IF(E79="",0,CalcPut($G$11,$G$15,$G$12,$G$13,$G$14,G79))</f>
        <v>77.05218025036136</v>
      </c>
      <c r="M79" s="125">
        <f t="shared" si="5"/>
        <v>77.05218025036136</v>
      </c>
      <c r="N79" s="126">
        <f t="shared" si="6"/>
        <v>7.1740568937928018E-4</v>
      </c>
      <c r="O79" s="209">
        <f t="shared" si="7"/>
        <v>5.5277672490687046E-2</v>
      </c>
      <c r="P79"/>
      <c r="R79"/>
      <c r="S79"/>
      <c r="T79"/>
      <c r="U79"/>
      <c r="Y79" s="180">
        <f t="shared" si="8"/>
        <v>75.616683852159525</v>
      </c>
      <c r="Z79" s="181">
        <f t="shared" si="14"/>
        <v>7.1740568937928018E-4</v>
      </c>
      <c r="AA79" s="196">
        <f t="shared" si="9"/>
        <v>0.96663372141025694</v>
      </c>
      <c r="AB79" s="204">
        <f t="shared" si="10"/>
        <v>5.4247839207533587E-2</v>
      </c>
      <c r="AI79" s="21"/>
      <c r="AK79" s="183" t="str">
        <f t="shared" si="11"/>
        <v/>
      </c>
      <c r="AL79" s="184" t="str">
        <f t="shared" si="12"/>
        <v/>
      </c>
      <c r="AM79" s="185" t="str">
        <f t="shared" si="13"/>
        <v/>
      </c>
    </row>
    <row r="80" spans="2:39" ht="18" x14ac:dyDescent="0.45">
      <c r="B80" s="22"/>
      <c r="C80" s="224">
        <f t="shared" si="0"/>
        <v>64.625</v>
      </c>
      <c r="D80" s="120">
        <v>56</v>
      </c>
      <c r="E80" s="167">
        <f t="shared" si="15"/>
        <v>64</v>
      </c>
      <c r="F80" s="168">
        <f t="shared" si="16"/>
        <v>7.5</v>
      </c>
      <c r="G80" s="192">
        <f t="shared" si="4"/>
        <v>4.625</v>
      </c>
      <c r="H80" s="169">
        <f>IF(D80&lt;=$N$12+1,'死亡率（標準生命表）'!M59,0)</f>
        <v>7.1740568937916915E-4</v>
      </c>
      <c r="I80" s="170">
        <f>IF(D80&lt;$N$12+1,'死亡率（標準生命表）'!N60,IF(D80=$N$12+1,I79,0))</f>
        <v>0.96591631572087777</v>
      </c>
      <c r="J80" s="171">
        <f>IF(E80="",0,CalcPut($G$11,$G$15,$G$12,$G$13,$G$14,G80))</f>
        <v>78.032787623224877</v>
      </c>
      <c r="M80" s="125">
        <f t="shared" si="5"/>
        <v>78.032787623224877</v>
      </c>
      <c r="N80" s="126">
        <f t="shared" si="6"/>
        <v>7.1740568937916915E-4</v>
      </c>
      <c r="O80" s="209">
        <f t="shared" si="7"/>
        <v>5.5981165799017941E-2</v>
      </c>
      <c r="P80"/>
      <c r="R80"/>
      <c r="S80"/>
      <c r="T80"/>
      <c r="U80"/>
      <c r="Y80" s="180">
        <f t="shared" si="8"/>
        <v>76.909799658073084</v>
      </c>
      <c r="Z80" s="181">
        <f t="shared" si="14"/>
        <v>7.1740568937916915E-4</v>
      </c>
      <c r="AA80" s="196">
        <f t="shared" si="9"/>
        <v>0.96591631572087777</v>
      </c>
      <c r="AB80" s="204">
        <f t="shared" si="10"/>
        <v>5.5175527843713712E-2</v>
      </c>
      <c r="AI80" s="21"/>
      <c r="AK80" s="183" t="str">
        <f t="shared" si="11"/>
        <v/>
      </c>
      <c r="AL80" s="184" t="str">
        <f t="shared" si="12"/>
        <v/>
      </c>
      <c r="AM80" s="185" t="str">
        <f t="shared" si="13"/>
        <v/>
      </c>
    </row>
    <row r="81" spans="2:39" ht="18" x14ac:dyDescent="0.45">
      <c r="B81" s="22"/>
      <c r="C81" s="224">
        <f t="shared" si="0"/>
        <v>64.708333333333329</v>
      </c>
      <c r="D81" s="120">
        <v>57</v>
      </c>
      <c r="E81" s="167">
        <f t="shared" si="15"/>
        <v>64</v>
      </c>
      <c r="F81" s="168">
        <f t="shared" si="16"/>
        <v>8.5</v>
      </c>
      <c r="G81" s="192">
        <f t="shared" si="4"/>
        <v>4.708333333333333</v>
      </c>
      <c r="H81" s="169">
        <f>IF(D81&lt;=$N$12+1,'死亡率（標準生命表）'!M60,0)</f>
        <v>7.1740568937916915E-4</v>
      </c>
      <c r="I81" s="170">
        <f>IF(D81&lt;$N$12+1,'死亡率（標準生命表）'!N61,IF(D81=$N$12+1,I80,0))</f>
        <v>0.9651989100314986</v>
      </c>
      <c r="J81" s="171">
        <f>IF(E81="",0,CalcPut($G$11,$G$15,$G$12,$G$13,$G$14,G81))</f>
        <v>79.008002249516721</v>
      </c>
      <c r="M81" s="125">
        <f t="shared" si="5"/>
        <v>79.008002249516721</v>
      </c>
      <c r="N81" s="126">
        <f t="shared" si="6"/>
        <v>7.1740568937916915E-4</v>
      </c>
      <c r="O81" s="209">
        <f t="shared" si="7"/>
        <v>5.6680790320285487E-2</v>
      </c>
      <c r="P81"/>
      <c r="R81"/>
      <c r="S81"/>
      <c r="T81"/>
      <c r="U81"/>
      <c r="Y81" s="180">
        <f t="shared" si="8"/>
        <v>78.199674278638724</v>
      </c>
      <c r="Z81" s="181">
        <f t="shared" si="14"/>
        <v>7.1740568937916915E-4</v>
      </c>
      <c r="AA81" s="196">
        <f t="shared" si="9"/>
        <v>0.9651989100314986</v>
      </c>
      <c r="AB81" s="204">
        <f t="shared" si="10"/>
        <v>5.6100891235093299E-2</v>
      </c>
      <c r="AI81" s="21"/>
      <c r="AK81" s="183" t="str">
        <f t="shared" si="11"/>
        <v/>
      </c>
      <c r="AL81" s="184" t="str">
        <f t="shared" si="12"/>
        <v/>
      </c>
      <c r="AM81" s="185" t="str">
        <f t="shared" si="13"/>
        <v/>
      </c>
    </row>
    <row r="82" spans="2:39" ht="18" x14ac:dyDescent="0.45">
      <c r="B82" s="22"/>
      <c r="C82" s="224">
        <f t="shared" si="0"/>
        <v>64.791666666666671</v>
      </c>
      <c r="D82" s="120">
        <v>58</v>
      </c>
      <c r="E82" s="167">
        <f t="shared" si="15"/>
        <v>64</v>
      </c>
      <c r="F82" s="168">
        <f t="shared" si="16"/>
        <v>9.5</v>
      </c>
      <c r="G82" s="192">
        <f t="shared" si="4"/>
        <v>4.791666666666667</v>
      </c>
      <c r="H82" s="169">
        <f>IF(D82&lt;=$N$12+1,'死亡率（標準生命表）'!M61,0)</f>
        <v>7.1740568937916915E-4</v>
      </c>
      <c r="I82" s="170">
        <f>IF(D82&lt;$N$12+1,'死亡率（標準生命表）'!N62,IF(D82=$N$12+1,I81,0))</f>
        <v>0.96448150434211943</v>
      </c>
      <c r="J82" s="171">
        <f>IF(E82="",0,CalcPut($G$11,$G$15,$G$12,$G$13,$G$14,G82))</f>
        <v>79.977906814944447</v>
      </c>
      <c r="M82" s="125">
        <f t="shared" si="5"/>
        <v>79.977906814944447</v>
      </c>
      <c r="N82" s="126">
        <f t="shared" si="6"/>
        <v>7.1740568937916915E-4</v>
      </c>
      <c r="O82" s="209">
        <f t="shared" si="7"/>
        <v>5.7376605373678169E-2</v>
      </c>
      <c r="P82"/>
      <c r="R82"/>
      <c r="S82"/>
      <c r="T82"/>
      <c r="U82"/>
      <c r="Y82" s="180">
        <f t="shared" si="8"/>
        <v>79.486315837863913</v>
      </c>
      <c r="Z82" s="181">
        <f t="shared" si="14"/>
        <v>7.1740568937916915E-4</v>
      </c>
      <c r="AA82" s="196">
        <f t="shared" si="9"/>
        <v>0.96448150434211943</v>
      </c>
      <c r="AB82" s="204">
        <f t="shared" si="10"/>
        <v>5.7023935209873131E-2</v>
      </c>
      <c r="AI82" s="21"/>
      <c r="AK82" s="183" t="str">
        <f t="shared" si="11"/>
        <v/>
      </c>
      <c r="AL82" s="184" t="str">
        <f t="shared" si="12"/>
        <v/>
      </c>
      <c r="AM82" s="185" t="str">
        <f t="shared" si="13"/>
        <v/>
      </c>
    </row>
    <row r="83" spans="2:39" ht="18" x14ac:dyDescent="0.45">
      <c r="B83" s="22"/>
      <c r="C83" s="224">
        <f t="shared" si="0"/>
        <v>64.875</v>
      </c>
      <c r="D83" s="120">
        <v>59</v>
      </c>
      <c r="E83" s="167">
        <f t="shared" si="15"/>
        <v>64</v>
      </c>
      <c r="F83" s="168">
        <f t="shared" si="16"/>
        <v>10.5</v>
      </c>
      <c r="G83" s="192">
        <f t="shared" si="4"/>
        <v>4.875</v>
      </c>
      <c r="H83" s="169">
        <f>IF(D83&lt;=$N$12+1,'死亡率（標準生命表）'!M62,0)</f>
        <v>7.1740568937916915E-4</v>
      </c>
      <c r="I83" s="170">
        <f>IF(D83&lt;$N$12+1,'死亡率（標準生命表）'!N63,IF(D83=$N$12+1,I82,0))</f>
        <v>0.96376409865274026</v>
      </c>
      <c r="J83" s="171">
        <f>IF(E83="",0,CalcPut($G$11,$G$15,$G$12,$G$13,$G$14,G83))</f>
        <v>80.942580393584649</v>
      </c>
      <c r="M83" s="125">
        <f t="shared" si="5"/>
        <v>80.942580393584649</v>
      </c>
      <c r="N83" s="126">
        <f t="shared" si="6"/>
        <v>7.1740568937916915E-4</v>
      </c>
      <c r="O83" s="209">
        <f t="shared" si="7"/>
        <v>5.8068667687388414E-2</v>
      </c>
      <c r="P83"/>
      <c r="R83"/>
      <c r="S83"/>
      <c r="T83"/>
      <c r="U83"/>
      <c r="Y83" s="180">
        <f t="shared" si="8"/>
        <v>80.769732439393266</v>
      </c>
      <c r="Z83" s="181">
        <f t="shared" si="14"/>
        <v>7.1740568937916915E-4</v>
      </c>
      <c r="AA83" s="196">
        <f t="shared" si="9"/>
        <v>0.96376409865274026</v>
      </c>
      <c r="AB83" s="204">
        <f t="shared" si="10"/>
        <v>5.7944665581653967E-2</v>
      </c>
      <c r="AI83" s="21"/>
      <c r="AK83" s="183" t="str">
        <f t="shared" si="11"/>
        <v/>
      </c>
      <c r="AL83" s="184" t="str">
        <f t="shared" si="12"/>
        <v/>
      </c>
      <c r="AM83" s="185" t="str">
        <f t="shared" si="13"/>
        <v/>
      </c>
    </row>
    <row r="84" spans="2:39" ht="18" x14ac:dyDescent="0.45">
      <c r="B84" s="22"/>
      <c r="C84" s="224">
        <f t="shared" si="0"/>
        <v>64.958333333333329</v>
      </c>
      <c r="D84" s="120">
        <v>60</v>
      </c>
      <c r="E84" s="167">
        <f t="shared" si="15"/>
        <v>64</v>
      </c>
      <c r="F84" s="168">
        <f t="shared" si="16"/>
        <v>11.5</v>
      </c>
      <c r="G84" s="192">
        <f t="shared" si="4"/>
        <v>4.958333333333333</v>
      </c>
      <c r="H84" s="169">
        <f>IF(D84&lt;=$N$12+1,'死亡率（標準生命表）'!M63,0)</f>
        <v>7.1740568937916915E-4</v>
      </c>
      <c r="I84" s="170">
        <f>IF(D84&lt;$N$12+1,'死亡率（標準生命表）'!N64,IF(D84=$N$12+1,I83,0))</f>
        <v>0.9630466929633611</v>
      </c>
      <c r="J84" s="171">
        <f>IF(E84="",0,CalcPut($G$11,$G$15,$G$12,$G$13,$G$14,G84))</f>
        <v>81.902098671024234</v>
      </c>
      <c r="M84" s="125">
        <f t="shared" si="5"/>
        <v>81.902098671024234</v>
      </c>
      <c r="N84" s="126">
        <f t="shared" si="6"/>
        <v>7.1740568937916915E-4</v>
      </c>
      <c r="O84" s="209">
        <f t="shared" si="7"/>
        <v>5.8757031558686876E-2</v>
      </c>
      <c r="P84"/>
      <c r="R84"/>
      <c r="S84"/>
      <c r="T84"/>
      <c r="U84"/>
      <c r="Y84" s="180">
        <f t="shared" si="8"/>
        <v>82.049932166559913</v>
      </c>
      <c r="Z84" s="181">
        <f t="shared" si="14"/>
        <v>7.1740568937916915E-4</v>
      </c>
      <c r="AA84" s="196">
        <f t="shared" si="9"/>
        <v>0.9630466929633611</v>
      </c>
      <c r="AB84" s="204">
        <f t="shared" si="10"/>
        <v>5.8863088149464983E-2</v>
      </c>
      <c r="AI84" s="21"/>
      <c r="AK84" s="183" t="str">
        <f t="shared" si="11"/>
        <v/>
      </c>
      <c r="AL84" s="184" t="str">
        <f t="shared" si="12"/>
        <v/>
      </c>
      <c r="AM84" s="185" t="str">
        <f t="shared" si="13"/>
        <v/>
      </c>
    </row>
    <row r="85" spans="2:39" ht="18" x14ac:dyDescent="0.45">
      <c r="B85" s="22"/>
      <c r="C85" s="224">
        <f t="shared" si="0"/>
        <v>65</v>
      </c>
      <c r="D85" s="120">
        <v>61</v>
      </c>
      <c r="E85" s="167">
        <f t="shared" si="15"/>
        <v>65</v>
      </c>
      <c r="F85" s="168">
        <f t="shared" si="16"/>
        <v>0</v>
      </c>
      <c r="G85" s="192">
        <f t="shared" si="4"/>
        <v>5</v>
      </c>
      <c r="H85" s="169">
        <f>IF(D85&lt;=$N$12+1,'死亡率（標準生命表）'!M64,0)</f>
        <v>7.7525258783561757E-4</v>
      </c>
      <c r="I85" s="170">
        <f>IF(D85&lt;$N$12+1,'死亡率（標準生命表）'!N65,IF(D85=$N$12+1,I84,0))</f>
        <v>0.9630466929633611</v>
      </c>
      <c r="J85" s="171">
        <f>IF(E85="",0,CalcPut($G$11,$G$15,$G$12,$G$13,$G$14,G85))</f>
        <v>82.379947348029219</v>
      </c>
      <c r="M85" s="125">
        <f t="shared" si="5"/>
        <v>82.379947348029219</v>
      </c>
      <c r="N85" s="126">
        <f t="shared" si="6"/>
        <v>7.7525258783561757E-4</v>
      </c>
      <c r="O85" s="209">
        <f t="shared" si="7"/>
        <v>6.3865267367321579E-2</v>
      </c>
      <c r="P85"/>
      <c r="R85"/>
      <c r="S85"/>
      <c r="T85"/>
      <c r="U85"/>
      <c r="Y85" s="180">
        <f>IF($E85="",0,$G$11*$M$17*(1-EXP(-$M$16*G85))/$M$16)</f>
        <v>82.688828222757252</v>
      </c>
      <c r="Z85" s="181">
        <f t="shared" si="14"/>
        <v>7.7525258783561757E-4</v>
      </c>
      <c r="AA85" s="196">
        <f t="shared" si="9"/>
        <v>0.9630466929633611</v>
      </c>
      <c r="AB85" s="204">
        <f t="shared" si="10"/>
        <v>79.633202564941811</v>
      </c>
      <c r="AI85" s="21"/>
      <c r="AK85" s="183">
        <f t="shared" si="11"/>
        <v>82.379947348029219</v>
      </c>
      <c r="AL85" s="184">
        <f t="shared" si="12"/>
        <v>0.9630466929633611</v>
      </c>
      <c r="AM85" s="185">
        <f t="shared" si="13"/>
        <v>0</v>
      </c>
    </row>
    <row r="86" spans="2:39" ht="18" x14ac:dyDescent="0.45">
      <c r="B86" s="22"/>
      <c r="C86" s="224" t="str">
        <f t="shared" si="0"/>
        <v/>
      </c>
      <c r="D86" s="120">
        <v>62</v>
      </c>
      <c r="E86" s="167" t="str">
        <f t="shared" si="15"/>
        <v/>
      </c>
      <c r="F86" s="168" t="str">
        <f t="shared" si="16"/>
        <v/>
      </c>
      <c r="G86" s="192" t="str">
        <f t="shared" si="4"/>
        <v/>
      </c>
      <c r="H86" s="169">
        <f>IF(D86&lt;=$N$12+1,'死亡率（標準生命表）'!M65,0)</f>
        <v>0</v>
      </c>
      <c r="I86" s="170">
        <f>IF(D86&lt;$N$12+1,'死亡率（標準生命表）'!N66,IF(D86=$N$12+1,I85,0))</f>
        <v>0</v>
      </c>
      <c r="J86" s="171">
        <f>IF(E86="",0,CalcPut($G$11,$G$15,$G$12,$G$13,$G$14,G86))</f>
        <v>0</v>
      </c>
      <c r="M86" s="125">
        <f t="shared" si="5"/>
        <v>0</v>
      </c>
      <c r="N86" s="126">
        <f t="shared" si="6"/>
        <v>0</v>
      </c>
      <c r="O86" s="209">
        <f t="shared" si="7"/>
        <v>0</v>
      </c>
      <c r="P86"/>
      <c r="R86"/>
      <c r="S86"/>
      <c r="T86"/>
      <c r="U86"/>
      <c r="Y86" s="180">
        <f t="shared" ref="Y86:Y145" si="17">IF($E86="",0,$G$11*$M$17*(1-EXP(-$M$16*G86))/$M$16)</f>
        <v>0</v>
      </c>
      <c r="Z86" s="181">
        <f t="shared" si="14"/>
        <v>0</v>
      </c>
      <c r="AA86" s="196">
        <f t="shared" si="9"/>
        <v>0</v>
      </c>
      <c r="AB86" s="204">
        <f t="shared" si="10"/>
        <v>0</v>
      </c>
      <c r="AI86" s="21"/>
      <c r="AK86" s="183" t="str">
        <f t="shared" si="11"/>
        <v/>
      </c>
      <c r="AL86" s="184" t="str">
        <f t="shared" si="12"/>
        <v/>
      </c>
      <c r="AM86" s="185" t="str">
        <f t="shared" si="13"/>
        <v/>
      </c>
    </row>
    <row r="87" spans="2:39" ht="18" x14ac:dyDescent="0.45">
      <c r="B87" s="22"/>
      <c r="C87" s="224" t="str">
        <f t="shared" si="0"/>
        <v/>
      </c>
      <c r="D87" s="120">
        <v>63</v>
      </c>
      <c r="E87" s="167" t="str">
        <f t="shared" si="15"/>
        <v/>
      </c>
      <c r="F87" s="168" t="str">
        <f t="shared" si="16"/>
        <v/>
      </c>
      <c r="G87" s="192" t="str">
        <f t="shared" si="4"/>
        <v/>
      </c>
      <c r="H87" s="169">
        <f>IF(D87&lt;=$N$12+1,'死亡率（標準生命表）'!M66,0)</f>
        <v>0</v>
      </c>
      <c r="I87" s="170">
        <f>IF(D87&lt;$N$12+1,'死亡率（標準生命表）'!N67,IF(D87=$N$12+1,I86,0))</f>
        <v>0</v>
      </c>
      <c r="J87" s="171">
        <f>IF(E87="",0,CalcPut($G$11,$G$15,$G$12,$G$13,$G$14,G87))</f>
        <v>0</v>
      </c>
      <c r="M87" s="125">
        <f t="shared" si="5"/>
        <v>0</v>
      </c>
      <c r="N87" s="126">
        <f t="shared" si="6"/>
        <v>0</v>
      </c>
      <c r="O87" s="209">
        <f t="shared" si="7"/>
        <v>0</v>
      </c>
      <c r="P87"/>
      <c r="R87"/>
      <c r="S87"/>
      <c r="T87"/>
      <c r="U87"/>
      <c r="Y87" s="180">
        <f t="shared" si="17"/>
        <v>0</v>
      </c>
      <c r="Z87" s="181">
        <f t="shared" si="14"/>
        <v>0</v>
      </c>
      <c r="AA87" s="196">
        <f t="shared" si="9"/>
        <v>0</v>
      </c>
      <c r="AB87" s="204">
        <f t="shared" si="10"/>
        <v>0</v>
      </c>
      <c r="AI87" s="21"/>
      <c r="AK87" s="183" t="str">
        <f t="shared" si="11"/>
        <v/>
      </c>
      <c r="AL87" s="184" t="str">
        <f t="shared" si="12"/>
        <v/>
      </c>
      <c r="AM87" s="185" t="str">
        <f t="shared" si="13"/>
        <v/>
      </c>
    </row>
    <row r="88" spans="2:39" ht="18" x14ac:dyDescent="0.45">
      <c r="B88" s="22"/>
      <c r="C88" s="224" t="str">
        <f t="shared" si="0"/>
        <v/>
      </c>
      <c r="D88" s="120">
        <v>64</v>
      </c>
      <c r="E88" s="167" t="str">
        <f t="shared" si="15"/>
        <v/>
      </c>
      <c r="F88" s="168" t="str">
        <f t="shared" si="16"/>
        <v/>
      </c>
      <c r="G88" s="192" t="str">
        <f t="shared" si="4"/>
        <v/>
      </c>
      <c r="H88" s="169">
        <f>IF(D88&lt;=$N$12+1,'死亡率（標準生命表）'!M67,0)</f>
        <v>0</v>
      </c>
      <c r="I88" s="170">
        <f>IF(D88&lt;$N$12+1,'死亡率（標準生命表）'!N68,IF(D88=$N$12+1,I87,0))</f>
        <v>0</v>
      </c>
      <c r="J88" s="171">
        <f>IF(E88="",0,CalcPut($G$11,$G$15,$G$12,$G$13,$G$14,G88))</f>
        <v>0</v>
      </c>
      <c r="M88" s="125">
        <f t="shared" si="5"/>
        <v>0</v>
      </c>
      <c r="N88" s="126">
        <f t="shared" si="6"/>
        <v>0</v>
      </c>
      <c r="O88" s="209">
        <f t="shared" si="7"/>
        <v>0</v>
      </c>
      <c r="P88"/>
      <c r="R88"/>
      <c r="S88"/>
      <c r="T88"/>
      <c r="U88"/>
      <c r="Y88" s="180">
        <f t="shared" si="17"/>
        <v>0</v>
      </c>
      <c r="Z88" s="181">
        <f t="shared" si="14"/>
        <v>0</v>
      </c>
      <c r="AA88" s="196">
        <f t="shared" si="9"/>
        <v>0</v>
      </c>
      <c r="AB88" s="204">
        <f t="shared" si="10"/>
        <v>0</v>
      </c>
      <c r="AI88" s="21"/>
      <c r="AK88" s="183" t="str">
        <f t="shared" si="11"/>
        <v/>
      </c>
      <c r="AL88" s="184" t="str">
        <f t="shared" si="12"/>
        <v/>
      </c>
      <c r="AM88" s="185" t="str">
        <f t="shared" si="13"/>
        <v/>
      </c>
    </row>
    <row r="89" spans="2:39" ht="18" x14ac:dyDescent="0.45">
      <c r="B89" s="22"/>
      <c r="C89" s="224" t="str">
        <f t="shared" ref="C89:C145" si="18">IF(E89="","",E89+F89/12)</f>
        <v/>
      </c>
      <c r="D89" s="120">
        <v>65</v>
      </c>
      <c r="E89" s="167" t="str">
        <f t="shared" si="15"/>
        <v/>
      </c>
      <c r="F89" s="168" t="str">
        <f t="shared" si="16"/>
        <v/>
      </c>
      <c r="G89" s="192" t="str">
        <f t="shared" si="4"/>
        <v/>
      </c>
      <c r="H89" s="169">
        <f>IF(D89&lt;=$N$12+1,'死亡率（標準生命表）'!M68,0)</f>
        <v>0</v>
      </c>
      <c r="I89" s="170">
        <f>IF(D89&lt;$N$12+1,'死亡率（標準生命表）'!N69,IF(D89=$N$12+1,I88,0))</f>
        <v>0</v>
      </c>
      <c r="J89" s="171">
        <f>IF(E89="",0,CalcPut($G$11,$G$15,$G$12,$G$13,$G$14,G89))</f>
        <v>0</v>
      </c>
      <c r="M89" s="125">
        <f t="shared" si="5"/>
        <v>0</v>
      </c>
      <c r="N89" s="126">
        <f t="shared" si="6"/>
        <v>0</v>
      </c>
      <c r="O89" s="209">
        <f t="shared" si="7"/>
        <v>0</v>
      </c>
      <c r="P89"/>
      <c r="R89"/>
      <c r="S89"/>
      <c r="T89"/>
      <c r="U89"/>
      <c r="Y89" s="180">
        <f t="shared" si="17"/>
        <v>0</v>
      </c>
      <c r="Z89" s="181">
        <f t="shared" ref="Z89:Z120" si="19">H89</f>
        <v>0</v>
      </c>
      <c r="AA89" s="196">
        <f t="shared" si="9"/>
        <v>0</v>
      </c>
      <c r="AB89" s="204">
        <f t="shared" si="10"/>
        <v>0</v>
      </c>
      <c r="AI89" s="21"/>
      <c r="AK89" s="183" t="str">
        <f t="shared" si="11"/>
        <v/>
      </c>
      <c r="AL89" s="184" t="str">
        <f t="shared" si="12"/>
        <v/>
      </c>
      <c r="AM89" s="185" t="str">
        <f t="shared" si="13"/>
        <v/>
      </c>
    </row>
    <row r="90" spans="2:39" ht="18" x14ac:dyDescent="0.45">
      <c r="B90" s="22"/>
      <c r="C90" s="224" t="str">
        <f t="shared" si="18"/>
        <v/>
      </c>
      <c r="D90" s="120">
        <v>66</v>
      </c>
      <c r="E90" s="167" t="str">
        <f t="shared" ref="E90:E121" si="20">IF(D90&lt;=$N$12,IF(F90=0.5,E89+1,E89),IF(D90=$N$12+1,E89+1,""))</f>
        <v/>
      </c>
      <c r="F90" s="168" t="str">
        <f t="shared" ref="F90:F121" si="21">IF(D90&lt;=$N$12,IF(F89=11.5,0.5,F89+1),IF(D90=$N$12+1,0,""))</f>
        <v/>
      </c>
      <c r="G90" s="192" t="str">
        <f t="shared" ref="G90:G145" si="22">IFERROR(E90-$E$24+F90/12,"")</f>
        <v/>
      </c>
      <c r="H90" s="169">
        <f>IF(D90&lt;=$N$12+1,'死亡率（標準生命表）'!M69,0)</f>
        <v>0</v>
      </c>
      <c r="I90" s="170">
        <f>IF(D90&lt;$N$12+1,'死亡率（標準生命表）'!N70,IF(D90=$N$12+1,I89,0))</f>
        <v>0</v>
      </c>
      <c r="J90" s="171">
        <f>IF(E90="",0,CalcPut($G$11,$G$15,$G$12,$G$13,$G$14,G90))</f>
        <v>0</v>
      </c>
      <c r="M90" s="125">
        <f t="shared" ref="M90:M144" si="23">J90</f>
        <v>0</v>
      </c>
      <c r="N90" s="126">
        <f t="shared" ref="N90:N144" si="24">H90</f>
        <v>0</v>
      </c>
      <c r="O90" s="209">
        <f t="shared" ref="O90:O144" si="25">M90*N90</f>
        <v>0</v>
      </c>
      <c r="P90"/>
      <c r="R90"/>
      <c r="S90"/>
      <c r="T90"/>
      <c r="U90"/>
      <c r="Y90" s="180">
        <f t="shared" si="17"/>
        <v>0</v>
      </c>
      <c r="Z90" s="181">
        <f t="shared" si="19"/>
        <v>0</v>
      </c>
      <c r="AA90" s="196">
        <f t="shared" ref="AA90:AA145" si="26">I90</f>
        <v>0</v>
      </c>
      <c r="AB90" s="204">
        <f t="shared" ref="AB90:AB145" si="27">IF(D90=$N$12+1,$AA90,$Z90)*$Y90</f>
        <v>0</v>
      </c>
      <c r="AI90" s="21"/>
      <c r="AK90" s="183" t="str">
        <f t="shared" ref="AK90:AK145" si="28">IF($D90=$N$12+1,$R$24,"")</f>
        <v/>
      </c>
      <c r="AL90" s="184" t="str">
        <f t="shared" ref="AL90:AL145" si="29">IF($D90=$N$12+1,$S$24,"")</f>
        <v/>
      </c>
      <c r="AM90" s="185" t="str">
        <f t="shared" ref="AM90:AM145" si="30">IF($D90=$N$12+1,$T$24,"")</f>
        <v/>
      </c>
    </row>
    <row r="91" spans="2:39" ht="18" x14ac:dyDescent="0.45">
      <c r="B91" s="22"/>
      <c r="C91" s="224" t="str">
        <f t="shared" si="18"/>
        <v/>
      </c>
      <c r="D91" s="120">
        <v>67</v>
      </c>
      <c r="E91" s="167" t="str">
        <f t="shared" si="20"/>
        <v/>
      </c>
      <c r="F91" s="168" t="str">
        <f t="shared" si="21"/>
        <v/>
      </c>
      <c r="G91" s="192" t="str">
        <f t="shared" si="22"/>
        <v/>
      </c>
      <c r="H91" s="169">
        <f>IF(D91&lt;=$N$12+1,'死亡率（標準生命表）'!M70,0)</f>
        <v>0</v>
      </c>
      <c r="I91" s="170">
        <f>IF(D91&lt;$N$12+1,'死亡率（標準生命表）'!N71,IF(D91=$N$12+1,I90,0))</f>
        <v>0</v>
      </c>
      <c r="J91" s="171">
        <f>IF(E91="",0,CalcPut($G$11,$G$15,$G$12,$G$13,$G$14,G91))</f>
        <v>0</v>
      </c>
      <c r="M91" s="125">
        <f t="shared" si="23"/>
        <v>0</v>
      </c>
      <c r="N91" s="126">
        <f t="shared" si="24"/>
        <v>0</v>
      </c>
      <c r="O91" s="209">
        <f t="shared" si="25"/>
        <v>0</v>
      </c>
      <c r="P91"/>
      <c r="R91"/>
      <c r="S91"/>
      <c r="T91"/>
      <c r="U91"/>
      <c r="Y91" s="180">
        <f t="shared" si="17"/>
        <v>0</v>
      </c>
      <c r="Z91" s="181">
        <f t="shared" si="19"/>
        <v>0</v>
      </c>
      <c r="AA91" s="196">
        <f t="shared" si="26"/>
        <v>0</v>
      </c>
      <c r="AB91" s="204">
        <f t="shared" si="27"/>
        <v>0</v>
      </c>
      <c r="AI91" s="21"/>
      <c r="AK91" s="183" t="str">
        <f t="shared" si="28"/>
        <v/>
      </c>
      <c r="AL91" s="184" t="str">
        <f t="shared" si="29"/>
        <v/>
      </c>
      <c r="AM91" s="185" t="str">
        <f t="shared" si="30"/>
        <v/>
      </c>
    </row>
    <row r="92" spans="2:39" ht="18" x14ac:dyDescent="0.45">
      <c r="B92" s="22"/>
      <c r="C92" s="224" t="str">
        <f t="shared" si="18"/>
        <v/>
      </c>
      <c r="D92" s="120">
        <v>68</v>
      </c>
      <c r="E92" s="167" t="str">
        <f t="shared" si="20"/>
        <v/>
      </c>
      <c r="F92" s="168" t="str">
        <f t="shared" si="21"/>
        <v/>
      </c>
      <c r="G92" s="192" t="str">
        <f t="shared" si="22"/>
        <v/>
      </c>
      <c r="H92" s="169">
        <f>IF(D92&lt;=$N$12+1,'死亡率（標準生命表）'!M71,0)</f>
        <v>0</v>
      </c>
      <c r="I92" s="170">
        <f>IF(D92&lt;$N$12+1,'死亡率（標準生命表）'!N72,IF(D92=$N$12+1,I91,0))</f>
        <v>0</v>
      </c>
      <c r="J92" s="171">
        <f>IF(E92="",0,CalcPut($G$11,$G$15,$G$12,$G$13,$G$14,G92))</f>
        <v>0</v>
      </c>
      <c r="M92" s="125">
        <f t="shared" si="23"/>
        <v>0</v>
      </c>
      <c r="N92" s="126">
        <f t="shared" si="24"/>
        <v>0</v>
      </c>
      <c r="O92" s="209">
        <f t="shared" si="25"/>
        <v>0</v>
      </c>
      <c r="P92"/>
      <c r="R92"/>
      <c r="S92"/>
      <c r="T92"/>
      <c r="U92"/>
      <c r="Y92" s="180">
        <f t="shared" si="17"/>
        <v>0</v>
      </c>
      <c r="Z92" s="181">
        <f t="shared" si="19"/>
        <v>0</v>
      </c>
      <c r="AA92" s="196">
        <f t="shared" si="26"/>
        <v>0</v>
      </c>
      <c r="AB92" s="204">
        <f t="shared" si="27"/>
        <v>0</v>
      </c>
      <c r="AI92" s="21"/>
      <c r="AK92" s="183" t="str">
        <f t="shared" si="28"/>
        <v/>
      </c>
      <c r="AL92" s="184" t="str">
        <f t="shared" si="29"/>
        <v/>
      </c>
      <c r="AM92" s="185" t="str">
        <f t="shared" si="30"/>
        <v/>
      </c>
    </row>
    <row r="93" spans="2:39" ht="18" x14ac:dyDescent="0.45">
      <c r="B93" s="22"/>
      <c r="C93" s="224" t="str">
        <f t="shared" si="18"/>
        <v/>
      </c>
      <c r="D93" s="120">
        <v>69</v>
      </c>
      <c r="E93" s="167" t="str">
        <f t="shared" si="20"/>
        <v/>
      </c>
      <c r="F93" s="168" t="str">
        <f t="shared" si="21"/>
        <v/>
      </c>
      <c r="G93" s="192" t="str">
        <f t="shared" si="22"/>
        <v/>
      </c>
      <c r="H93" s="169">
        <f>IF(D93&lt;=$N$12+1,'死亡率（標準生命表）'!M72,0)</f>
        <v>0</v>
      </c>
      <c r="I93" s="170">
        <f>IF(D93&lt;$N$12+1,'死亡率（標準生命表）'!N73,IF(D93=$N$12+1,I92,0))</f>
        <v>0</v>
      </c>
      <c r="J93" s="171">
        <f>IF(E93="",0,CalcPut($G$11,$G$15,$G$12,$G$13,$G$14,G93))</f>
        <v>0</v>
      </c>
      <c r="M93" s="125">
        <f t="shared" si="23"/>
        <v>0</v>
      </c>
      <c r="N93" s="126">
        <f t="shared" si="24"/>
        <v>0</v>
      </c>
      <c r="O93" s="209">
        <f t="shared" si="25"/>
        <v>0</v>
      </c>
      <c r="P93"/>
      <c r="R93"/>
      <c r="S93"/>
      <c r="T93"/>
      <c r="U93"/>
      <c r="Y93" s="180">
        <f t="shared" si="17"/>
        <v>0</v>
      </c>
      <c r="Z93" s="181">
        <f t="shared" si="19"/>
        <v>0</v>
      </c>
      <c r="AA93" s="196">
        <f t="shared" si="26"/>
        <v>0</v>
      </c>
      <c r="AB93" s="204">
        <f t="shared" si="27"/>
        <v>0</v>
      </c>
      <c r="AI93" s="21"/>
      <c r="AK93" s="183" t="str">
        <f t="shared" si="28"/>
        <v/>
      </c>
      <c r="AL93" s="184" t="str">
        <f t="shared" si="29"/>
        <v/>
      </c>
      <c r="AM93" s="185" t="str">
        <f t="shared" si="30"/>
        <v/>
      </c>
    </row>
    <row r="94" spans="2:39" ht="18" x14ac:dyDescent="0.45">
      <c r="B94" s="22"/>
      <c r="C94" s="224" t="str">
        <f t="shared" si="18"/>
        <v/>
      </c>
      <c r="D94" s="120">
        <v>70</v>
      </c>
      <c r="E94" s="167" t="str">
        <f t="shared" si="20"/>
        <v/>
      </c>
      <c r="F94" s="168" t="str">
        <f t="shared" si="21"/>
        <v/>
      </c>
      <c r="G94" s="192" t="str">
        <f t="shared" si="22"/>
        <v/>
      </c>
      <c r="H94" s="169">
        <f>IF(D94&lt;=$N$12+1,'死亡率（標準生命表）'!M73,0)</f>
        <v>0</v>
      </c>
      <c r="I94" s="170">
        <f>IF(D94&lt;$N$12+1,'死亡率（標準生命表）'!N74,IF(D94=$N$12+1,I93,0))</f>
        <v>0</v>
      </c>
      <c r="J94" s="171">
        <f>IF(E94="",0,CalcPut($G$11,$G$15,$G$12,$G$13,$G$14,G94))</f>
        <v>0</v>
      </c>
      <c r="M94" s="125">
        <f t="shared" si="23"/>
        <v>0</v>
      </c>
      <c r="N94" s="126">
        <f t="shared" si="24"/>
        <v>0</v>
      </c>
      <c r="O94" s="209">
        <f t="shared" si="25"/>
        <v>0</v>
      </c>
      <c r="P94"/>
      <c r="R94"/>
      <c r="S94"/>
      <c r="T94"/>
      <c r="U94"/>
      <c r="Y94" s="180">
        <f t="shared" si="17"/>
        <v>0</v>
      </c>
      <c r="Z94" s="181">
        <f t="shared" si="19"/>
        <v>0</v>
      </c>
      <c r="AA94" s="196">
        <f t="shared" si="26"/>
        <v>0</v>
      </c>
      <c r="AB94" s="204">
        <f t="shared" si="27"/>
        <v>0</v>
      </c>
      <c r="AI94" s="21"/>
      <c r="AK94" s="183" t="str">
        <f t="shared" si="28"/>
        <v/>
      </c>
      <c r="AL94" s="184" t="str">
        <f t="shared" si="29"/>
        <v/>
      </c>
      <c r="AM94" s="185" t="str">
        <f t="shared" si="30"/>
        <v/>
      </c>
    </row>
    <row r="95" spans="2:39" ht="18" x14ac:dyDescent="0.45">
      <c r="B95" s="22"/>
      <c r="C95" s="224" t="str">
        <f t="shared" si="18"/>
        <v/>
      </c>
      <c r="D95" s="120">
        <v>71</v>
      </c>
      <c r="E95" s="167" t="str">
        <f t="shared" si="20"/>
        <v/>
      </c>
      <c r="F95" s="168" t="str">
        <f t="shared" si="21"/>
        <v/>
      </c>
      <c r="G95" s="192" t="str">
        <f t="shared" si="22"/>
        <v/>
      </c>
      <c r="H95" s="169">
        <f>IF(D95&lt;=$N$12+1,'死亡率（標準生命表）'!M74,0)</f>
        <v>0</v>
      </c>
      <c r="I95" s="170">
        <f>IF(D95&lt;$N$12+1,'死亡率（標準生命表）'!N75,IF(D95=$N$12+1,I94,0))</f>
        <v>0</v>
      </c>
      <c r="J95" s="171">
        <f>IF(E95="",0,CalcPut($G$11,$G$15,$G$12,$G$13,$G$14,G95))</f>
        <v>0</v>
      </c>
      <c r="M95" s="125">
        <f t="shared" si="23"/>
        <v>0</v>
      </c>
      <c r="N95" s="126">
        <f t="shared" si="24"/>
        <v>0</v>
      </c>
      <c r="O95" s="209">
        <f t="shared" si="25"/>
        <v>0</v>
      </c>
      <c r="P95"/>
      <c r="R95"/>
      <c r="S95"/>
      <c r="T95"/>
      <c r="U95"/>
      <c r="Y95" s="180">
        <f t="shared" si="17"/>
        <v>0</v>
      </c>
      <c r="Z95" s="181">
        <f t="shared" si="19"/>
        <v>0</v>
      </c>
      <c r="AA95" s="196">
        <f t="shared" si="26"/>
        <v>0</v>
      </c>
      <c r="AB95" s="204">
        <f t="shared" si="27"/>
        <v>0</v>
      </c>
      <c r="AI95" s="21"/>
      <c r="AK95" s="183" t="str">
        <f t="shared" si="28"/>
        <v/>
      </c>
      <c r="AL95" s="184" t="str">
        <f t="shared" si="29"/>
        <v/>
      </c>
      <c r="AM95" s="185" t="str">
        <f t="shared" si="30"/>
        <v/>
      </c>
    </row>
    <row r="96" spans="2:39" ht="18" x14ac:dyDescent="0.45">
      <c r="B96" s="22"/>
      <c r="C96" s="224" t="str">
        <f t="shared" si="18"/>
        <v/>
      </c>
      <c r="D96" s="120">
        <v>72</v>
      </c>
      <c r="E96" s="167" t="str">
        <f t="shared" si="20"/>
        <v/>
      </c>
      <c r="F96" s="168" t="str">
        <f t="shared" si="21"/>
        <v/>
      </c>
      <c r="G96" s="192" t="str">
        <f t="shared" si="22"/>
        <v/>
      </c>
      <c r="H96" s="169">
        <f>IF(D96&lt;=$N$12+1,'死亡率（標準生命表）'!M75,0)</f>
        <v>0</v>
      </c>
      <c r="I96" s="170">
        <f>IF(D96&lt;$N$12+1,'死亡率（標準生命表）'!N76,IF(D96=$N$12+1,I95,0))</f>
        <v>0</v>
      </c>
      <c r="J96" s="171">
        <f>IF(E96="",0,CalcPut($G$11,$G$15,$G$12,$G$13,$G$14,G96))</f>
        <v>0</v>
      </c>
      <c r="M96" s="125">
        <f t="shared" si="23"/>
        <v>0</v>
      </c>
      <c r="N96" s="126">
        <f t="shared" si="24"/>
        <v>0</v>
      </c>
      <c r="O96" s="209">
        <f t="shared" si="25"/>
        <v>0</v>
      </c>
      <c r="P96"/>
      <c r="R96"/>
      <c r="S96"/>
      <c r="T96"/>
      <c r="U96"/>
      <c r="Y96" s="180">
        <f t="shared" si="17"/>
        <v>0</v>
      </c>
      <c r="Z96" s="181">
        <f t="shared" si="19"/>
        <v>0</v>
      </c>
      <c r="AA96" s="196">
        <f t="shared" si="26"/>
        <v>0</v>
      </c>
      <c r="AB96" s="204">
        <f t="shared" si="27"/>
        <v>0</v>
      </c>
      <c r="AI96" s="21"/>
      <c r="AK96" s="183" t="str">
        <f t="shared" si="28"/>
        <v/>
      </c>
      <c r="AL96" s="184" t="str">
        <f t="shared" si="29"/>
        <v/>
      </c>
      <c r="AM96" s="185" t="str">
        <f t="shared" si="30"/>
        <v/>
      </c>
    </row>
    <row r="97" spans="2:39" ht="18" x14ac:dyDescent="0.45">
      <c r="B97" s="22"/>
      <c r="C97" s="224" t="str">
        <f t="shared" si="18"/>
        <v/>
      </c>
      <c r="D97" s="120">
        <v>73</v>
      </c>
      <c r="E97" s="167" t="str">
        <f t="shared" si="20"/>
        <v/>
      </c>
      <c r="F97" s="168" t="str">
        <f t="shared" si="21"/>
        <v/>
      </c>
      <c r="G97" s="192" t="str">
        <f t="shared" si="22"/>
        <v/>
      </c>
      <c r="H97" s="169">
        <f>IF(D97&lt;=$N$12+1,'死亡率（標準生命表）'!M76,0)</f>
        <v>0</v>
      </c>
      <c r="I97" s="170">
        <f>IF(D97&lt;$N$12+1,'死亡率（標準生命表）'!N77,IF(D97=$N$12+1,I96,0))</f>
        <v>0</v>
      </c>
      <c r="J97" s="171">
        <f>IF(E97="",0,CalcPut($G$11,$G$15,$G$12,$G$13,$G$14,G97))</f>
        <v>0</v>
      </c>
      <c r="M97" s="125">
        <f t="shared" si="23"/>
        <v>0</v>
      </c>
      <c r="N97" s="126">
        <f t="shared" si="24"/>
        <v>0</v>
      </c>
      <c r="O97" s="209">
        <f t="shared" si="25"/>
        <v>0</v>
      </c>
      <c r="P97"/>
      <c r="R97"/>
      <c r="S97"/>
      <c r="T97"/>
      <c r="U97"/>
      <c r="Y97" s="180">
        <f t="shared" si="17"/>
        <v>0</v>
      </c>
      <c r="Z97" s="181">
        <f t="shared" si="19"/>
        <v>0</v>
      </c>
      <c r="AA97" s="196">
        <f t="shared" si="26"/>
        <v>0</v>
      </c>
      <c r="AB97" s="204">
        <f t="shared" si="27"/>
        <v>0</v>
      </c>
      <c r="AI97" s="21"/>
      <c r="AK97" s="183" t="str">
        <f t="shared" si="28"/>
        <v/>
      </c>
      <c r="AL97" s="184" t="str">
        <f t="shared" si="29"/>
        <v/>
      </c>
      <c r="AM97" s="185" t="str">
        <f t="shared" si="30"/>
        <v/>
      </c>
    </row>
    <row r="98" spans="2:39" ht="18" x14ac:dyDescent="0.45">
      <c r="B98" s="22"/>
      <c r="C98" s="224" t="str">
        <f t="shared" si="18"/>
        <v/>
      </c>
      <c r="D98" s="120">
        <v>74</v>
      </c>
      <c r="E98" s="167" t="str">
        <f t="shared" si="20"/>
        <v/>
      </c>
      <c r="F98" s="168" t="str">
        <f t="shared" si="21"/>
        <v/>
      </c>
      <c r="G98" s="192" t="str">
        <f t="shared" si="22"/>
        <v/>
      </c>
      <c r="H98" s="169">
        <f>IF(D98&lt;=$N$12+1,'死亡率（標準生命表）'!M77,0)</f>
        <v>0</v>
      </c>
      <c r="I98" s="170">
        <f>IF(D98&lt;$N$12+1,'死亡率（標準生命表）'!N78,IF(D98=$N$12+1,I97,0))</f>
        <v>0</v>
      </c>
      <c r="J98" s="171">
        <f>IF(E98="",0,CalcPut($G$11,$G$15,$G$12,$G$13,$G$14,G98))</f>
        <v>0</v>
      </c>
      <c r="M98" s="125">
        <f t="shared" si="23"/>
        <v>0</v>
      </c>
      <c r="N98" s="126">
        <f t="shared" si="24"/>
        <v>0</v>
      </c>
      <c r="O98" s="209">
        <f t="shared" si="25"/>
        <v>0</v>
      </c>
      <c r="P98"/>
      <c r="R98"/>
      <c r="S98"/>
      <c r="T98"/>
      <c r="U98"/>
      <c r="Y98" s="180">
        <f t="shared" si="17"/>
        <v>0</v>
      </c>
      <c r="Z98" s="181">
        <f t="shared" si="19"/>
        <v>0</v>
      </c>
      <c r="AA98" s="196">
        <f t="shared" si="26"/>
        <v>0</v>
      </c>
      <c r="AB98" s="204">
        <f t="shared" si="27"/>
        <v>0</v>
      </c>
      <c r="AI98" s="21"/>
      <c r="AK98" s="183" t="str">
        <f t="shared" si="28"/>
        <v/>
      </c>
      <c r="AL98" s="184" t="str">
        <f t="shared" si="29"/>
        <v/>
      </c>
      <c r="AM98" s="185" t="str">
        <f t="shared" si="30"/>
        <v/>
      </c>
    </row>
    <row r="99" spans="2:39" ht="18" x14ac:dyDescent="0.45">
      <c r="B99" s="22"/>
      <c r="C99" s="224" t="str">
        <f t="shared" si="18"/>
        <v/>
      </c>
      <c r="D99" s="120">
        <v>75</v>
      </c>
      <c r="E99" s="167" t="str">
        <f t="shared" si="20"/>
        <v/>
      </c>
      <c r="F99" s="168" t="str">
        <f t="shared" si="21"/>
        <v/>
      </c>
      <c r="G99" s="192" t="str">
        <f t="shared" si="22"/>
        <v/>
      </c>
      <c r="H99" s="169">
        <f>IF(D99&lt;=$N$12+1,'死亡率（標準生命表）'!M78,0)</f>
        <v>0</v>
      </c>
      <c r="I99" s="170">
        <f>IF(D99&lt;$N$12+1,'死亡率（標準生命表）'!N79,IF(D99=$N$12+1,I98,0))</f>
        <v>0</v>
      </c>
      <c r="J99" s="171">
        <f>IF(E99="",0,CalcPut($G$11,$G$15,$G$12,$G$13,$G$14,G99))</f>
        <v>0</v>
      </c>
      <c r="M99" s="125">
        <f t="shared" si="23"/>
        <v>0</v>
      </c>
      <c r="N99" s="126">
        <f t="shared" si="24"/>
        <v>0</v>
      </c>
      <c r="O99" s="209">
        <f t="shared" si="25"/>
        <v>0</v>
      </c>
      <c r="P99"/>
      <c r="R99"/>
      <c r="S99"/>
      <c r="T99"/>
      <c r="U99"/>
      <c r="Y99" s="180">
        <f t="shared" si="17"/>
        <v>0</v>
      </c>
      <c r="Z99" s="181">
        <f t="shared" si="19"/>
        <v>0</v>
      </c>
      <c r="AA99" s="196">
        <f t="shared" si="26"/>
        <v>0</v>
      </c>
      <c r="AB99" s="204">
        <f t="shared" si="27"/>
        <v>0</v>
      </c>
      <c r="AI99" s="21"/>
      <c r="AK99" s="183" t="str">
        <f t="shared" si="28"/>
        <v/>
      </c>
      <c r="AL99" s="184" t="str">
        <f t="shared" si="29"/>
        <v/>
      </c>
      <c r="AM99" s="185" t="str">
        <f t="shared" si="30"/>
        <v/>
      </c>
    </row>
    <row r="100" spans="2:39" ht="18" x14ac:dyDescent="0.45">
      <c r="B100" s="22"/>
      <c r="C100" s="224" t="str">
        <f t="shared" si="18"/>
        <v/>
      </c>
      <c r="D100" s="120">
        <v>76</v>
      </c>
      <c r="E100" s="167" t="str">
        <f t="shared" si="20"/>
        <v/>
      </c>
      <c r="F100" s="168" t="str">
        <f t="shared" si="21"/>
        <v/>
      </c>
      <c r="G100" s="192" t="str">
        <f t="shared" si="22"/>
        <v/>
      </c>
      <c r="H100" s="169">
        <f>IF(D100&lt;=$N$12+1,'死亡率（標準生命表）'!M79,0)</f>
        <v>0</v>
      </c>
      <c r="I100" s="170">
        <f>IF(D100&lt;$N$12+1,'死亡率（標準生命表）'!N80,IF(D100=$N$12+1,I99,0))</f>
        <v>0</v>
      </c>
      <c r="J100" s="171">
        <f>IF(E100="",0,CalcPut($G$11,$G$15,$G$12,$G$13,$G$14,G100))</f>
        <v>0</v>
      </c>
      <c r="M100" s="125">
        <f t="shared" si="23"/>
        <v>0</v>
      </c>
      <c r="N100" s="126">
        <f t="shared" si="24"/>
        <v>0</v>
      </c>
      <c r="O100" s="209">
        <f t="shared" si="25"/>
        <v>0</v>
      </c>
      <c r="P100"/>
      <c r="R100"/>
      <c r="S100"/>
      <c r="T100"/>
      <c r="U100"/>
      <c r="Y100" s="180">
        <f t="shared" si="17"/>
        <v>0</v>
      </c>
      <c r="Z100" s="181">
        <f t="shared" si="19"/>
        <v>0</v>
      </c>
      <c r="AA100" s="196">
        <f t="shared" si="26"/>
        <v>0</v>
      </c>
      <c r="AB100" s="204">
        <f t="shared" si="27"/>
        <v>0</v>
      </c>
      <c r="AI100" s="21"/>
      <c r="AK100" s="183" t="str">
        <f t="shared" si="28"/>
        <v/>
      </c>
      <c r="AL100" s="184" t="str">
        <f t="shared" si="29"/>
        <v/>
      </c>
      <c r="AM100" s="185" t="str">
        <f t="shared" si="30"/>
        <v/>
      </c>
    </row>
    <row r="101" spans="2:39" ht="18" x14ac:dyDescent="0.45">
      <c r="B101" s="22"/>
      <c r="C101" s="224" t="str">
        <f t="shared" si="18"/>
        <v/>
      </c>
      <c r="D101" s="120">
        <v>77</v>
      </c>
      <c r="E101" s="167" t="str">
        <f t="shared" si="20"/>
        <v/>
      </c>
      <c r="F101" s="168" t="str">
        <f t="shared" si="21"/>
        <v/>
      </c>
      <c r="G101" s="192" t="str">
        <f t="shared" si="22"/>
        <v/>
      </c>
      <c r="H101" s="169">
        <f>IF(D101&lt;=$N$12+1,'死亡率（標準生命表）'!M80,0)</f>
        <v>0</v>
      </c>
      <c r="I101" s="170">
        <f>IF(D101&lt;$N$12+1,'死亡率（標準生命表）'!N81,IF(D101=$N$12+1,I100,0))</f>
        <v>0</v>
      </c>
      <c r="J101" s="171">
        <f>IF(E101="",0,CalcPut($G$11,$G$15,$G$12,$G$13,$G$14,G101))</f>
        <v>0</v>
      </c>
      <c r="M101" s="125">
        <f t="shared" si="23"/>
        <v>0</v>
      </c>
      <c r="N101" s="126">
        <f t="shared" si="24"/>
        <v>0</v>
      </c>
      <c r="O101" s="209">
        <f t="shared" si="25"/>
        <v>0</v>
      </c>
      <c r="P101"/>
      <c r="R101"/>
      <c r="S101"/>
      <c r="T101"/>
      <c r="U101"/>
      <c r="Y101" s="180">
        <f t="shared" si="17"/>
        <v>0</v>
      </c>
      <c r="Z101" s="181">
        <f t="shared" si="19"/>
        <v>0</v>
      </c>
      <c r="AA101" s="196">
        <f t="shared" si="26"/>
        <v>0</v>
      </c>
      <c r="AB101" s="204">
        <f t="shared" si="27"/>
        <v>0</v>
      </c>
      <c r="AI101" s="21"/>
      <c r="AK101" s="183" t="str">
        <f t="shared" si="28"/>
        <v/>
      </c>
      <c r="AL101" s="184" t="str">
        <f t="shared" si="29"/>
        <v/>
      </c>
      <c r="AM101" s="185" t="str">
        <f t="shared" si="30"/>
        <v/>
      </c>
    </row>
    <row r="102" spans="2:39" ht="18" x14ac:dyDescent="0.45">
      <c r="B102" s="22"/>
      <c r="C102" s="224" t="str">
        <f t="shared" si="18"/>
        <v/>
      </c>
      <c r="D102" s="120">
        <v>78</v>
      </c>
      <c r="E102" s="167" t="str">
        <f t="shared" si="20"/>
        <v/>
      </c>
      <c r="F102" s="168" t="str">
        <f t="shared" si="21"/>
        <v/>
      </c>
      <c r="G102" s="192" t="str">
        <f t="shared" si="22"/>
        <v/>
      </c>
      <c r="H102" s="169">
        <f>IF(D102&lt;=$N$12+1,'死亡率（標準生命表）'!M81,0)</f>
        <v>0</v>
      </c>
      <c r="I102" s="170">
        <f>IF(D102&lt;$N$12+1,'死亡率（標準生命表）'!N82,IF(D102=$N$12+1,I101,0))</f>
        <v>0</v>
      </c>
      <c r="J102" s="171">
        <f>IF(E102="",0,CalcPut($G$11,$G$15,$G$12,$G$13,$G$14,G102))</f>
        <v>0</v>
      </c>
      <c r="M102" s="125">
        <f t="shared" si="23"/>
        <v>0</v>
      </c>
      <c r="N102" s="126">
        <f t="shared" si="24"/>
        <v>0</v>
      </c>
      <c r="O102" s="209">
        <f t="shared" si="25"/>
        <v>0</v>
      </c>
      <c r="P102"/>
      <c r="R102"/>
      <c r="S102"/>
      <c r="T102"/>
      <c r="U102"/>
      <c r="Y102" s="180">
        <f t="shared" si="17"/>
        <v>0</v>
      </c>
      <c r="Z102" s="181">
        <f t="shared" si="19"/>
        <v>0</v>
      </c>
      <c r="AA102" s="196">
        <f t="shared" si="26"/>
        <v>0</v>
      </c>
      <c r="AB102" s="204">
        <f t="shared" si="27"/>
        <v>0</v>
      </c>
      <c r="AI102" s="21"/>
      <c r="AK102" s="183" t="str">
        <f t="shared" si="28"/>
        <v/>
      </c>
      <c r="AL102" s="184" t="str">
        <f t="shared" si="29"/>
        <v/>
      </c>
      <c r="AM102" s="185" t="str">
        <f t="shared" si="30"/>
        <v/>
      </c>
    </row>
    <row r="103" spans="2:39" ht="18" x14ac:dyDescent="0.45">
      <c r="B103" s="22"/>
      <c r="C103" s="224" t="str">
        <f t="shared" si="18"/>
        <v/>
      </c>
      <c r="D103" s="120">
        <v>79</v>
      </c>
      <c r="E103" s="167" t="str">
        <f t="shared" si="20"/>
        <v/>
      </c>
      <c r="F103" s="168" t="str">
        <f t="shared" si="21"/>
        <v/>
      </c>
      <c r="G103" s="192" t="str">
        <f t="shared" si="22"/>
        <v/>
      </c>
      <c r="H103" s="169">
        <f>IF(D103&lt;=$N$12+1,'死亡率（標準生命表）'!M82,0)</f>
        <v>0</v>
      </c>
      <c r="I103" s="170">
        <f>IF(D103&lt;$N$12+1,'死亡率（標準生命表）'!N83,IF(D103=$N$12+1,I102,0))</f>
        <v>0</v>
      </c>
      <c r="J103" s="171">
        <f>IF(E103="",0,CalcPut($G$11,$G$15,$G$12,$G$13,$G$14,G103))</f>
        <v>0</v>
      </c>
      <c r="M103" s="125">
        <f t="shared" si="23"/>
        <v>0</v>
      </c>
      <c r="N103" s="126">
        <f t="shared" si="24"/>
        <v>0</v>
      </c>
      <c r="O103" s="209">
        <f t="shared" si="25"/>
        <v>0</v>
      </c>
      <c r="P103"/>
      <c r="R103"/>
      <c r="S103"/>
      <c r="T103"/>
      <c r="U103"/>
      <c r="Y103" s="180">
        <f t="shared" si="17"/>
        <v>0</v>
      </c>
      <c r="Z103" s="181">
        <f t="shared" si="19"/>
        <v>0</v>
      </c>
      <c r="AA103" s="196">
        <f t="shared" si="26"/>
        <v>0</v>
      </c>
      <c r="AB103" s="204">
        <f t="shared" si="27"/>
        <v>0</v>
      </c>
      <c r="AI103" s="21"/>
      <c r="AK103" s="183" t="str">
        <f t="shared" si="28"/>
        <v/>
      </c>
      <c r="AL103" s="184" t="str">
        <f t="shared" si="29"/>
        <v/>
      </c>
      <c r="AM103" s="185" t="str">
        <f t="shared" si="30"/>
        <v/>
      </c>
    </row>
    <row r="104" spans="2:39" ht="18" x14ac:dyDescent="0.45">
      <c r="B104" s="22"/>
      <c r="C104" s="224" t="str">
        <f t="shared" si="18"/>
        <v/>
      </c>
      <c r="D104" s="120">
        <v>80</v>
      </c>
      <c r="E104" s="167" t="str">
        <f t="shared" si="20"/>
        <v/>
      </c>
      <c r="F104" s="168" t="str">
        <f t="shared" si="21"/>
        <v/>
      </c>
      <c r="G104" s="192" t="str">
        <f t="shared" si="22"/>
        <v/>
      </c>
      <c r="H104" s="169">
        <f>IF(D104&lt;=$N$12+1,'死亡率（標準生命表）'!M83,0)</f>
        <v>0</v>
      </c>
      <c r="I104" s="170">
        <f>IF(D104&lt;$N$12+1,'死亡率（標準生命表）'!N84,IF(D104=$N$12+1,I103,0))</f>
        <v>0</v>
      </c>
      <c r="J104" s="171">
        <f>IF(E104="",0,CalcPut($G$11,$G$15,$G$12,$G$13,$G$14,G104))</f>
        <v>0</v>
      </c>
      <c r="M104" s="125">
        <f t="shared" si="23"/>
        <v>0</v>
      </c>
      <c r="N104" s="126">
        <f t="shared" si="24"/>
        <v>0</v>
      </c>
      <c r="O104" s="209">
        <f t="shared" si="25"/>
        <v>0</v>
      </c>
      <c r="P104"/>
      <c r="R104"/>
      <c r="S104"/>
      <c r="T104"/>
      <c r="U104"/>
      <c r="Y104" s="180">
        <f t="shared" si="17"/>
        <v>0</v>
      </c>
      <c r="Z104" s="181">
        <f t="shared" si="19"/>
        <v>0</v>
      </c>
      <c r="AA104" s="196">
        <f t="shared" si="26"/>
        <v>0</v>
      </c>
      <c r="AB104" s="204">
        <f t="shared" si="27"/>
        <v>0</v>
      </c>
      <c r="AI104" s="21"/>
      <c r="AK104" s="183" t="str">
        <f t="shared" si="28"/>
        <v/>
      </c>
      <c r="AL104" s="184" t="str">
        <f t="shared" si="29"/>
        <v/>
      </c>
      <c r="AM104" s="185" t="str">
        <f t="shared" si="30"/>
        <v/>
      </c>
    </row>
    <row r="105" spans="2:39" ht="18" x14ac:dyDescent="0.45">
      <c r="B105" s="22"/>
      <c r="C105" s="224" t="str">
        <f t="shared" si="18"/>
        <v/>
      </c>
      <c r="D105" s="120">
        <v>81</v>
      </c>
      <c r="E105" s="167" t="str">
        <f t="shared" si="20"/>
        <v/>
      </c>
      <c r="F105" s="168" t="str">
        <f t="shared" si="21"/>
        <v/>
      </c>
      <c r="G105" s="192" t="str">
        <f t="shared" si="22"/>
        <v/>
      </c>
      <c r="H105" s="169">
        <f>IF(D105&lt;=$N$12+1,'死亡率（標準生命表）'!M84,0)</f>
        <v>0</v>
      </c>
      <c r="I105" s="170">
        <f>IF(D105&lt;$N$12+1,'死亡率（標準生命表）'!N85,IF(D105=$N$12+1,I104,0))</f>
        <v>0</v>
      </c>
      <c r="J105" s="171">
        <f>IF(E105="",0,CalcPut($G$11,$G$15,$G$12,$G$13,$G$14,G105))</f>
        <v>0</v>
      </c>
      <c r="M105" s="125">
        <f t="shared" si="23"/>
        <v>0</v>
      </c>
      <c r="N105" s="126">
        <f t="shared" si="24"/>
        <v>0</v>
      </c>
      <c r="O105" s="209">
        <f t="shared" si="25"/>
        <v>0</v>
      </c>
      <c r="P105"/>
      <c r="R105"/>
      <c r="S105"/>
      <c r="T105"/>
      <c r="U105"/>
      <c r="Y105" s="180">
        <f t="shared" si="17"/>
        <v>0</v>
      </c>
      <c r="Z105" s="181">
        <f t="shared" si="19"/>
        <v>0</v>
      </c>
      <c r="AA105" s="196">
        <f t="shared" si="26"/>
        <v>0</v>
      </c>
      <c r="AB105" s="204">
        <f t="shared" si="27"/>
        <v>0</v>
      </c>
      <c r="AI105" s="21"/>
      <c r="AK105" s="183" t="str">
        <f t="shared" si="28"/>
        <v/>
      </c>
      <c r="AL105" s="184" t="str">
        <f t="shared" si="29"/>
        <v/>
      </c>
      <c r="AM105" s="185" t="str">
        <f t="shared" si="30"/>
        <v/>
      </c>
    </row>
    <row r="106" spans="2:39" ht="18" x14ac:dyDescent="0.45">
      <c r="B106" s="22"/>
      <c r="C106" s="224" t="str">
        <f t="shared" si="18"/>
        <v/>
      </c>
      <c r="D106" s="120">
        <v>82</v>
      </c>
      <c r="E106" s="167" t="str">
        <f t="shared" si="20"/>
        <v/>
      </c>
      <c r="F106" s="168" t="str">
        <f t="shared" si="21"/>
        <v/>
      </c>
      <c r="G106" s="192" t="str">
        <f t="shared" si="22"/>
        <v/>
      </c>
      <c r="H106" s="169">
        <f>IF(D106&lt;=$N$12+1,'死亡率（標準生命表）'!M85,0)</f>
        <v>0</v>
      </c>
      <c r="I106" s="170">
        <f>IF(D106&lt;$N$12+1,'死亡率（標準生命表）'!N86,IF(D106=$N$12+1,I105,0))</f>
        <v>0</v>
      </c>
      <c r="J106" s="171">
        <f>IF(E106="",0,CalcPut($G$11,$G$15,$G$12,$G$13,$G$14,G106))</f>
        <v>0</v>
      </c>
      <c r="M106" s="125">
        <f t="shared" si="23"/>
        <v>0</v>
      </c>
      <c r="N106" s="126">
        <f t="shared" si="24"/>
        <v>0</v>
      </c>
      <c r="O106" s="209">
        <f t="shared" si="25"/>
        <v>0</v>
      </c>
      <c r="P106"/>
      <c r="R106"/>
      <c r="S106"/>
      <c r="T106"/>
      <c r="U106"/>
      <c r="Y106" s="180">
        <f t="shared" si="17"/>
        <v>0</v>
      </c>
      <c r="Z106" s="181">
        <f t="shared" si="19"/>
        <v>0</v>
      </c>
      <c r="AA106" s="196">
        <f t="shared" si="26"/>
        <v>0</v>
      </c>
      <c r="AB106" s="204">
        <f t="shared" si="27"/>
        <v>0</v>
      </c>
      <c r="AI106" s="21"/>
      <c r="AK106" s="183" t="str">
        <f t="shared" si="28"/>
        <v/>
      </c>
      <c r="AL106" s="184" t="str">
        <f t="shared" si="29"/>
        <v/>
      </c>
      <c r="AM106" s="185" t="str">
        <f t="shared" si="30"/>
        <v/>
      </c>
    </row>
    <row r="107" spans="2:39" ht="18" x14ac:dyDescent="0.45">
      <c r="B107" s="22"/>
      <c r="C107" s="224" t="str">
        <f t="shared" si="18"/>
        <v/>
      </c>
      <c r="D107" s="120">
        <v>83</v>
      </c>
      <c r="E107" s="167" t="str">
        <f t="shared" si="20"/>
        <v/>
      </c>
      <c r="F107" s="168" t="str">
        <f t="shared" si="21"/>
        <v/>
      </c>
      <c r="G107" s="192" t="str">
        <f t="shared" si="22"/>
        <v/>
      </c>
      <c r="H107" s="169">
        <f>IF(D107&lt;=$N$12+1,'死亡率（標準生命表）'!M86,0)</f>
        <v>0</v>
      </c>
      <c r="I107" s="170">
        <f>IF(D107&lt;$N$12+1,'死亡率（標準生命表）'!N87,IF(D107=$N$12+1,I106,0))</f>
        <v>0</v>
      </c>
      <c r="J107" s="171">
        <f>IF(E107="",0,CalcPut($G$11,$G$15,$G$12,$G$13,$G$14,G107))</f>
        <v>0</v>
      </c>
      <c r="M107" s="125">
        <f t="shared" si="23"/>
        <v>0</v>
      </c>
      <c r="N107" s="126">
        <f t="shared" si="24"/>
        <v>0</v>
      </c>
      <c r="O107" s="209">
        <f t="shared" si="25"/>
        <v>0</v>
      </c>
      <c r="P107"/>
      <c r="R107"/>
      <c r="S107"/>
      <c r="T107"/>
      <c r="U107"/>
      <c r="Y107" s="180">
        <f t="shared" si="17"/>
        <v>0</v>
      </c>
      <c r="Z107" s="181">
        <f t="shared" si="19"/>
        <v>0</v>
      </c>
      <c r="AA107" s="196">
        <f t="shared" si="26"/>
        <v>0</v>
      </c>
      <c r="AB107" s="204">
        <f t="shared" si="27"/>
        <v>0</v>
      </c>
      <c r="AI107" s="21"/>
      <c r="AK107" s="183" t="str">
        <f t="shared" si="28"/>
        <v/>
      </c>
      <c r="AL107" s="184" t="str">
        <f t="shared" si="29"/>
        <v/>
      </c>
      <c r="AM107" s="185" t="str">
        <f t="shared" si="30"/>
        <v/>
      </c>
    </row>
    <row r="108" spans="2:39" ht="18" x14ac:dyDescent="0.45">
      <c r="B108" s="22"/>
      <c r="C108" s="224" t="str">
        <f t="shared" si="18"/>
        <v/>
      </c>
      <c r="D108" s="120">
        <v>84</v>
      </c>
      <c r="E108" s="167" t="str">
        <f t="shared" si="20"/>
        <v/>
      </c>
      <c r="F108" s="168" t="str">
        <f t="shared" si="21"/>
        <v/>
      </c>
      <c r="G108" s="192" t="str">
        <f t="shared" si="22"/>
        <v/>
      </c>
      <c r="H108" s="169">
        <f>IF(D108&lt;=$N$12+1,'死亡率（標準生命表）'!M87,0)</f>
        <v>0</v>
      </c>
      <c r="I108" s="170">
        <f>IF(D108&lt;$N$12+1,'死亡率（標準生命表）'!N88,IF(D108=$N$12+1,I107,0))</f>
        <v>0</v>
      </c>
      <c r="J108" s="171">
        <f>IF(E108="",0,CalcPut($G$11,$G$15,$G$12,$G$13,$G$14,G108))</f>
        <v>0</v>
      </c>
      <c r="M108" s="125">
        <f t="shared" si="23"/>
        <v>0</v>
      </c>
      <c r="N108" s="126">
        <f t="shared" si="24"/>
        <v>0</v>
      </c>
      <c r="O108" s="209">
        <f t="shared" si="25"/>
        <v>0</v>
      </c>
      <c r="P108"/>
      <c r="R108"/>
      <c r="S108"/>
      <c r="T108"/>
      <c r="U108"/>
      <c r="Y108" s="180">
        <f t="shared" si="17"/>
        <v>0</v>
      </c>
      <c r="Z108" s="181">
        <f t="shared" si="19"/>
        <v>0</v>
      </c>
      <c r="AA108" s="196">
        <f t="shared" si="26"/>
        <v>0</v>
      </c>
      <c r="AB108" s="204">
        <f t="shared" si="27"/>
        <v>0</v>
      </c>
      <c r="AI108" s="21"/>
      <c r="AK108" s="183" t="str">
        <f t="shared" si="28"/>
        <v/>
      </c>
      <c r="AL108" s="184" t="str">
        <f t="shared" si="29"/>
        <v/>
      </c>
      <c r="AM108" s="185" t="str">
        <f t="shared" si="30"/>
        <v/>
      </c>
    </row>
    <row r="109" spans="2:39" ht="18" x14ac:dyDescent="0.45">
      <c r="B109" s="22"/>
      <c r="C109" s="224" t="str">
        <f t="shared" si="18"/>
        <v/>
      </c>
      <c r="D109" s="120">
        <v>85</v>
      </c>
      <c r="E109" s="167" t="str">
        <f t="shared" si="20"/>
        <v/>
      </c>
      <c r="F109" s="168" t="str">
        <f t="shared" si="21"/>
        <v/>
      </c>
      <c r="G109" s="192" t="str">
        <f t="shared" si="22"/>
        <v/>
      </c>
      <c r="H109" s="169">
        <f>IF(D109&lt;=$N$12+1,'死亡率（標準生命表）'!M88,0)</f>
        <v>0</v>
      </c>
      <c r="I109" s="170">
        <f>IF(D109&lt;$N$12+1,'死亡率（標準生命表）'!N89,IF(D109=$N$12+1,I108,0))</f>
        <v>0</v>
      </c>
      <c r="J109" s="171">
        <f>IF(E109="",0,CalcPut($G$11,$G$15,$G$12,$G$13,$G$14,G109))</f>
        <v>0</v>
      </c>
      <c r="M109" s="125">
        <f t="shared" si="23"/>
        <v>0</v>
      </c>
      <c r="N109" s="126">
        <f t="shared" si="24"/>
        <v>0</v>
      </c>
      <c r="O109" s="209">
        <f t="shared" si="25"/>
        <v>0</v>
      </c>
      <c r="P109"/>
      <c r="R109"/>
      <c r="S109"/>
      <c r="T109"/>
      <c r="U109"/>
      <c r="Y109" s="180">
        <f t="shared" si="17"/>
        <v>0</v>
      </c>
      <c r="Z109" s="181">
        <f t="shared" si="19"/>
        <v>0</v>
      </c>
      <c r="AA109" s="196">
        <f t="shared" si="26"/>
        <v>0</v>
      </c>
      <c r="AB109" s="204">
        <f t="shared" si="27"/>
        <v>0</v>
      </c>
      <c r="AI109" s="21"/>
      <c r="AK109" s="183" t="str">
        <f t="shared" si="28"/>
        <v/>
      </c>
      <c r="AL109" s="184" t="str">
        <f t="shared" si="29"/>
        <v/>
      </c>
      <c r="AM109" s="185" t="str">
        <f t="shared" si="30"/>
        <v/>
      </c>
    </row>
    <row r="110" spans="2:39" ht="18" x14ac:dyDescent="0.45">
      <c r="B110" s="22"/>
      <c r="C110" s="224" t="str">
        <f t="shared" si="18"/>
        <v/>
      </c>
      <c r="D110" s="120">
        <v>86</v>
      </c>
      <c r="E110" s="167" t="str">
        <f t="shared" si="20"/>
        <v/>
      </c>
      <c r="F110" s="168" t="str">
        <f t="shared" si="21"/>
        <v/>
      </c>
      <c r="G110" s="192" t="str">
        <f t="shared" si="22"/>
        <v/>
      </c>
      <c r="H110" s="169">
        <f>IF(D110&lt;=$N$12+1,'死亡率（標準生命表）'!M89,0)</f>
        <v>0</v>
      </c>
      <c r="I110" s="170">
        <f>IF(D110&lt;$N$12+1,'死亡率（標準生命表）'!N90,IF(D110=$N$12+1,I109,0))</f>
        <v>0</v>
      </c>
      <c r="J110" s="171">
        <f>IF(E110="",0,CalcPut($G$11,$G$15,$G$12,$G$13,$G$14,G110))</f>
        <v>0</v>
      </c>
      <c r="M110" s="125">
        <f t="shared" si="23"/>
        <v>0</v>
      </c>
      <c r="N110" s="126">
        <f t="shared" si="24"/>
        <v>0</v>
      </c>
      <c r="O110" s="209">
        <f t="shared" si="25"/>
        <v>0</v>
      </c>
      <c r="P110"/>
      <c r="R110"/>
      <c r="S110"/>
      <c r="T110"/>
      <c r="U110"/>
      <c r="Y110" s="180">
        <f t="shared" si="17"/>
        <v>0</v>
      </c>
      <c r="Z110" s="181">
        <f t="shared" si="19"/>
        <v>0</v>
      </c>
      <c r="AA110" s="196">
        <f t="shared" si="26"/>
        <v>0</v>
      </c>
      <c r="AB110" s="204">
        <f t="shared" si="27"/>
        <v>0</v>
      </c>
      <c r="AI110" s="21"/>
      <c r="AK110" s="183" t="str">
        <f t="shared" si="28"/>
        <v/>
      </c>
      <c r="AL110" s="184" t="str">
        <f t="shared" si="29"/>
        <v/>
      </c>
      <c r="AM110" s="185" t="str">
        <f t="shared" si="30"/>
        <v/>
      </c>
    </row>
    <row r="111" spans="2:39" ht="18" x14ac:dyDescent="0.45">
      <c r="B111" s="22"/>
      <c r="C111" s="224" t="str">
        <f t="shared" si="18"/>
        <v/>
      </c>
      <c r="D111" s="120">
        <v>87</v>
      </c>
      <c r="E111" s="167" t="str">
        <f t="shared" si="20"/>
        <v/>
      </c>
      <c r="F111" s="168" t="str">
        <f t="shared" si="21"/>
        <v/>
      </c>
      <c r="G111" s="192" t="str">
        <f t="shared" si="22"/>
        <v/>
      </c>
      <c r="H111" s="169">
        <f>IF(D111&lt;=$N$12+1,'死亡率（標準生命表）'!M90,0)</f>
        <v>0</v>
      </c>
      <c r="I111" s="170">
        <f>IF(D111&lt;$N$12+1,'死亡率（標準生命表）'!N91,IF(D111=$N$12+1,I110,0))</f>
        <v>0</v>
      </c>
      <c r="J111" s="171">
        <f>IF(E111="",0,CalcPut($G$11,$G$15,$G$12,$G$13,$G$14,G111))</f>
        <v>0</v>
      </c>
      <c r="M111" s="125">
        <f t="shared" si="23"/>
        <v>0</v>
      </c>
      <c r="N111" s="126">
        <f t="shared" si="24"/>
        <v>0</v>
      </c>
      <c r="O111" s="209">
        <f t="shared" si="25"/>
        <v>0</v>
      </c>
      <c r="P111"/>
      <c r="R111"/>
      <c r="S111"/>
      <c r="T111"/>
      <c r="U111"/>
      <c r="Y111" s="180">
        <f t="shared" si="17"/>
        <v>0</v>
      </c>
      <c r="Z111" s="181">
        <f t="shared" si="19"/>
        <v>0</v>
      </c>
      <c r="AA111" s="196">
        <f t="shared" si="26"/>
        <v>0</v>
      </c>
      <c r="AB111" s="204">
        <f t="shared" si="27"/>
        <v>0</v>
      </c>
      <c r="AI111" s="21"/>
      <c r="AK111" s="183" t="str">
        <f t="shared" si="28"/>
        <v/>
      </c>
      <c r="AL111" s="184" t="str">
        <f t="shared" si="29"/>
        <v/>
      </c>
      <c r="AM111" s="185" t="str">
        <f t="shared" si="30"/>
        <v/>
      </c>
    </row>
    <row r="112" spans="2:39" ht="18" x14ac:dyDescent="0.45">
      <c r="B112" s="22"/>
      <c r="C112" s="224" t="str">
        <f t="shared" si="18"/>
        <v/>
      </c>
      <c r="D112" s="120">
        <v>88</v>
      </c>
      <c r="E112" s="167" t="str">
        <f t="shared" si="20"/>
        <v/>
      </c>
      <c r="F112" s="168" t="str">
        <f t="shared" si="21"/>
        <v/>
      </c>
      <c r="G112" s="192" t="str">
        <f t="shared" si="22"/>
        <v/>
      </c>
      <c r="H112" s="169">
        <f>IF(D112&lt;=$N$12+1,'死亡率（標準生命表）'!M91,0)</f>
        <v>0</v>
      </c>
      <c r="I112" s="170">
        <f>IF(D112&lt;$N$12+1,'死亡率（標準生命表）'!N92,IF(D112=$N$12+1,I111,0))</f>
        <v>0</v>
      </c>
      <c r="J112" s="171">
        <f>IF(E112="",0,CalcPut($G$11,$G$15,$G$12,$G$13,$G$14,G112))</f>
        <v>0</v>
      </c>
      <c r="M112" s="125">
        <f t="shared" si="23"/>
        <v>0</v>
      </c>
      <c r="N112" s="126">
        <f t="shared" si="24"/>
        <v>0</v>
      </c>
      <c r="O112" s="209">
        <f t="shared" si="25"/>
        <v>0</v>
      </c>
      <c r="P112"/>
      <c r="R112"/>
      <c r="S112"/>
      <c r="T112"/>
      <c r="U112"/>
      <c r="Y112" s="180">
        <f t="shared" si="17"/>
        <v>0</v>
      </c>
      <c r="Z112" s="181">
        <f t="shared" si="19"/>
        <v>0</v>
      </c>
      <c r="AA112" s="196">
        <f t="shared" si="26"/>
        <v>0</v>
      </c>
      <c r="AB112" s="204">
        <f t="shared" si="27"/>
        <v>0</v>
      </c>
      <c r="AI112" s="21"/>
      <c r="AK112" s="183" t="str">
        <f t="shared" si="28"/>
        <v/>
      </c>
      <c r="AL112" s="184" t="str">
        <f t="shared" si="29"/>
        <v/>
      </c>
      <c r="AM112" s="185" t="str">
        <f t="shared" si="30"/>
        <v/>
      </c>
    </row>
    <row r="113" spans="2:39" ht="18" x14ac:dyDescent="0.45">
      <c r="B113" s="22"/>
      <c r="C113" s="224" t="str">
        <f t="shared" si="18"/>
        <v/>
      </c>
      <c r="D113" s="120">
        <v>89</v>
      </c>
      <c r="E113" s="167" t="str">
        <f t="shared" si="20"/>
        <v/>
      </c>
      <c r="F113" s="168" t="str">
        <f t="shared" si="21"/>
        <v/>
      </c>
      <c r="G113" s="192" t="str">
        <f t="shared" si="22"/>
        <v/>
      </c>
      <c r="H113" s="169">
        <f>IF(D113&lt;=$N$12+1,'死亡率（標準生命表）'!M92,0)</f>
        <v>0</v>
      </c>
      <c r="I113" s="170">
        <f>IF(D113&lt;$N$12+1,'死亡率（標準生命表）'!N93,IF(D113=$N$12+1,I112,0))</f>
        <v>0</v>
      </c>
      <c r="J113" s="171">
        <f>IF(E113="",0,CalcPut($G$11,$G$15,$G$12,$G$13,$G$14,G113))</f>
        <v>0</v>
      </c>
      <c r="M113" s="125">
        <f t="shared" si="23"/>
        <v>0</v>
      </c>
      <c r="N113" s="126">
        <f t="shared" si="24"/>
        <v>0</v>
      </c>
      <c r="O113" s="209">
        <f t="shared" si="25"/>
        <v>0</v>
      </c>
      <c r="P113"/>
      <c r="R113"/>
      <c r="S113"/>
      <c r="T113"/>
      <c r="U113"/>
      <c r="Y113" s="180">
        <f t="shared" si="17"/>
        <v>0</v>
      </c>
      <c r="Z113" s="181">
        <f t="shared" si="19"/>
        <v>0</v>
      </c>
      <c r="AA113" s="196">
        <f t="shared" si="26"/>
        <v>0</v>
      </c>
      <c r="AB113" s="204">
        <f t="shared" si="27"/>
        <v>0</v>
      </c>
      <c r="AI113" s="21"/>
      <c r="AK113" s="183" t="str">
        <f t="shared" si="28"/>
        <v/>
      </c>
      <c r="AL113" s="184" t="str">
        <f t="shared" si="29"/>
        <v/>
      </c>
      <c r="AM113" s="185" t="str">
        <f t="shared" si="30"/>
        <v/>
      </c>
    </row>
    <row r="114" spans="2:39" ht="18" x14ac:dyDescent="0.45">
      <c r="B114" s="22"/>
      <c r="C114" s="224" t="str">
        <f t="shared" si="18"/>
        <v/>
      </c>
      <c r="D114" s="120">
        <v>90</v>
      </c>
      <c r="E114" s="167" t="str">
        <f t="shared" si="20"/>
        <v/>
      </c>
      <c r="F114" s="168" t="str">
        <f t="shared" si="21"/>
        <v/>
      </c>
      <c r="G114" s="192" t="str">
        <f t="shared" si="22"/>
        <v/>
      </c>
      <c r="H114" s="169">
        <f>IF(D114&lt;=$N$12+1,'死亡率（標準生命表）'!M93,0)</f>
        <v>0</v>
      </c>
      <c r="I114" s="170">
        <f>IF(D114&lt;$N$12+1,'死亡率（標準生命表）'!N94,IF(D114=$N$12+1,I113,0))</f>
        <v>0</v>
      </c>
      <c r="J114" s="171">
        <f>IF(E114="",0,CalcPut($G$11,$G$15,$G$12,$G$13,$G$14,G114))</f>
        <v>0</v>
      </c>
      <c r="M114" s="125">
        <f t="shared" si="23"/>
        <v>0</v>
      </c>
      <c r="N114" s="126">
        <f t="shared" si="24"/>
        <v>0</v>
      </c>
      <c r="O114" s="209">
        <f t="shared" si="25"/>
        <v>0</v>
      </c>
      <c r="P114"/>
      <c r="R114"/>
      <c r="S114"/>
      <c r="T114"/>
      <c r="U114"/>
      <c r="Y114" s="180">
        <f t="shared" si="17"/>
        <v>0</v>
      </c>
      <c r="Z114" s="181">
        <f t="shared" si="19"/>
        <v>0</v>
      </c>
      <c r="AA114" s="196">
        <f t="shared" si="26"/>
        <v>0</v>
      </c>
      <c r="AB114" s="204">
        <f t="shared" si="27"/>
        <v>0</v>
      </c>
      <c r="AI114" s="21"/>
      <c r="AK114" s="183" t="str">
        <f t="shared" si="28"/>
        <v/>
      </c>
      <c r="AL114" s="184" t="str">
        <f t="shared" si="29"/>
        <v/>
      </c>
      <c r="AM114" s="185" t="str">
        <f t="shared" si="30"/>
        <v/>
      </c>
    </row>
    <row r="115" spans="2:39" ht="18" x14ac:dyDescent="0.45">
      <c r="B115" s="22"/>
      <c r="C115" s="224" t="str">
        <f t="shared" si="18"/>
        <v/>
      </c>
      <c r="D115" s="120">
        <v>91</v>
      </c>
      <c r="E115" s="167" t="str">
        <f t="shared" si="20"/>
        <v/>
      </c>
      <c r="F115" s="168" t="str">
        <f t="shared" si="21"/>
        <v/>
      </c>
      <c r="G115" s="192" t="str">
        <f t="shared" si="22"/>
        <v/>
      </c>
      <c r="H115" s="169">
        <f>IF(D115&lt;=$N$12+1,'死亡率（標準生命表）'!M94,0)</f>
        <v>0</v>
      </c>
      <c r="I115" s="170">
        <f>IF(D115&lt;$N$12+1,'死亡率（標準生命表）'!N95,IF(D115=$N$12+1,I114,0))</f>
        <v>0</v>
      </c>
      <c r="J115" s="171">
        <f>IF(E115="",0,CalcPut($G$11,$G$15,$G$12,$G$13,$G$14,G115))</f>
        <v>0</v>
      </c>
      <c r="M115" s="125">
        <f t="shared" si="23"/>
        <v>0</v>
      </c>
      <c r="N115" s="126">
        <f t="shared" si="24"/>
        <v>0</v>
      </c>
      <c r="O115" s="209">
        <f t="shared" si="25"/>
        <v>0</v>
      </c>
      <c r="P115"/>
      <c r="R115"/>
      <c r="S115"/>
      <c r="T115"/>
      <c r="U115"/>
      <c r="Y115" s="180">
        <f t="shared" si="17"/>
        <v>0</v>
      </c>
      <c r="Z115" s="181">
        <f t="shared" si="19"/>
        <v>0</v>
      </c>
      <c r="AA115" s="196">
        <f t="shared" si="26"/>
        <v>0</v>
      </c>
      <c r="AB115" s="204">
        <f t="shared" si="27"/>
        <v>0</v>
      </c>
      <c r="AI115" s="21"/>
      <c r="AK115" s="183" t="str">
        <f t="shared" si="28"/>
        <v/>
      </c>
      <c r="AL115" s="184" t="str">
        <f t="shared" si="29"/>
        <v/>
      </c>
      <c r="AM115" s="185" t="str">
        <f t="shared" si="30"/>
        <v/>
      </c>
    </row>
    <row r="116" spans="2:39" ht="18" x14ac:dyDescent="0.45">
      <c r="B116" s="22"/>
      <c r="C116" s="224" t="str">
        <f t="shared" si="18"/>
        <v/>
      </c>
      <c r="D116" s="120">
        <v>92</v>
      </c>
      <c r="E116" s="167" t="str">
        <f t="shared" si="20"/>
        <v/>
      </c>
      <c r="F116" s="168" t="str">
        <f t="shared" si="21"/>
        <v/>
      </c>
      <c r="G116" s="192" t="str">
        <f t="shared" si="22"/>
        <v/>
      </c>
      <c r="H116" s="169">
        <f>IF(D116&lt;=$N$12+1,'死亡率（標準生命表）'!M95,0)</f>
        <v>0</v>
      </c>
      <c r="I116" s="170">
        <f>IF(D116&lt;$N$12+1,'死亡率（標準生命表）'!N96,IF(D116=$N$12+1,I115,0))</f>
        <v>0</v>
      </c>
      <c r="J116" s="171">
        <f>IF(E116="",0,CalcPut($G$11,$G$15,$G$12,$G$13,$G$14,G116))</f>
        <v>0</v>
      </c>
      <c r="M116" s="125">
        <f t="shared" si="23"/>
        <v>0</v>
      </c>
      <c r="N116" s="126">
        <f t="shared" si="24"/>
        <v>0</v>
      </c>
      <c r="O116" s="209">
        <f t="shared" si="25"/>
        <v>0</v>
      </c>
      <c r="P116"/>
      <c r="R116"/>
      <c r="S116"/>
      <c r="T116"/>
      <c r="U116"/>
      <c r="Y116" s="180">
        <f t="shared" si="17"/>
        <v>0</v>
      </c>
      <c r="Z116" s="181">
        <f t="shared" si="19"/>
        <v>0</v>
      </c>
      <c r="AA116" s="196">
        <f t="shared" si="26"/>
        <v>0</v>
      </c>
      <c r="AB116" s="204">
        <f t="shared" si="27"/>
        <v>0</v>
      </c>
      <c r="AI116" s="21"/>
      <c r="AK116" s="183" t="str">
        <f t="shared" si="28"/>
        <v/>
      </c>
      <c r="AL116" s="184" t="str">
        <f t="shared" si="29"/>
        <v/>
      </c>
      <c r="AM116" s="185" t="str">
        <f t="shared" si="30"/>
        <v/>
      </c>
    </row>
    <row r="117" spans="2:39" ht="18" x14ac:dyDescent="0.45">
      <c r="B117" s="22"/>
      <c r="C117" s="224" t="str">
        <f t="shared" si="18"/>
        <v/>
      </c>
      <c r="D117" s="120">
        <v>93</v>
      </c>
      <c r="E117" s="167" t="str">
        <f t="shared" si="20"/>
        <v/>
      </c>
      <c r="F117" s="168" t="str">
        <f t="shared" si="21"/>
        <v/>
      </c>
      <c r="G117" s="192" t="str">
        <f t="shared" si="22"/>
        <v/>
      </c>
      <c r="H117" s="169">
        <f>IF(D117&lt;=$N$12+1,'死亡率（標準生命表）'!M96,0)</f>
        <v>0</v>
      </c>
      <c r="I117" s="170">
        <f>IF(D117&lt;$N$12+1,'死亡率（標準生命表）'!N97,IF(D117=$N$12+1,I116,0))</f>
        <v>0</v>
      </c>
      <c r="J117" s="171">
        <f>IF(E117="",0,CalcPut($G$11,$G$15,$G$12,$G$13,$G$14,G117))</f>
        <v>0</v>
      </c>
      <c r="M117" s="125">
        <f t="shared" si="23"/>
        <v>0</v>
      </c>
      <c r="N117" s="126">
        <f t="shared" si="24"/>
        <v>0</v>
      </c>
      <c r="O117" s="209">
        <f t="shared" si="25"/>
        <v>0</v>
      </c>
      <c r="P117"/>
      <c r="R117"/>
      <c r="S117"/>
      <c r="T117"/>
      <c r="U117"/>
      <c r="Y117" s="180">
        <f t="shared" si="17"/>
        <v>0</v>
      </c>
      <c r="Z117" s="181">
        <f t="shared" si="19"/>
        <v>0</v>
      </c>
      <c r="AA117" s="196">
        <f t="shared" si="26"/>
        <v>0</v>
      </c>
      <c r="AB117" s="204">
        <f t="shared" si="27"/>
        <v>0</v>
      </c>
      <c r="AI117" s="21"/>
      <c r="AK117" s="183" t="str">
        <f t="shared" si="28"/>
        <v/>
      </c>
      <c r="AL117" s="184" t="str">
        <f t="shared" si="29"/>
        <v/>
      </c>
      <c r="AM117" s="185" t="str">
        <f t="shared" si="30"/>
        <v/>
      </c>
    </row>
    <row r="118" spans="2:39" ht="18" x14ac:dyDescent="0.45">
      <c r="B118" s="22"/>
      <c r="C118" s="224" t="str">
        <f t="shared" si="18"/>
        <v/>
      </c>
      <c r="D118" s="120">
        <v>94</v>
      </c>
      <c r="E118" s="167" t="str">
        <f t="shared" si="20"/>
        <v/>
      </c>
      <c r="F118" s="168" t="str">
        <f t="shared" si="21"/>
        <v/>
      </c>
      <c r="G118" s="192" t="str">
        <f t="shared" si="22"/>
        <v/>
      </c>
      <c r="H118" s="169">
        <f>IF(D118&lt;=$N$12+1,'死亡率（標準生命表）'!M97,0)</f>
        <v>0</v>
      </c>
      <c r="I118" s="170">
        <f>IF(D118&lt;$N$12+1,'死亡率（標準生命表）'!N98,IF(D118=$N$12+1,I117,0))</f>
        <v>0</v>
      </c>
      <c r="J118" s="171">
        <f>IF(E118="",0,CalcPut($G$11,$G$15,$G$12,$G$13,$G$14,G118))</f>
        <v>0</v>
      </c>
      <c r="M118" s="125">
        <f t="shared" si="23"/>
        <v>0</v>
      </c>
      <c r="N118" s="126">
        <f t="shared" si="24"/>
        <v>0</v>
      </c>
      <c r="O118" s="209">
        <f t="shared" si="25"/>
        <v>0</v>
      </c>
      <c r="P118"/>
      <c r="R118"/>
      <c r="S118"/>
      <c r="T118"/>
      <c r="U118"/>
      <c r="Y118" s="180">
        <f t="shared" si="17"/>
        <v>0</v>
      </c>
      <c r="Z118" s="181">
        <f t="shared" si="19"/>
        <v>0</v>
      </c>
      <c r="AA118" s="196">
        <f t="shared" si="26"/>
        <v>0</v>
      </c>
      <c r="AB118" s="204">
        <f t="shared" si="27"/>
        <v>0</v>
      </c>
      <c r="AI118" s="21"/>
      <c r="AK118" s="183" t="str">
        <f t="shared" si="28"/>
        <v/>
      </c>
      <c r="AL118" s="184" t="str">
        <f t="shared" si="29"/>
        <v/>
      </c>
      <c r="AM118" s="185" t="str">
        <f t="shared" si="30"/>
        <v/>
      </c>
    </row>
    <row r="119" spans="2:39" ht="18" x14ac:dyDescent="0.45">
      <c r="B119" s="22"/>
      <c r="C119" s="224" t="str">
        <f t="shared" si="18"/>
        <v/>
      </c>
      <c r="D119" s="120">
        <v>95</v>
      </c>
      <c r="E119" s="167" t="str">
        <f t="shared" si="20"/>
        <v/>
      </c>
      <c r="F119" s="168" t="str">
        <f t="shared" si="21"/>
        <v/>
      </c>
      <c r="G119" s="192" t="str">
        <f t="shared" si="22"/>
        <v/>
      </c>
      <c r="H119" s="169">
        <f>IF(D119&lt;=$N$12+1,'死亡率（標準生命表）'!M98,0)</f>
        <v>0</v>
      </c>
      <c r="I119" s="170">
        <f>IF(D119&lt;$N$12+1,'死亡率（標準生命表）'!N99,IF(D119=$N$12+1,I118,0))</f>
        <v>0</v>
      </c>
      <c r="J119" s="171">
        <f>IF(E119="",0,CalcPut($G$11,$G$15,$G$12,$G$13,$G$14,G119))</f>
        <v>0</v>
      </c>
      <c r="M119" s="125">
        <f t="shared" si="23"/>
        <v>0</v>
      </c>
      <c r="N119" s="126">
        <f t="shared" si="24"/>
        <v>0</v>
      </c>
      <c r="O119" s="209">
        <f t="shared" si="25"/>
        <v>0</v>
      </c>
      <c r="P119"/>
      <c r="R119"/>
      <c r="S119"/>
      <c r="T119"/>
      <c r="U119"/>
      <c r="Y119" s="180">
        <f t="shared" si="17"/>
        <v>0</v>
      </c>
      <c r="Z119" s="181">
        <f t="shared" si="19"/>
        <v>0</v>
      </c>
      <c r="AA119" s="196">
        <f t="shared" si="26"/>
        <v>0</v>
      </c>
      <c r="AB119" s="204">
        <f t="shared" si="27"/>
        <v>0</v>
      </c>
      <c r="AI119" s="21"/>
      <c r="AK119" s="183" t="str">
        <f t="shared" si="28"/>
        <v/>
      </c>
      <c r="AL119" s="184" t="str">
        <f t="shared" si="29"/>
        <v/>
      </c>
      <c r="AM119" s="185" t="str">
        <f t="shared" si="30"/>
        <v/>
      </c>
    </row>
    <row r="120" spans="2:39" ht="18" x14ac:dyDescent="0.45">
      <c r="B120" s="22"/>
      <c r="C120" s="224" t="str">
        <f t="shared" si="18"/>
        <v/>
      </c>
      <c r="D120" s="120">
        <v>96</v>
      </c>
      <c r="E120" s="167" t="str">
        <f t="shared" si="20"/>
        <v/>
      </c>
      <c r="F120" s="168" t="str">
        <f t="shared" si="21"/>
        <v/>
      </c>
      <c r="G120" s="192" t="str">
        <f t="shared" si="22"/>
        <v/>
      </c>
      <c r="H120" s="169">
        <f>IF(D120&lt;=$N$12+1,'死亡率（標準生命表）'!M99,0)</f>
        <v>0</v>
      </c>
      <c r="I120" s="170">
        <f>IF(D120&lt;$N$12+1,'死亡率（標準生命表）'!N100,IF(D120=$N$12+1,I119,0))</f>
        <v>0</v>
      </c>
      <c r="J120" s="171">
        <f>IF(E120="",0,CalcPut($G$11,$G$15,$G$12,$G$13,$G$14,G120))</f>
        <v>0</v>
      </c>
      <c r="M120" s="125">
        <f t="shared" si="23"/>
        <v>0</v>
      </c>
      <c r="N120" s="126">
        <f t="shared" si="24"/>
        <v>0</v>
      </c>
      <c r="O120" s="209">
        <f t="shared" si="25"/>
        <v>0</v>
      </c>
      <c r="P120"/>
      <c r="R120"/>
      <c r="S120"/>
      <c r="T120"/>
      <c r="U120"/>
      <c r="Y120" s="180">
        <f t="shared" si="17"/>
        <v>0</v>
      </c>
      <c r="Z120" s="181">
        <f t="shared" si="19"/>
        <v>0</v>
      </c>
      <c r="AA120" s="196">
        <f t="shared" si="26"/>
        <v>0</v>
      </c>
      <c r="AB120" s="204">
        <f t="shared" si="27"/>
        <v>0</v>
      </c>
      <c r="AI120" s="21"/>
      <c r="AK120" s="183" t="str">
        <f t="shared" si="28"/>
        <v/>
      </c>
      <c r="AL120" s="184" t="str">
        <f t="shared" si="29"/>
        <v/>
      </c>
      <c r="AM120" s="185" t="str">
        <f t="shared" si="30"/>
        <v/>
      </c>
    </row>
    <row r="121" spans="2:39" ht="18" x14ac:dyDescent="0.45">
      <c r="B121" s="22"/>
      <c r="C121" s="224" t="str">
        <f t="shared" si="18"/>
        <v/>
      </c>
      <c r="D121" s="120">
        <v>97</v>
      </c>
      <c r="E121" s="167" t="str">
        <f t="shared" si="20"/>
        <v/>
      </c>
      <c r="F121" s="168" t="str">
        <f t="shared" si="21"/>
        <v/>
      </c>
      <c r="G121" s="192" t="str">
        <f t="shared" si="22"/>
        <v/>
      </c>
      <c r="H121" s="169">
        <f>IF(D121&lt;=$N$12+1,'死亡率（標準生命表）'!M100,0)</f>
        <v>0</v>
      </c>
      <c r="I121" s="170">
        <f>IF(D121&lt;$N$12+1,'死亡率（標準生命表）'!N101,IF(D121=$N$12+1,I120,0))</f>
        <v>0</v>
      </c>
      <c r="J121" s="171">
        <f>IF(E121="",0,CalcPut($G$11,$G$15,$G$12,$G$13,$G$14,G121))</f>
        <v>0</v>
      </c>
      <c r="M121" s="125">
        <f t="shared" si="23"/>
        <v>0</v>
      </c>
      <c r="N121" s="126">
        <f t="shared" si="24"/>
        <v>0</v>
      </c>
      <c r="O121" s="209">
        <f t="shared" si="25"/>
        <v>0</v>
      </c>
      <c r="P121"/>
      <c r="R121"/>
      <c r="S121"/>
      <c r="T121"/>
      <c r="U121"/>
      <c r="Y121" s="180">
        <f t="shared" si="17"/>
        <v>0</v>
      </c>
      <c r="Z121" s="181">
        <f t="shared" ref="Z121:Z144" si="31">H121</f>
        <v>0</v>
      </c>
      <c r="AA121" s="196">
        <f t="shared" si="26"/>
        <v>0</v>
      </c>
      <c r="AB121" s="204">
        <f t="shared" si="27"/>
        <v>0</v>
      </c>
      <c r="AI121" s="21"/>
      <c r="AK121" s="183" t="str">
        <f t="shared" si="28"/>
        <v/>
      </c>
      <c r="AL121" s="184" t="str">
        <f t="shared" si="29"/>
        <v/>
      </c>
      <c r="AM121" s="185" t="str">
        <f t="shared" si="30"/>
        <v/>
      </c>
    </row>
    <row r="122" spans="2:39" ht="18" x14ac:dyDescent="0.45">
      <c r="B122" s="22"/>
      <c r="C122" s="224" t="str">
        <f t="shared" si="18"/>
        <v/>
      </c>
      <c r="D122" s="120">
        <v>98</v>
      </c>
      <c r="E122" s="167" t="str">
        <f t="shared" ref="E122:E145" si="32">IF(D122&lt;=$N$12,IF(F122=0.5,E121+1,E121),IF(D122=$N$12+1,E121+1,""))</f>
        <v/>
      </c>
      <c r="F122" s="168" t="str">
        <f t="shared" ref="F122:F145" si="33">IF(D122&lt;=$N$12,IF(F121=11.5,0.5,F121+1),IF(D122=$N$12+1,0,""))</f>
        <v/>
      </c>
      <c r="G122" s="192" t="str">
        <f t="shared" si="22"/>
        <v/>
      </c>
      <c r="H122" s="169">
        <f>IF(D122&lt;=$N$12+1,'死亡率（標準生命表）'!M101,0)</f>
        <v>0</v>
      </c>
      <c r="I122" s="170">
        <f>IF(D122&lt;$N$12+1,'死亡率（標準生命表）'!N102,IF(D122=$N$12+1,I121,0))</f>
        <v>0</v>
      </c>
      <c r="J122" s="171">
        <f>IF(E122="",0,CalcPut($G$11,$G$15,$G$12,$G$13,$G$14,G122))</f>
        <v>0</v>
      </c>
      <c r="M122" s="125">
        <f t="shared" si="23"/>
        <v>0</v>
      </c>
      <c r="N122" s="126">
        <f t="shared" si="24"/>
        <v>0</v>
      </c>
      <c r="O122" s="209">
        <f t="shared" si="25"/>
        <v>0</v>
      </c>
      <c r="P122"/>
      <c r="R122"/>
      <c r="S122"/>
      <c r="T122"/>
      <c r="U122"/>
      <c r="Y122" s="180">
        <f t="shared" si="17"/>
        <v>0</v>
      </c>
      <c r="Z122" s="181">
        <f t="shared" si="31"/>
        <v>0</v>
      </c>
      <c r="AA122" s="196">
        <f t="shared" si="26"/>
        <v>0</v>
      </c>
      <c r="AB122" s="204">
        <f t="shared" si="27"/>
        <v>0</v>
      </c>
      <c r="AI122" s="21"/>
      <c r="AK122" s="183" t="str">
        <f t="shared" si="28"/>
        <v/>
      </c>
      <c r="AL122" s="184" t="str">
        <f t="shared" si="29"/>
        <v/>
      </c>
      <c r="AM122" s="185" t="str">
        <f t="shared" si="30"/>
        <v/>
      </c>
    </row>
    <row r="123" spans="2:39" ht="18" x14ac:dyDescent="0.45">
      <c r="B123" s="22"/>
      <c r="C123" s="224" t="str">
        <f t="shared" si="18"/>
        <v/>
      </c>
      <c r="D123" s="120">
        <v>99</v>
      </c>
      <c r="E123" s="167" t="str">
        <f t="shared" si="32"/>
        <v/>
      </c>
      <c r="F123" s="168" t="str">
        <f t="shared" si="33"/>
        <v/>
      </c>
      <c r="G123" s="192" t="str">
        <f t="shared" si="22"/>
        <v/>
      </c>
      <c r="H123" s="169">
        <f>IF(D123&lt;=$N$12+1,'死亡率（標準生命表）'!M102,0)</f>
        <v>0</v>
      </c>
      <c r="I123" s="170">
        <f>IF(D123&lt;$N$12+1,'死亡率（標準生命表）'!N103,IF(D123=$N$12+1,I122,0))</f>
        <v>0</v>
      </c>
      <c r="J123" s="171">
        <f>IF(E123="",0,CalcPut($G$11,$G$15,$G$12,$G$13,$G$14,G123))</f>
        <v>0</v>
      </c>
      <c r="M123" s="125">
        <f t="shared" si="23"/>
        <v>0</v>
      </c>
      <c r="N123" s="126">
        <f t="shared" si="24"/>
        <v>0</v>
      </c>
      <c r="O123" s="209">
        <f t="shared" si="25"/>
        <v>0</v>
      </c>
      <c r="P123"/>
      <c r="R123"/>
      <c r="S123"/>
      <c r="T123"/>
      <c r="U123"/>
      <c r="Y123" s="180">
        <f t="shared" si="17"/>
        <v>0</v>
      </c>
      <c r="Z123" s="181">
        <f t="shared" si="31"/>
        <v>0</v>
      </c>
      <c r="AA123" s="196">
        <f t="shared" si="26"/>
        <v>0</v>
      </c>
      <c r="AB123" s="204">
        <f t="shared" si="27"/>
        <v>0</v>
      </c>
      <c r="AI123" s="21"/>
      <c r="AK123" s="183" t="str">
        <f t="shared" si="28"/>
        <v/>
      </c>
      <c r="AL123" s="184" t="str">
        <f t="shared" si="29"/>
        <v/>
      </c>
      <c r="AM123" s="185" t="str">
        <f t="shared" si="30"/>
        <v/>
      </c>
    </row>
    <row r="124" spans="2:39" ht="18" x14ac:dyDescent="0.45">
      <c r="B124" s="22"/>
      <c r="C124" s="224" t="str">
        <f t="shared" si="18"/>
        <v/>
      </c>
      <c r="D124" s="120">
        <v>100</v>
      </c>
      <c r="E124" s="167" t="str">
        <f t="shared" si="32"/>
        <v/>
      </c>
      <c r="F124" s="168" t="str">
        <f t="shared" si="33"/>
        <v/>
      </c>
      <c r="G124" s="192" t="str">
        <f t="shared" si="22"/>
        <v/>
      </c>
      <c r="H124" s="169">
        <f>IF(D124&lt;=$N$12+1,'死亡率（標準生命表）'!M103,0)</f>
        <v>0</v>
      </c>
      <c r="I124" s="170">
        <f>IF(D124&lt;$N$12+1,'死亡率（標準生命表）'!N104,IF(D124=$N$12+1,I123,0))</f>
        <v>0</v>
      </c>
      <c r="J124" s="171">
        <f>IF(E124="",0,CalcPut($G$11,$G$15,$G$12,$G$13,$G$14,G124))</f>
        <v>0</v>
      </c>
      <c r="M124" s="125">
        <f t="shared" si="23"/>
        <v>0</v>
      </c>
      <c r="N124" s="126">
        <f t="shared" si="24"/>
        <v>0</v>
      </c>
      <c r="O124" s="209">
        <f t="shared" si="25"/>
        <v>0</v>
      </c>
      <c r="P124"/>
      <c r="R124"/>
      <c r="S124"/>
      <c r="T124"/>
      <c r="U124"/>
      <c r="Y124" s="180">
        <f t="shared" si="17"/>
        <v>0</v>
      </c>
      <c r="Z124" s="181">
        <f t="shared" si="31"/>
        <v>0</v>
      </c>
      <c r="AA124" s="196">
        <f t="shared" si="26"/>
        <v>0</v>
      </c>
      <c r="AB124" s="204">
        <f t="shared" si="27"/>
        <v>0</v>
      </c>
      <c r="AI124" s="21"/>
      <c r="AK124" s="183" t="str">
        <f t="shared" si="28"/>
        <v/>
      </c>
      <c r="AL124" s="184" t="str">
        <f t="shared" si="29"/>
        <v/>
      </c>
      <c r="AM124" s="185" t="str">
        <f t="shared" si="30"/>
        <v/>
      </c>
    </row>
    <row r="125" spans="2:39" ht="18" x14ac:dyDescent="0.45">
      <c r="B125" s="22"/>
      <c r="C125" s="224" t="str">
        <f t="shared" si="18"/>
        <v/>
      </c>
      <c r="D125" s="120">
        <v>101</v>
      </c>
      <c r="E125" s="167" t="str">
        <f t="shared" si="32"/>
        <v/>
      </c>
      <c r="F125" s="168" t="str">
        <f t="shared" si="33"/>
        <v/>
      </c>
      <c r="G125" s="192" t="str">
        <f t="shared" si="22"/>
        <v/>
      </c>
      <c r="H125" s="169">
        <f>IF(D125&lt;=$N$12+1,'死亡率（標準生命表）'!M104,0)</f>
        <v>0</v>
      </c>
      <c r="I125" s="170">
        <f>IF(D125&lt;$N$12+1,'死亡率（標準生命表）'!N105,IF(D125=$N$12+1,I124,0))</f>
        <v>0</v>
      </c>
      <c r="J125" s="171">
        <f>IF(E125="",0,CalcPut($G$11,$G$15,$G$12,$G$13,$G$14,G125))</f>
        <v>0</v>
      </c>
      <c r="M125" s="125">
        <f t="shared" si="23"/>
        <v>0</v>
      </c>
      <c r="N125" s="126">
        <f t="shared" si="24"/>
        <v>0</v>
      </c>
      <c r="O125" s="209">
        <f t="shared" si="25"/>
        <v>0</v>
      </c>
      <c r="P125"/>
      <c r="R125"/>
      <c r="S125"/>
      <c r="T125"/>
      <c r="U125"/>
      <c r="Y125" s="180">
        <f t="shared" si="17"/>
        <v>0</v>
      </c>
      <c r="Z125" s="181">
        <f t="shared" si="31"/>
        <v>0</v>
      </c>
      <c r="AA125" s="196">
        <f t="shared" si="26"/>
        <v>0</v>
      </c>
      <c r="AB125" s="204">
        <f t="shared" si="27"/>
        <v>0</v>
      </c>
      <c r="AI125" s="21"/>
      <c r="AK125" s="183" t="str">
        <f t="shared" si="28"/>
        <v/>
      </c>
      <c r="AL125" s="184" t="str">
        <f t="shared" si="29"/>
        <v/>
      </c>
      <c r="AM125" s="185" t="str">
        <f t="shared" si="30"/>
        <v/>
      </c>
    </row>
    <row r="126" spans="2:39" ht="18" x14ac:dyDescent="0.45">
      <c r="B126" s="22"/>
      <c r="C126" s="224" t="str">
        <f t="shared" si="18"/>
        <v/>
      </c>
      <c r="D126" s="120">
        <v>102</v>
      </c>
      <c r="E126" s="167" t="str">
        <f t="shared" si="32"/>
        <v/>
      </c>
      <c r="F126" s="168" t="str">
        <f t="shared" si="33"/>
        <v/>
      </c>
      <c r="G126" s="192" t="str">
        <f t="shared" si="22"/>
        <v/>
      </c>
      <c r="H126" s="169">
        <f>IF(D126&lt;=$N$12+1,'死亡率（標準生命表）'!M105,0)</f>
        <v>0</v>
      </c>
      <c r="I126" s="170">
        <f>IF(D126&lt;$N$12+1,'死亡率（標準生命表）'!N106,IF(D126=$N$12+1,I125,0))</f>
        <v>0</v>
      </c>
      <c r="J126" s="171">
        <f>IF(E126="",0,CalcPut($G$11,$G$15,$G$12,$G$13,$G$14,G126))</f>
        <v>0</v>
      </c>
      <c r="M126" s="125">
        <f t="shared" si="23"/>
        <v>0</v>
      </c>
      <c r="N126" s="126">
        <f t="shared" si="24"/>
        <v>0</v>
      </c>
      <c r="O126" s="209">
        <f t="shared" si="25"/>
        <v>0</v>
      </c>
      <c r="P126"/>
      <c r="R126"/>
      <c r="S126"/>
      <c r="T126"/>
      <c r="U126"/>
      <c r="Y126" s="180">
        <f t="shared" si="17"/>
        <v>0</v>
      </c>
      <c r="Z126" s="181">
        <f t="shared" si="31"/>
        <v>0</v>
      </c>
      <c r="AA126" s="196">
        <f t="shared" si="26"/>
        <v>0</v>
      </c>
      <c r="AB126" s="204">
        <f t="shared" si="27"/>
        <v>0</v>
      </c>
      <c r="AI126" s="21"/>
      <c r="AK126" s="183" t="str">
        <f t="shared" si="28"/>
        <v/>
      </c>
      <c r="AL126" s="184" t="str">
        <f t="shared" si="29"/>
        <v/>
      </c>
      <c r="AM126" s="185" t="str">
        <f t="shared" si="30"/>
        <v/>
      </c>
    </row>
    <row r="127" spans="2:39" ht="18" x14ac:dyDescent="0.45">
      <c r="B127" s="22"/>
      <c r="C127" s="224" t="str">
        <f t="shared" si="18"/>
        <v/>
      </c>
      <c r="D127" s="120">
        <v>103</v>
      </c>
      <c r="E127" s="167" t="str">
        <f t="shared" si="32"/>
        <v/>
      </c>
      <c r="F127" s="168" t="str">
        <f t="shared" si="33"/>
        <v/>
      </c>
      <c r="G127" s="192" t="str">
        <f t="shared" si="22"/>
        <v/>
      </c>
      <c r="H127" s="169">
        <f>IF(D127&lt;=$N$12+1,'死亡率（標準生命表）'!M106,0)</f>
        <v>0</v>
      </c>
      <c r="I127" s="170">
        <f>IF(D127&lt;$N$12+1,'死亡率（標準生命表）'!N107,IF(D127=$N$12+1,I126,0))</f>
        <v>0</v>
      </c>
      <c r="J127" s="171">
        <f>IF(E127="",0,CalcPut($G$11,$G$15,$G$12,$G$13,$G$14,G127))</f>
        <v>0</v>
      </c>
      <c r="M127" s="125">
        <f t="shared" si="23"/>
        <v>0</v>
      </c>
      <c r="N127" s="126">
        <f t="shared" si="24"/>
        <v>0</v>
      </c>
      <c r="O127" s="209">
        <f t="shared" si="25"/>
        <v>0</v>
      </c>
      <c r="P127"/>
      <c r="R127"/>
      <c r="S127"/>
      <c r="T127"/>
      <c r="U127"/>
      <c r="Y127" s="180">
        <f t="shared" si="17"/>
        <v>0</v>
      </c>
      <c r="Z127" s="181">
        <f t="shared" si="31"/>
        <v>0</v>
      </c>
      <c r="AA127" s="196">
        <f t="shared" si="26"/>
        <v>0</v>
      </c>
      <c r="AB127" s="204">
        <f t="shared" si="27"/>
        <v>0</v>
      </c>
      <c r="AI127" s="21"/>
      <c r="AK127" s="183" t="str">
        <f t="shared" si="28"/>
        <v/>
      </c>
      <c r="AL127" s="184" t="str">
        <f t="shared" si="29"/>
        <v/>
      </c>
      <c r="AM127" s="185" t="str">
        <f t="shared" si="30"/>
        <v/>
      </c>
    </row>
    <row r="128" spans="2:39" ht="18" x14ac:dyDescent="0.45">
      <c r="B128" s="22"/>
      <c r="C128" s="224" t="str">
        <f t="shared" si="18"/>
        <v/>
      </c>
      <c r="D128" s="120">
        <v>104</v>
      </c>
      <c r="E128" s="167" t="str">
        <f t="shared" si="32"/>
        <v/>
      </c>
      <c r="F128" s="168" t="str">
        <f t="shared" si="33"/>
        <v/>
      </c>
      <c r="G128" s="192" t="str">
        <f t="shared" si="22"/>
        <v/>
      </c>
      <c r="H128" s="169">
        <f>IF(D128&lt;=$N$12+1,'死亡率（標準生命表）'!M107,0)</f>
        <v>0</v>
      </c>
      <c r="I128" s="170">
        <f>IF(D128&lt;$N$12+1,'死亡率（標準生命表）'!N108,IF(D128=$N$12+1,I127,0))</f>
        <v>0</v>
      </c>
      <c r="J128" s="171">
        <f>IF(E128="",0,CalcPut($G$11,$G$15,$G$12,$G$13,$G$14,G128))</f>
        <v>0</v>
      </c>
      <c r="M128" s="125">
        <f t="shared" si="23"/>
        <v>0</v>
      </c>
      <c r="N128" s="126">
        <f t="shared" si="24"/>
        <v>0</v>
      </c>
      <c r="O128" s="209">
        <f t="shared" si="25"/>
        <v>0</v>
      </c>
      <c r="P128"/>
      <c r="R128"/>
      <c r="S128"/>
      <c r="T128"/>
      <c r="U128"/>
      <c r="Y128" s="180">
        <f t="shared" si="17"/>
        <v>0</v>
      </c>
      <c r="Z128" s="181">
        <f t="shared" si="31"/>
        <v>0</v>
      </c>
      <c r="AA128" s="196">
        <f t="shared" si="26"/>
        <v>0</v>
      </c>
      <c r="AB128" s="204">
        <f t="shared" si="27"/>
        <v>0</v>
      </c>
      <c r="AI128" s="21"/>
      <c r="AK128" s="183" t="str">
        <f t="shared" si="28"/>
        <v/>
      </c>
      <c r="AL128" s="184" t="str">
        <f t="shared" si="29"/>
        <v/>
      </c>
      <c r="AM128" s="185" t="str">
        <f t="shared" si="30"/>
        <v/>
      </c>
    </row>
    <row r="129" spans="2:39" ht="18" x14ac:dyDescent="0.45">
      <c r="B129" s="22"/>
      <c r="C129" s="224" t="str">
        <f t="shared" si="18"/>
        <v/>
      </c>
      <c r="D129" s="120">
        <v>105</v>
      </c>
      <c r="E129" s="167" t="str">
        <f t="shared" si="32"/>
        <v/>
      </c>
      <c r="F129" s="168" t="str">
        <f t="shared" si="33"/>
        <v/>
      </c>
      <c r="G129" s="192" t="str">
        <f t="shared" si="22"/>
        <v/>
      </c>
      <c r="H129" s="169">
        <f>IF(D129&lt;=$N$12+1,'死亡率（標準生命表）'!M108,0)</f>
        <v>0</v>
      </c>
      <c r="I129" s="170">
        <f>IF(D129&lt;$N$12+1,'死亡率（標準生命表）'!N109,IF(D129=$N$12+1,I128,0))</f>
        <v>0</v>
      </c>
      <c r="J129" s="171">
        <f>IF(E129="",0,CalcPut($G$11,$G$15,$G$12,$G$13,$G$14,G129))</f>
        <v>0</v>
      </c>
      <c r="M129" s="125">
        <f t="shared" si="23"/>
        <v>0</v>
      </c>
      <c r="N129" s="126">
        <f t="shared" si="24"/>
        <v>0</v>
      </c>
      <c r="O129" s="209">
        <f t="shared" si="25"/>
        <v>0</v>
      </c>
      <c r="P129"/>
      <c r="R129"/>
      <c r="S129"/>
      <c r="T129"/>
      <c r="U129"/>
      <c r="Y129" s="180">
        <f t="shared" si="17"/>
        <v>0</v>
      </c>
      <c r="Z129" s="181">
        <f t="shared" si="31"/>
        <v>0</v>
      </c>
      <c r="AA129" s="196">
        <f t="shared" si="26"/>
        <v>0</v>
      </c>
      <c r="AB129" s="204">
        <f t="shared" si="27"/>
        <v>0</v>
      </c>
      <c r="AI129" s="21"/>
      <c r="AK129" s="183" t="str">
        <f t="shared" si="28"/>
        <v/>
      </c>
      <c r="AL129" s="184" t="str">
        <f t="shared" si="29"/>
        <v/>
      </c>
      <c r="AM129" s="185" t="str">
        <f t="shared" si="30"/>
        <v/>
      </c>
    </row>
    <row r="130" spans="2:39" ht="18" x14ac:dyDescent="0.45">
      <c r="B130" s="22"/>
      <c r="C130" s="224" t="str">
        <f t="shared" si="18"/>
        <v/>
      </c>
      <c r="D130" s="120">
        <v>106</v>
      </c>
      <c r="E130" s="167" t="str">
        <f t="shared" si="32"/>
        <v/>
      </c>
      <c r="F130" s="168" t="str">
        <f t="shared" si="33"/>
        <v/>
      </c>
      <c r="G130" s="192" t="str">
        <f t="shared" si="22"/>
        <v/>
      </c>
      <c r="H130" s="169">
        <f>IF(D130&lt;=$N$12+1,'死亡率（標準生命表）'!M109,0)</f>
        <v>0</v>
      </c>
      <c r="I130" s="170">
        <f>IF(D130&lt;$N$12+1,'死亡率（標準生命表）'!N110,IF(D130=$N$12+1,I129,0))</f>
        <v>0</v>
      </c>
      <c r="J130" s="171">
        <f>IF(E130="",0,CalcPut($G$11,$G$15,$G$12,$G$13,$G$14,G130))</f>
        <v>0</v>
      </c>
      <c r="M130" s="125">
        <f t="shared" si="23"/>
        <v>0</v>
      </c>
      <c r="N130" s="126">
        <f t="shared" si="24"/>
        <v>0</v>
      </c>
      <c r="O130" s="209">
        <f t="shared" si="25"/>
        <v>0</v>
      </c>
      <c r="P130"/>
      <c r="R130"/>
      <c r="S130"/>
      <c r="T130"/>
      <c r="U130"/>
      <c r="Y130" s="180">
        <f t="shared" si="17"/>
        <v>0</v>
      </c>
      <c r="Z130" s="181">
        <f t="shared" si="31"/>
        <v>0</v>
      </c>
      <c r="AA130" s="196">
        <f t="shared" si="26"/>
        <v>0</v>
      </c>
      <c r="AB130" s="204">
        <f t="shared" si="27"/>
        <v>0</v>
      </c>
      <c r="AI130" s="21"/>
      <c r="AK130" s="183" t="str">
        <f t="shared" si="28"/>
        <v/>
      </c>
      <c r="AL130" s="184" t="str">
        <f t="shared" si="29"/>
        <v/>
      </c>
      <c r="AM130" s="185" t="str">
        <f t="shared" si="30"/>
        <v/>
      </c>
    </row>
    <row r="131" spans="2:39" ht="18" x14ac:dyDescent="0.45">
      <c r="B131" s="22"/>
      <c r="C131" s="224" t="str">
        <f t="shared" si="18"/>
        <v/>
      </c>
      <c r="D131" s="120">
        <v>107</v>
      </c>
      <c r="E131" s="167" t="str">
        <f t="shared" si="32"/>
        <v/>
      </c>
      <c r="F131" s="168" t="str">
        <f t="shared" si="33"/>
        <v/>
      </c>
      <c r="G131" s="192" t="str">
        <f t="shared" si="22"/>
        <v/>
      </c>
      <c r="H131" s="169">
        <f>IF(D131&lt;=$N$12+1,'死亡率（標準生命表）'!M110,0)</f>
        <v>0</v>
      </c>
      <c r="I131" s="170">
        <f>IF(D131&lt;$N$12+1,'死亡率（標準生命表）'!N111,IF(D131=$N$12+1,I130,0))</f>
        <v>0</v>
      </c>
      <c r="J131" s="171">
        <f>IF(E131="",0,CalcPut($G$11,$G$15,$G$12,$G$13,$G$14,G131))</f>
        <v>0</v>
      </c>
      <c r="M131" s="125">
        <f t="shared" si="23"/>
        <v>0</v>
      </c>
      <c r="N131" s="126">
        <f t="shared" si="24"/>
        <v>0</v>
      </c>
      <c r="O131" s="209">
        <f t="shared" si="25"/>
        <v>0</v>
      </c>
      <c r="P131"/>
      <c r="R131"/>
      <c r="S131"/>
      <c r="T131"/>
      <c r="U131"/>
      <c r="Y131" s="180">
        <f t="shared" si="17"/>
        <v>0</v>
      </c>
      <c r="Z131" s="181">
        <f t="shared" si="31"/>
        <v>0</v>
      </c>
      <c r="AA131" s="196">
        <f t="shared" si="26"/>
        <v>0</v>
      </c>
      <c r="AB131" s="204">
        <f t="shared" si="27"/>
        <v>0</v>
      </c>
      <c r="AI131" s="21"/>
      <c r="AK131" s="183" t="str">
        <f t="shared" si="28"/>
        <v/>
      </c>
      <c r="AL131" s="184" t="str">
        <f t="shared" si="29"/>
        <v/>
      </c>
      <c r="AM131" s="185" t="str">
        <f t="shared" si="30"/>
        <v/>
      </c>
    </row>
    <row r="132" spans="2:39" ht="18" x14ac:dyDescent="0.45">
      <c r="B132" s="22"/>
      <c r="C132" s="224" t="str">
        <f t="shared" si="18"/>
        <v/>
      </c>
      <c r="D132" s="120">
        <v>108</v>
      </c>
      <c r="E132" s="167" t="str">
        <f t="shared" si="32"/>
        <v/>
      </c>
      <c r="F132" s="168" t="str">
        <f t="shared" si="33"/>
        <v/>
      </c>
      <c r="G132" s="192" t="str">
        <f t="shared" si="22"/>
        <v/>
      </c>
      <c r="H132" s="169">
        <f>IF(D132&lt;=$N$12+1,'死亡率（標準生命表）'!M111,0)</f>
        <v>0</v>
      </c>
      <c r="I132" s="170">
        <f>IF(D132&lt;$N$12+1,'死亡率（標準生命表）'!N112,IF(D132=$N$12+1,I131,0))</f>
        <v>0</v>
      </c>
      <c r="J132" s="171">
        <f>IF(E132="",0,CalcPut($G$11,$G$15,$G$12,$G$13,$G$14,G132))</f>
        <v>0</v>
      </c>
      <c r="M132" s="125">
        <f t="shared" si="23"/>
        <v>0</v>
      </c>
      <c r="N132" s="126">
        <f t="shared" si="24"/>
        <v>0</v>
      </c>
      <c r="O132" s="209">
        <f t="shared" si="25"/>
        <v>0</v>
      </c>
      <c r="P132"/>
      <c r="R132"/>
      <c r="S132"/>
      <c r="T132"/>
      <c r="U132"/>
      <c r="Y132" s="180">
        <f t="shared" si="17"/>
        <v>0</v>
      </c>
      <c r="Z132" s="181">
        <f t="shared" si="31"/>
        <v>0</v>
      </c>
      <c r="AA132" s="196">
        <f t="shared" si="26"/>
        <v>0</v>
      </c>
      <c r="AB132" s="204">
        <f t="shared" si="27"/>
        <v>0</v>
      </c>
      <c r="AI132" s="21"/>
      <c r="AK132" s="183" t="str">
        <f t="shared" si="28"/>
        <v/>
      </c>
      <c r="AL132" s="184" t="str">
        <f t="shared" si="29"/>
        <v/>
      </c>
      <c r="AM132" s="185" t="str">
        <f t="shared" si="30"/>
        <v/>
      </c>
    </row>
    <row r="133" spans="2:39" ht="18" x14ac:dyDescent="0.45">
      <c r="B133" s="22"/>
      <c r="C133" s="224" t="str">
        <f t="shared" si="18"/>
        <v/>
      </c>
      <c r="D133" s="120">
        <v>109</v>
      </c>
      <c r="E133" s="167" t="str">
        <f t="shared" si="32"/>
        <v/>
      </c>
      <c r="F133" s="168" t="str">
        <f t="shared" si="33"/>
        <v/>
      </c>
      <c r="G133" s="192" t="str">
        <f t="shared" si="22"/>
        <v/>
      </c>
      <c r="H133" s="169">
        <f>IF(D133&lt;=$N$12+1,'死亡率（標準生命表）'!M112,0)</f>
        <v>0</v>
      </c>
      <c r="I133" s="170">
        <f>IF(D133&lt;$N$12+1,'死亡率（標準生命表）'!N113,IF(D133=$N$12+1,I132,0))</f>
        <v>0</v>
      </c>
      <c r="J133" s="171">
        <f>IF(E133="",0,CalcPut($G$11,$G$15,$G$12,$G$13,$G$14,G133))</f>
        <v>0</v>
      </c>
      <c r="M133" s="125">
        <f t="shared" si="23"/>
        <v>0</v>
      </c>
      <c r="N133" s="126">
        <f t="shared" si="24"/>
        <v>0</v>
      </c>
      <c r="O133" s="209">
        <f t="shared" si="25"/>
        <v>0</v>
      </c>
      <c r="P133"/>
      <c r="R133"/>
      <c r="S133"/>
      <c r="T133"/>
      <c r="U133"/>
      <c r="Y133" s="180">
        <f t="shared" si="17"/>
        <v>0</v>
      </c>
      <c r="Z133" s="181">
        <f t="shared" si="31"/>
        <v>0</v>
      </c>
      <c r="AA133" s="196">
        <f t="shared" si="26"/>
        <v>0</v>
      </c>
      <c r="AB133" s="204">
        <f t="shared" si="27"/>
        <v>0</v>
      </c>
      <c r="AI133" s="21"/>
      <c r="AK133" s="183" t="str">
        <f t="shared" si="28"/>
        <v/>
      </c>
      <c r="AL133" s="184" t="str">
        <f t="shared" si="29"/>
        <v/>
      </c>
      <c r="AM133" s="185" t="str">
        <f t="shared" si="30"/>
        <v/>
      </c>
    </row>
    <row r="134" spans="2:39" ht="18" x14ac:dyDescent="0.45">
      <c r="B134" s="22"/>
      <c r="C134" s="224" t="str">
        <f t="shared" si="18"/>
        <v/>
      </c>
      <c r="D134" s="120">
        <v>110</v>
      </c>
      <c r="E134" s="167" t="str">
        <f t="shared" si="32"/>
        <v/>
      </c>
      <c r="F134" s="168" t="str">
        <f t="shared" si="33"/>
        <v/>
      </c>
      <c r="G134" s="192" t="str">
        <f t="shared" si="22"/>
        <v/>
      </c>
      <c r="H134" s="169">
        <f>IF(D134&lt;=$N$12+1,'死亡率（標準生命表）'!M113,0)</f>
        <v>0</v>
      </c>
      <c r="I134" s="170">
        <f>IF(D134&lt;$N$12+1,'死亡率（標準生命表）'!N114,IF(D134=$N$12+1,I133,0))</f>
        <v>0</v>
      </c>
      <c r="J134" s="171">
        <f>IF(E134="",0,CalcPut($G$11,$G$15,$G$12,$G$13,$G$14,G134))</f>
        <v>0</v>
      </c>
      <c r="M134" s="125">
        <f t="shared" si="23"/>
        <v>0</v>
      </c>
      <c r="N134" s="126">
        <f t="shared" si="24"/>
        <v>0</v>
      </c>
      <c r="O134" s="209">
        <f t="shared" si="25"/>
        <v>0</v>
      </c>
      <c r="P134"/>
      <c r="R134"/>
      <c r="S134"/>
      <c r="T134"/>
      <c r="U134"/>
      <c r="Y134" s="180">
        <f t="shared" si="17"/>
        <v>0</v>
      </c>
      <c r="Z134" s="181">
        <f t="shared" si="31"/>
        <v>0</v>
      </c>
      <c r="AA134" s="196">
        <f t="shared" si="26"/>
        <v>0</v>
      </c>
      <c r="AB134" s="204">
        <f t="shared" si="27"/>
        <v>0</v>
      </c>
      <c r="AI134" s="21"/>
      <c r="AK134" s="183" t="str">
        <f t="shared" si="28"/>
        <v/>
      </c>
      <c r="AL134" s="184" t="str">
        <f t="shared" si="29"/>
        <v/>
      </c>
      <c r="AM134" s="185" t="str">
        <f t="shared" si="30"/>
        <v/>
      </c>
    </row>
    <row r="135" spans="2:39" ht="18" x14ac:dyDescent="0.45">
      <c r="B135" s="22"/>
      <c r="C135" s="224" t="str">
        <f t="shared" si="18"/>
        <v/>
      </c>
      <c r="D135" s="120">
        <v>111</v>
      </c>
      <c r="E135" s="167" t="str">
        <f t="shared" si="32"/>
        <v/>
      </c>
      <c r="F135" s="168" t="str">
        <f t="shared" si="33"/>
        <v/>
      </c>
      <c r="G135" s="192" t="str">
        <f t="shared" si="22"/>
        <v/>
      </c>
      <c r="H135" s="169">
        <f>IF(D135&lt;=$N$12+1,'死亡率（標準生命表）'!M114,0)</f>
        <v>0</v>
      </c>
      <c r="I135" s="170">
        <f>IF(D135&lt;$N$12+1,'死亡率（標準生命表）'!N115,IF(D135=$N$12+1,I134,0))</f>
        <v>0</v>
      </c>
      <c r="J135" s="171">
        <f>IF(E135="",0,CalcPut($G$11,$G$15,$G$12,$G$13,$G$14,G135))</f>
        <v>0</v>
      </c>
      <c r="M135" s="125">
        <f t="shared" si="23"/>
        <v>0</v>
      </c>
      <c r="N135" s="126">
        <f t="shared" si="24"/>
        <v>0</v>
      </c>
      <c r="O135" s="209">
        <f t="shared" si="25"/>
        <v>0</v>
      </c>
      <c r="P135"/>
      <c r="R135"/>
      <c r="S135"/>
      <c r="T135"/>
      <c r="U135"/>
      <c r="Y135" s="180">
        <f t="shared" si="17"/>
        <v>0</v>
      </c>
      <c r="Z135" s="181">
        <f t="shared" si="31"/>
        <v>0</v>
      </c>
      <c r="AA135" s="196">
        <f t="shared" si="26"/>
        <v>0</v>
      </c>
      <c r="AB135" s="204">
        <f t="shared" si="27"/>
        <v>0</v>
      </c>
      <c r="AI135" s="21"/>
      <c r="AK135" s="183" t="str">
        <f t="shared" si="28"/>
        <v/>
      </c>
      <c r="AL135" s="184" t="str">
        <f t="shared" si="29"/>
        <v/>
      </c>
      <c r="AM135" s="185" t="str">
        <f t="shared" si="30"/>
        <v/>
      </c>
    </row>
    <row r="136" spans="2:39" ht="18" x14ac:dyDescent="0.45">
      <c r="B136" s="22"/>
      <c r="C136" s="224" t="str">
        <f t="shared" si="18"/>
        <v/>
      </c>
      <c r="D136" s="120">
        <v>112</v>
      </c>
      <c r="E136" s="167" t="str">
        <f t="shared" si="32"/>
        <v/>
      </c>
      <c r="F136" s="168" t="str">
        <f t="shared" si="33"/>
        <v/>
      </c>
      <c r="G136" s="192" t="str">
        <f t="shared" si="22"/>
        <v/>
      </c>
      <c r="H136" s="169">
        <f>IF(D136&lt;=$N$12+1,'死亡率（標準生命表）'!M115,0)</f>
        <v>0</v>
      </c>
      <c r="I136" s="170">
        <f>IF(D136&lt;$N$12+1,'死亡率（標準生命表）'!N116,IF(D136=$N$12+1,I135,0))</f>
        <v>0</v>
      </c>
      <c r="J136" s="171">
        <f>IF(E136="",0,CalcPut($G$11,$G$15,$G$12,$G$13,$G$14,G136))</f>
        <v>0</v>
      </c>
      <c r="M136" s="125">
        <f t="shared" si="23"/>
        <v>0</v>
      </c>
      <c r="N136" s="126">
        <f t="shared" si="24"/>
        <v>0</v>
      </c>
      <c r="O136" s="209">
        <f t="shared" si="25"/>
        <v>0</v>
      </c>
      <c r="P136"/>
      <c r="R136"/>
      <c r="S136"/>
      <c r="T136"/>
      <c r="U136"/>
      <c r="Y136" s="180">
        <f t="shared" si="17"/>
        <v>0</v>
      </c>
      <c r="Z136" s="181">
        <f t="shared" si="31"/>
        <v>0</v>
      </c>
      <c r="AA136" s="196">
        <f t="shared" si="26"/>
        <v>0</v>
      </c>
      <c r="AB136" s="204">
        <f t="shared" si="27"/>
        <v>0</v>
      </c>
      <c r="AI136" s="21"/>
      <c r="AK136" s="183" t="str">
        <f t="shared" si="28"/>
        <v/>
      </c>
      <c r="AL136" s="184" t="str">
        <f t="shared" si="29"/>
        <v/>
      </c>
      <c r="AM136" s="185" t="str">
        <f t="shared" si="30"/>
        <v/>
      </c>
    </row>
    <row r="137" spans="2:39" ht="18" x14ac:dyDescent="0.45">
      <c r="B137" s="22"/>
      <c r="C137" s="224" t="str">
        <f t="shared" si="18"/>
        <v/>
      </c>
      <c r="D137" s="120">
        <v>113</v>
      </c>
      <c r="E137" s="167" t="str">
        <f t="shared" si="32"/>
        <v/>
      </c>
      <c r="F137" s="168" t="str">
        <f t="shared" si="33"/>
        <v/>
      </c>
      <c r="G137" s="192" t="str">
        <f t="shared" si="22"/>
        <v/>
      </c>
      <c r="H137" s="169">
        <f>IF(D137&lt;=$N$12+1,'死亡率（標準生命表）'!M116,0)</f>
        <v>0</v>
      </c>
      <c r="I137" s="170">
        <f>IF(D137&lt;$N$12+1,'死亡率（標準生命表）'!N117,IF(D137=$N$12+1,I136,0))</f>
        <v>0</v>
      </c>
      <c r="J137" s="171">
        <f>IF(E137="",0,CalcPut($G$11,$G$15,$G$12,$G$13,$G$14,G137))</f>
        <v>0</v>
      </c>
      <c r="M137" s="125">
        <f t="shared" si="23"/>
        <v>0</v>
      </c>
      <c r="N137" s="126">
        <f t="shared" si="24"/>
        <v>0</v>
      </c>
      <c r="O137" s="209">
        <f t="shared" si="25"/>
        <v>0</v>
      </c>
      <c r="P137"/>
      <c r="R137"/>
      <c r="S137"/>
      <c r="T137"/>
      <c r="U137"/>
      <c r="Y137" s="180">
        <f t="shared" si="17"/>
        <v>0</v>
      </c>
      <c r="Z137" s="181">
        <f t="shared" si="31"/>
        <v>0</v>
      </c>
      <c r="AA137" s="196">
        <f t="shared" si="26"/>
        <v>0</v>
      </c>
      <c r="AB137" s="204">
        <f t="shared" si="27"/>
        <v>0</v>
      </c>
      <c r="AI137" s="21"/>
      <c r="AK137" s="183" t="str">
        <f t="shared" si="28"/>
        <v/>
      </c>
      <c r="AL137" s="184" t="str">
        <f t="shared" si="29"/>
        <v/>
      </c>
      <c r="AM137" s="185" t="str">
        <f t="shared" si="30"/>
        <v/>
      </c>
    </row>
    <row r="138" spans="2:39" ht="18" x14ac:dyDescent="0.45">
      <c r="B138" s="22"/>
      <c r="C138" s="224" t="str">
        <f t="shared" si="18"/>
        <v/>
      </c>
      <c r="D138" s="120">
        <v>114</v>
      </c>
      <c r="E138" s="167" t="str">
        <f t="shared" si="32"/>
        <v/>
      </c>
      <c r="F138" s="168" t="str">
        <f t="shared" si="33"/>
        <v/>
      </c>
      <c r="G138" s="192" t="str">
        <f t="shared" si="22"/>
        <v/>
      </c>
      <c r="H138" s="169">
        <f>IF(D138&lt;=$N$12+1,'死亡率（標準生命表）'!M117,0)</f>
        <v>0</v>
      </c>
      <c r="I138" s="170">
        <f>IF(D138&lt;$N$12+1,'死亡率（標準生命表）'!N118,IF(D138=$N$12+1,I137,0))</f>
        <v>0</v>
      </c>
      <c r="J138" s="171">
        <f>IF(E138="",0,CalcPut($G$11,$G$15,$G$12,$G$13,$G$14,G138))</f>
        <v>0</v>
      </c>
      <c r="M138" s="125">
        <f t="shared" si="23"/>
        <v>0</v>
      </c>
      <c r="N138" s="126">
        <f t="shared" si="24"/>
        <v>0</v>
      </c>
      <c r="O138" s="209">
        <f t="shared" si="25"/>
        <v>0</v>
      </c>
      <c r="P138"/>
      <c r="R138"/>
      <c r="S138"/>
      <c r="T138"/>
      <c r="U138"/>
      <c r="Y138" s="180">
        <f t="shared" si="17"/>
        <v>0</v>
      </c>
      <c r="Z138" s="181">
        <f t="shared" si="31"/>
        <v>0</v>
      </c>
      <c r="AA138" s="196">
        <f t="shared" si="26"/>
        <v>0</v>
      </c>
      <c r="AB138" s="204">
        <f t="shared" si="27"/>
        <v>0</v>
      </c>
      <c r="AI138" s="21"/>
      <c r="AK138" s="183" t="str">
        <f t="shared" si="28"/>
        <v/>
      </c>
      <c r="AL138" s="184" t="str">
        <f t="shared" si="29"/>
        <v/>
      </c>
      <c r="AM138" s="185" t="str">
        <f t="shared" si="30"/>
        <v/>
      </c>
    </row>
    <row r="139" spans="2:39" ht="18" x14ac:dyDescent="0.45">
      <c r="B139" s="22"/>
      <c r="C139" s="224" t="str">
        <f t="shared" si="18"/>
        <v/>
      </c>
      <c r="D139" s="120">
        <v>115</v>
      </c>
      <c r="E139" s="167" t="str">
        <f t="shared" si="32"/>
        <v/>
      </c>
      <c r="F139" s="168" t="str">
        <f t="shared" si="33"/>
        <v/>
      </c>
      <c r="G139" s="192" t="str">
        <f t="shared" si="22"/>
        <v/>
      </c>
      <c r="H139" s="169">
        <f>IF(D139&lt;=$N$12+1,'死亡率（標準生命表）'!M118,0)</f>
        <v>0</v>
      </c>
      <c r="I139" s="170">
        <f>IF(D139&lt;$N$12+1,'死亡率（標準生命表）'!N119,IF(D139=$N$12+1,I138,0))</f>
        <v>0</v>
      </c>
      <c r="J139" s="171">
        <f>IF(E139="",0,CalcPut($G$11,$G$15,$G$12,$G$13,$G$14,G139))</f>
        <v>0</v>
      </c>
      <c r="M139" s="125">
        <f t="shared" si="23"/>
        <v>0</v>
      </c>
      <c r="N139" s="126">
        <f t="shared" si="24"/>
        <v>0</v>
      </c>
      <c r="O139" s="209">
        <f t="shared" si="25"/>
        <v>0</v>
      </c>
      <c r="P139"/>
      <c r="R139"/>
      <c r="S139"/>
      <c r="T139"/>
      <c r="U139"/>
      <c r="Y139" s="180">
        <f t="shared" si="17"/>
        <v>0</v>
      </c>
      <c r="Z139" s="181">
        <f t="shared" si="31"/>
        <v>0</v>
      </c>
      <c r="AA139" s="196">
        <f t="shared" si="26"/>
        <v>0</v>
      </c>
      <c r="AB139" s="204">
        <f t="shared" si="27"/>
        <v>0</v>
      </c>
      <c r="AI139" s="21"/>
      <c r="AK139" s="183" t="str">
        <f t="shared" si="28"/>
        <v/>
      </c>
      <c r="AL139" s="184" t="str">
        <f t="shared" si="29"/>
        <v/>
      </c>
      <c r="AM139" s="185" t="str">
        <f t="shared" si="30"/>
        <v/>
      </c>
    </row>
    <row r="140" spans="2:39" ht="18" x14ac:dyDescent="0.45">
      <c r="B140" s="22"/>
      <c r="C140" s="224" t="str">
        <f t="shared" si="18"/>
        <v/>
      </c>
      <c r="D140" s="120">
        <v>116</v>
      </c>
      <c r="E140" s="167" t="str">
        <f t="shared" si="32"/>
        <v/>
      </c>
      <c r="F140" s="168" t="str">
        <f t="shared" si="33"/>
        <v/>
      </c>
      <c r="G140" s="192" t="str">
        <f t="shared" si="22"/>
        <v/>
      </c>
      <c r="H140" s="169">
        <f>IF(D140&lt;=$N$12+1,'死亡率（標準生命表）'!M119,0)</f>
        <v>0</v>
      </c>
      <c r="I140" s="170">
        <f>IF(D140&lt;$N$12+1,'死亡率（標準生命表）'!N120,IF(D140=$N$12+1,I139,0))</f>
        <v>0</v>
      </c>
      <c r="J140" s="171">
        <f>IF(E140="",0,CalcPut($G$11,$G$15,$G$12,$G$13,$G$14,G140))</f>
        <v>0</v>
      </c>
      <c r="M140" s="125">
        <f t="shared" si="23"/>
        <v>0</v>
      </c>
      <c r="N140" s="126">
        <f t="shared" si="24"/>
        <v>0</v>
      </c>
      <c r="O140" s="209">
        <f t="shared" si="25"/>
        <v>0</v>
      </c>
      <c r="P140"/>
      <c r="R140"/>
      <c r="S140"/>
      <c r="T140"/>
      <c r="U140"/>
      <c r="Y140" s="180">
        <f t="shared" si="17"/>
        <v>0</v>
      </c>
      <c r="Z140" s="181">
        <f t="shared" si="31"/>
        <v>0</v>
      </c>
      <c r="AA140" s="196">
        <f t="shared" si="26"/>
        <v>0</v>
      </c>
      <c r="AB140" s="204">
        <f t="shared" si="27"/>
        <v>0</v>
      </c>
      <c r="AI140" s="21"/>
      <c r="AK140" s="183" t="str">
        <f t="shared" si="28"/>
        <v/>
      </c>
      <c r="AL140" s="184" t="str">
        <f t="shared" si="29"/>
        <v/>
      </c>
      <c r="AM140" s="185" t="str">
        <f t="shared" si="30"/>
        <v/>
      </c>
    </row>
    <row r="141" spans="2:39" ht="18" x14ac:dyDescent="0.45">
      <c r="B141" s="22"/>
      <c r="C141" s="224" t="str">
        <f t="shared" si="18"/>
        <v/>
      </c>
      <c r="D141" s="120">
        <v>117</v>
      </c>
      <c r="E141" s="167" t="str">
        <f t="shared" si="32"/>
        <v/>
      </c>
      <c r="F141" s="168" t="str">
        <f t="shared" si="33"/>
        <v/>
      </c>
      <c r="G141" s="192" t="str">
        <f t="shared" si="22"/>
        <v/>
      </c>
      <c r="H141" s="169">
        <f>IF(D141&lt;=$N$12+1,'死亡率（標準生命表）'!M120,0)</f>
        <v>0</v>
      </c>
      <c r="I141" s="170">
        <f>IF(D141&lt;$N$12+1,'死亡率（標準生命表）'!N121,IF(D141=$N$12+1,I140,0))</f>
        <v>0</v>
      </c>
      <c r="J141" s="171">
        <f>IF(E141="",0,CalcPut($G$11,$G$15,$G$12,$G$13,$G$14,G141))</f>
        <v>0</v>
      </c>
      <c r="M141" s="125">
        <f t="shared" si="23"/>
        <v>0</v>
      </c>
      <c r="N141" s="126">
        <f t="shared" si="24"/>
        <v>0</v>
      </c>
      <c r="O141" s="209">
        <f t="shared" si="25"/>
        <v>0</v>
      </c>
      <c r="P141"/>
      <c r="R141"/>
      <c r="S141"/>
      <c r="T141"/>
      <c r="U141"/>
      <c r="Y141" s="180">
        <f t="shared" si="17"/>
        <v>0</v>
      </c>
      <c r="Z141" s="181">
        <f t="shared" si="31"/>
        <v>0</v>
      </c>
      <c r="AA141" s="196">
        <f t="shared" si="26"/>
        <v>0</v>
      </c>
      <c r="AB141" s="204">
        <f t="shared" si="27"/>
        <v>0</v>
      </c>
      <c r="AI141" s="21"/>
      <c r="AK141" s="183" t="str">
        <f t="shared" si="28"/>
        <v/>
      </c>
      <c r="AL141" s="184" t="str">
        <f t="shared" si="29"/>
        <v/>
      </c>
      <c r="AM141" s="185" t="str">
        <f t="shared" si="30"/>
        <v/>
      </c>
    </row>
    <row r="142" spans="2:39" ht="18" x14ac:dyDescent="0.45">
      <c r="B142" s="22"/>
      <c r="C142" s="224" t="str">
        <f t="shared" si="18"/>
        <v/>
      </c>
      <c r="D142" s="120">
        <v>118</v>
      </c>
      <c r="E142" s="167" t="str">
        <f t="shared" si="32"/>
        <v/>
      </c>
      <c r="F142" s="168" t="str">
        <f t="shared" si="33"/>
        <v/>
      </c>
      <c r="G142" s="192" t="str">
        <f t="shared" si="22"/>
        <v/>
      </c>
      <c r="H142" s="169">
        <f>IF(D142&lt;=$N$12+1,'死亡率（標準生命表）'!M121,0)</f>
        <v>0</v>
      </c>
      <c r="I142" s="170">
        <f>IF(D142&lt;$N$12+1,'死亡率（標準生命表）'!N122,IF(D142=$N$12+1,I141,0))</f>
        <v>0</v>
      </c>
      <c r="J142" s="171">
        <f>IF(E142="",0,CalcPut($G$11,$G$15,$G$12,$G$13,$G$14,G142))</f>
        <v>0</v>
      </c>
      <c r="M142" s="125">
        <f t="shared" si="23"/>
        <v>0</v>
      </c>
      <c r="N142" s="126">
        <f t="shared" si="24"/>
        <v>0</v>
      </c>
      <c r="O142" s="209">
        <f t="shared" si="25"/>
        <v>0</v>
      </c>
      <c r="P142"/>
      <c r="R142"/>
      <c r="S142"/>
      <c r="T142"/>
      <c r="U142"/>
      <c r="Y142" s="180">
        <f t="shared" si="17"/>
        <v>0</v>
      </c>
      <c r="Z142" s="181">
        <f t="shared" si="31"/>
        <v>0</v>
      </c>
      <c r="AA142" s="196">
        <f t="shared" si="26"/>
        <v>0</v>
      </c>
      <c r="AB142" s="204">
        <f t="shared" si="27"/>
        <v>0</v>
      </c>
      <c r="AI142" s="21"/>
      <c r="AK142" s="183" t="str">
        <f t="shared" si="28"/>
        <v/>
      </c>
      <c r="AL142" s="184" t="str">
        <f t="shared" si="29"/>
        <v/>
      </c>
      <c r="AM142" s="185" t="str">
        <f t="shared" si="30"/>
        <v/>
      </c>
    </row>
    <row r="143" spans="2:39" ht="18" x14ac:dyDescent="0.45">
      <c r="B143" s="22"/>
      <c r="C143" s="224" t="str">
        <f t="shared" si="18"/>
        <v/>
      </c>
      <c r="D143" s="120">
        <v>119</v>
      </c>
      <c r="E143" s="167" t="str">
        <f t="shared" si="32"/>
        <v/>
      </c>
      <c r="F143" s="168" t="str">
        <f t="shared" si="33"/>
        <v/>
      </c>
      <c r="G143" s="192" t="str">
        <f t="shared" si="22"/>
        <v/>
      </c>
      <c r="H143" s="169">
        <f>IF(D143&lt;=$N$12+1,'死亡率（標準生命表）'!M122,0)</f>
        <v>0</v>
      </c>
      <c r="I143" s="170">
        <f>IF(D143&lt;$N$12+1,'死亡率（標準生命表）'!N123,IF(D143=$N$12+1,I142,0))</f>
        <v>0</v>
      </c>
      <c r="J143" s="171">
        <f>IF(E143="",0,CalcPut($G$11,$G$15,$G$12,$G$13,$G$14,G143))</f>
        <v>0</v>
      </c>
      <c r="M143" s="125">
        <f t="shared" si="23"/>
        <v>0</v>
      </c>
      <c r="N143" s="126">
        <f t="shared" si="24"/>
        <v>0</v>
      </c>
      <c r="O143" s="209">
        <f t="shared" si="25"/>
        <v>0</v>
      </c>
      <c r="P143"/>
      <c r="R143"/>
      <c r="S143"/>
      <c r="T143"/>
      <c r="U143"/>
      <c r="Y143" s="180">
        <f t="shared" si="17"/>
        <v>0</v>
      </c>
      <c r="Z143" s="181">
        <f t="shared" si="31"/>
        <v>0</v>
      </c>
      <c r="AA143" s="196">
        <f t="shared" si="26"/>
        <v>0</v>
      </c>
      <c r="AB143" s="204">
        <f t="shared" si="27"/>
        <v>0</v>
      </c>
      <c r="AI143" s="21"/>
      <c r="AK143" s="183" t="str">
        <f t="shared" si="28"/>
        <v/>
      </c>
      <c r="AL143" s="184" t="str">
        <f t="shared" si="29"/>
        <v/>
      </c>
      <c r="AM143" s="185" t="str">
        <f t="shared" si="30"/>
        <v/>
      </c>
    </row>
    <row r="144" spans="2:39" ht="18" x14ac:dyDescent="0.45">
      <c r="B144" s="22"/>
      <c r="C144" s="224" t="str">
        <f t="shared" si="18"/>
        <v/>
      </c>
      <c r="D144" s="120">
        <v>120</v>
      </c>
      <c r="E144" s="167" t="str">
        <f t="shared" si="32"/>
        <v/>
      </c>
      <c r="F144" s="168" t="str">
        <f t="shared" si="33"/>
        <v/>
      </c>
      <c r="G144" s="192" t="str">
        <f t="shared" si="22"/>
        <v/>
      </c>
      <c r="H144" s="169">
        <f>IF(D144&lt;=$N$12+1,'死亡率（標準生命表）'!M123,0)</f>
        <v>0</v>
      </c>
      <c r="I144" s="170">
        <f>IF(D144&lt;$N$12+1,'死亡率（標準生命表）'!N124,IF(D144=$N$12+1,I143,0))</f>
        <v>0</v>
      </c>
      <c r="J144" s="171">
        <f>IF(E144="",0,CalcPut($G$11,$G$15,$G$12,$G$13,$G$14,G144))</f>
        <v>0</v>
      </c>
      <c r="M144" s="125">
        <f t="shared" si="23"/>
        <v>0</v>
      </c>
      <c r="N144" s="126">
        <f t="shared" si="24"/>
        <v>0</v>
      </c>
      <c r="O144" s="209">
        <f t="shared" si="25"/>
        <v>0</v>
      </c>
      <c r="P144"/>
      <c r="Q144"/>
      <c r="R144"/>
      <c r="S144"/>
      <c r="T144"/>
      <c r="U144"/>
      <c r="V144"/>
      <c r="W144"/>
      <c r="X144"/>
      <c r="Y144" s="180">
        <f t="shared" si="17"/>
        <v>0</v>
      </c>
      <c r="Z144" s="181">
        <f t="shared" si="31"/>
        <v>0</v>
      </c>
      <c r="AA144" s="196">
        <f t="shared" si="26"/>
        <v>0</v>
      </c>
      <c r="AB144" s="204">
        <f t="shared" si="27"/>
        <v>0</v>
      </c>
      <c r="AI144" s="21"/>
      <c r="AK144" s="183" t="str">
        <f t="shared" si="28"/>
        <v/>
      </c>
      <c r="AL144" s="184" t="str">
        <f t="shared" si="29"/>
        <v/>
      </c>
      <c r="AM144" s="185" t="str">
        <f t="shared" si="30"/>
        <v/>
      </c>
    </row>
    <row r="145" spans="2:39" ht="18" x14ac:dyDescent="0.45">
      <c r="B145" s="22"/>
      <c r="C145" s="224" t="str">
        <f t="shared" si="18"/>
        <v/>
      </c>
      <c r="D145" s="121">
        <v>121</v>
      </c>
      <c r="E145" s="172" t="str">
        <f t="shared" si="32"/>
        <v/>
      </c>
      <c r="F145" s="173" t="str">
        <f t="shared" si="33"/>
        <v/>
      </c>
      <c r="G145" s="193" t="str">
        <f t="shared" si="22"/>
        <v/>
      </c>
      <c r="H145" s="174">
        <f>IF(D145&lt;=$N$12+1,'死亡率（標準生命表）'!M124,0)</f>
        <v>0</v>
      </c>
      <c r="I145" s="175">
        <f>IF(D145&lt;$N$12+1,'死亡率（標準生命表）'!N125,IF(D145=$N$12+1,I144,0))</f>
        <v>0</v>
      </c>
      <c r="J145" s="176">
        <f>IF(E145="",0,CalcPut($G$11,$G$15,$G$12,$G$13,$G$14,G145))</f>
        <v>0</v>
      </c>
      <c r="M145" s="123"/>
      <c r="N145" s="124"/>
      <c r="O145" s="210"/>
      <c r="P145"/>
      <c r="Q145"/>
      <c r="R145"/>
      <c r="S145"/>
      <c r="T145"/>
      <c r="U145"/>
      <c r="V145"/>
      <c r="W145"/>
      <c r="X145"/>
      <c r="Y145" s="177">
        <f t="shared" si="17"/>
        <v>0</v>
      </c>
      <c r="Z145" s="182">
        <f>I145</f>
        <v>0</v>
      </c>
      <c r="AA145" s="197">
        <f t="shared" si="26"/>
        <v>0</v>
      </c>
      <c r="AB145" s="204">
        <f t="shared" si="27"/>
        <v>0</v>
      </c>
      <c r="AI145" s="21"/>
      <c r="AK145" s="186" t="str">
        <f t="shared" si="28"/>
        <v/>
      </c>
      <c r="AL145" s="187" t="str">
        <f t="shared" si="29"/>
        <v/>
      </c>
      <c r="AM145" s="191" t="str">
        <f t="shared" si="30"/>
        <v/>
      </c>
    </row>
    <row r="146" spans="2:39" ht="18.600000000000001" thickBot="1" x14ac:dyDescent="0.5">
      <c r="B146" s="27"/>
      <c r="C146" s="28"/>
      <c r="D146" s="28"/>
      <c r="E146" s="28"/>
      <c r="F146" s="28"/>
      <c r="G146" s="28"/>
      <c r="H146" s="28"/>
      <c r="I146" s="28"/>
      <c r="J146" s="28"/>
      <c r="K146" s="28"/>
      <c r="L146" s="28"/>
      <c r="M146" s="28"/>
      <c r="N146" s="28"/>
      <c r="O146" s="211"/>
      <c r="P146" s="141"/>
      <c r="Q146" s="141"/>
      <c r="R146" s="141"/>
      <c r="S146" s="141"/>
      <c r="T146" s="141"/>
      <c r="U146" s="141"/>
      <c r="V146" s="141"/>
      <c r="W146" s="141"/>
      <c r="X146" s="141"/>
      <c r="Y146" s="141"/>
      <c r="Z146" s="141"/>
      <c r="AA146" s="141"/>
      <c r="AB146" s="205"/>
      <c r="AC146" s="28"/>
      <c r="AD146" s="28"/>
      <c r="AE146" s="28"/>
      <c r="AF146" s="28"/>
      <c r="AG146" s="28"/>
      <c r="AH146" s="28"/>
      <c r="AI146" s="29"/>
    </row>
    <row r="147" spans="2:39" ht="18.75" customHeight="1" x14ac:dyDescent="0.45">
      <c r="P147"/>
      <c r="Q147"/>
      <c r="R147"/>
      <c r="S147"/>
      <c r="T147"/>
      <c r="U147"/>
      <c r="V147"/>
      <c r="W147"/>
      <c r="X147"/>
      <c r="Y147"/>
      <c r="Z147"/>
      <c r="AA147"/>
      <c r="AB147" s="206"/>
    </row>
    <row r="148" spans="2:39" ht="18.75" hidden="1" customHeight="1" x14ac:dyDescent="0.3"/>
    <row r="149" spans="2:39" ht="18.75" hidden="1" customHeight="1" x14ac:dyDescent="0.3"/>
    <row r="150" spans="2:39" ht="18.75" hidden="1" customHeight="1" x14ac:dyDescent="0.3"/>
    <row r="151" spans="2:39" ht="18.75" hidden="1" customHeight="1" x14ac:dyDescent="0.3"/>
    <row r="152" spans="2:39" ht="18.75" hidden="1" customHeight="1" x14ac:dyDescent="0.3"/>
    <row r="153" spans="2:39" ht="18.75" hidden="1" customHeight="1" x14ac:dyDescent="0.3"/>
  </sheetData>
  <mergeCells count="3">
    <mergeCell ref="R5:AA8"/>
    <mergeCell ref="R10:AA13"/>
    <mergeCell ref="R15:AA18"/>
  </mergeCells>
  <phoneticPr fontId="4"/>
  <conditionalFormatting sqref="D15:G15">
    <cfRule type="expression" dxfId="9" priority="9">
      <formula>#REF!="ラダー"</formula>
    </cfRule>
  </conditionalFormatting>
  <conditionalFormatting sqref="D15:G15">
    <cfRule type="expression" dxfId="8" priority="8">
      <formula>#REF!="ルックバック"</formula>
    </cfRule>
  </conditionalFormatting>
  <conditionalFormatting sqref="AB145">
    <cfRule type="expression" dxfId="7" priority="12">
      <formula>$E145=""</formula>
    </cfRule>
    <cfRule type="expression" dxfId="6" priority="13">
      <formula>$E145&lt;$M$11+$M$12</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AR43"/>
  <sheetViews>
    <sheetView showGridLines="0" zoomScale="110" zoomScaleNormal="110" workbookViewId="0">
      <selection activeCell="N12" sqref="N12"/>
    </sheetView>
  </sheetViews>
  <sheetFormatPr defaultColWidth="0" defaultRowHeight="15" zeroHeight="1" x14ac:dyDescent="0.3"/>
  <cols>
    <col min="1" max="3" width="2.59765625" style="4" customWidth="1"/>
    <col min="4" max="4" width="12.59765625" style="4" customWidth="1"/>
    <col min="5" max="9" width="9" style="4" customWidth="1"/>
    <col min="10" max="11" width="2.59765625" style="4" customWidth="1"/>
    <col min="12" max="12" width="12.59765625" style="4" customWidth="1"/>
    <col min="13" max="17" width="9" style="4" customWidth="1"/>
    <col min="18" max="19" width="2.59765625" style="4" customWidth="1"/>
    <col min="20" max="20" width="12.59765625" style="4" customWidth="1"/>
    <col min="21" max="25" width="9" style="4" customWidth="1"/>
    <col min="26" max="27" width="2.59765625" style="4" customWidth="1"/>
    <col min="28" max="28" width="12.59765625" style="4" customWidth="1"/>
    <col min="29" max="34" width="9" style="4" customWidth="1"/>
    <col min="35" max="35" width="2.59765625" style="4" customWidth="1"/>
    <col min="36" max="16384" width="9" style="4" hidden="1"/>
  </cols>
  <sheetData>
    <row r="1" spans="2:34" ht="15.6" thickBot="1" x14ac:dyDescent="0.35"/>
    <row r="2" spans="2:34" ht="15.6" thickBot="1" x14ac:dyDescent="0.35">
      <c r="B2" s="30"/>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9"/>
    </row>
    <row r="3" spans="2:34" ht="18" x14ac:dyDescent="0.45">
      <c r="B3" s="22"/>
      <c r="C3" s="6" t="s">
        <v>108</v>
      </c>
      <c r="D3" s="7"/>
      <c r="E3" s="7"/>
      <c r="F3" s="7"/>
      <c r="G3" s="7"/>
      <c r="H3" s="7"/>
      <c r="I3" s="7"/>
      <c r="J3" s="7"/>
      <c r="K3" s="7"/>
      <c r="L3" s="7"/>
      <c r="M3" s="7"/>
      <c r="N3" s="7"/>
      <c r="O3" s="7"/>
      <c r="P3" s="7"/>
      <c r="Q3" s="8"/>
      <c r="R3"/>
      <c r="AH3" s="21"/>
    </row>
    <row r="4" spans="2:34" ht="18" x14ac:dyDescent="0.45">
      <c r="B4" s="22"/>
      <c r="C4" s="9"/>
      <c r="D4" s="10" t="s">
        <v>109</v>
      </c>
      <c r="E4" s="10"/>
      <c r="F4" s="10"/>
      <c r="G4" s="10"/>
      <c r="H4" s="10"/>
      <c r="I4" s="10"/>
      <c r="J4" s="10"/>
      <c r="K4" s="10"/>
      <c r="L4" s="10"/>
      <c r="M4" s="10"/>
      <c r="N4" s="10"/>
      <c r="O4" s="10"/>
      <c r="P4" s="10"/>
      <c r="Q4" s="11"/>
      <c r="R4"/>
      <c r="S4" s="4" t="s">
        <v>45</v>
      </c>
      <c r="T4"/>
      <c r="U4"/>
      <c r="V4"/>
      <c r="W4"/>
      <c r="X4"/>
      <c r="Y4"/>
      <c r="Z4" s="39"/>
      <c r="AH4" s="21"/>
    </row>
    <row r="5" spans="2:34" ht="18.600000000000001" thickBot="1" x14ac:dyDescent="0.5">
      <c r="B5" s="22"/>
      <c r="C5" s="12"/>
      <c r="D5" s="13" t="s">
        <v>110</v>
      </c>
      <c r="E5" s="13"/>
      <c r="F5" s="13"/>
      <c r="G5" s="13"/>
      <c r="H5" s="13"/>
      <c r="I5" s="13"/>
      <c r="J5" s="13"/>
      <c r="K5" s="13"/>
      <c r="L5" s="13"/>
      <c r="M5" s="13"/>
      <c r="N5" s="13"/>
      <c r="O5" s="13"/>
      <c r="P5" s="13"/>
      <c r="Q5" s="14"/>
      <c r="R5"/>
      <c r="S5" s="4" t="s">
        <v>111</v>
      </c>
      <c r="T5" s="4" t="s">
        <v>112</v>
      </c>
      <c r="U5"/>
      <c r="V5"/>
      <c r="W5"/>
      <c r="X5"/>
      <c r="Y5"/>
      <c r="Z5" s="39"/>
      <c r="AA5" s="3" t="s">
        <v>111</v>
      </c>
      <c r="AB5" s="4" t="s">
        <v>113</v>
      </c>
      <c r="AH5" s="21"/>
    </row>
    <row r="6" spans="2:34" ht="18" x14ac:dyDescent="0.45">
      <c r="B6" s="22"/>
      <c r="R6"/>
      <c r="S6"/>
      <c r="T6" s="251"/>
      <c r="U6" s="252"/>
      <c r="V6" s="252"/>
      <c r="W6" s="252"/>
      <c r="X6" s="252"/>
      <c r="Y6" s="253"/>
      <c r="AB6" s="251"/>
      <c r="AC6" s="252"/>
      <c r="AD6" s="252"/>
      <c r="AE6" s="252"/>
      <c r="AF6" s="252"/>
      <c r="AG6" s="253"/>
      <c r="AH6" s="21"/>
    </row>
    <row r="7" spans="2:34" ht="18" x14ac:dyDescent="0.45">
      <c r="B7" s="22"/>
      <c r="C7" s="3" t="s">
        <v>67</v>
      </c>
      <c r="F7" s="31"/>
      <c r="H7" s="3" t="s">
        <v>68</v>
      </c>
      <c r="R7"/>
      <c r="S7"/>
      <c r="T7" s="254"/>
      <c r="U7" s="255"/>
      <c r="V7" s="255"/>
      <c r="W7" s="255"/>
      <c r="X7" s="255"/>
      <c r="Y7" s="256"/>
      <c r="AB7" s="254"/>
      <c r="AC7" s="255"/>
      <c r="AD7" s="255"/>
      <c r="AE7" s="255"/>
      <c r="AF7" s="255"/>
      <c r="AG7" s="256"/>
      <c r="AH7" s="21"/>
    </row>
    <row r="8" spans="2:34" ht="18" x14ac:dyDescent="0.45">
      <c r="B8" s="22"/>
      <c r="D8" s="103" t="s">
        <v>114</v>
      </c>
      <c r="E8" s="104" t="s">
        <v>41</v>
      </c>
      <c r="F8" s="104"/>
      <c r="G8" s="145">
        <f>'【演習2-1】 最低保証にかかる費用算出'!G11</f>
        <v>1000</v>
      </c>
      <c r="I8" s="103" t="s">
        <v>70</v>
      </c>
      <c r="J8" s="137" t="s">
        <v>71</v>
      </c>
      <c r="K8" s="138"/>
      <c r="L8" s="139"/>
      <c r="M8" s="148">
        <f>'【演習2-1】 最低保証にかかる費用算出'!M11</f>
        <v>60</v>
      </c>
      <c r="R8"/>
      <c r="S8"/>
      <c r="T8" s="254"/>
      <c r="U8" s="255"/>
      <c r="V8" s="255"/>
      <c r="W8" s="255"/>
      <c r="X8" s="255"/>
      <c r="Y8" s="256"/>
      <c r="AB8" s="254"/>
      <c r="AC8" s="255"/>
      <c r="AD8" s="255"/>
      <c r="AE8" s="255"/>
      <c r="AF8" s="255"/>
      <c r="AG8" s="256"/>
      <c r="AH8" s="21"/>
    </row>
    <row r="9" spans="2:34" ht="18.600000000000001" thickBot="1" x14ac:dyDescent="0.5">
      <c r="B9" s="22"/>
      <c r="D9" s="106" t="s">
        <v>72</v>
      </c>
      <c r="E9" s="107" t="s">
        <v>11</v>
      </c>
      <c r="F9" s="107"/>
      <c r="G9" s="146">
        <f>'【演習2-1】 最低保証にかかる費用算出'!G12</f>
        <v>1.4999999999999999E-2</v>
      </c>
      <c r="I9" s="106" t="s">
        <v>73</v>
      </c>
      <c r="J9" s="107" t="s">
        <v>74</v>
      </c>
      <c r="K9" s="107"/>
      <c r="L9" s="102"/>
      <c r="M9" s="149">
        <f>'【演習2-1】 最低保証にかかる費用算出'!M12</f>
        <v>5</v>
      </c>
      <c r="R9"/>
      <c r="S9"/>
      <c r="T9" s="257"/>
      <c r="U9" s="258"/>
      <c r="V9" s="258"/>
      <c r="W9" s="258"/>
      <c r="X9" s="258"/>
      <c r="Y9" s="259"/>
      <c r="AB9" s="257"/>
      <c r="AC9" s="258"/>
      <c r="AD9" s="258"/>
      <c r="AE9" s="258"/>
      <c r="AF9" s="258"/>
      <c r="AG9" s="259"/>
      <c r="AH9" s="21"/>
    </row>
    <row r="10" spans="2:34" ht="18.600000000000001" thickBot="1" x14ac:dyDescent="0.5">
      <c r="B10" s="22"/>
      <c r="D10" s="106" t="s">
        <v>12</v>
      </c>
      <c r="E10" s="107" t="s">
        <v>75</v>
      </c>
      <c r="F10" s="107"/>
      <c r="G10" s="146">
        <f>'【演習2-1】 最低保証にかかる費用算出'!G13</f>
        <v>0.05</v>
      </c>
      <c r="I10" s="106" t="s">
        <v>76</v>
      </c>
      <c r="J10" s="107" t="s">
        <v>77</v>
      </c>
      <c r="K10" s="107"/>
      <c r="L10" s="102"/>
      <c r="M10" s="150">
        <f>'【演習2-1】 最低保証にかかる費用算出'!M13</f>
        <v>0.01</v>
      </c>
      <c r="R10"/>
      <c r="S10" s="4" t="s">
        <v>111</v>
      </c>
      <c r="T10" s="4" t="s">
        <v>115</v>
      </c>
      <c r="U10"/>
      <c r="V10"/>
      <c r="W10"/>
      <c r="X10"/>
      <c r="Y10"/>
      <c r="AA10" s="3" t="s">
        <v>111</v>
      </c>
      <c r="AB10" s="4" t="s">
        <v>116</v>
      </c>
      <c r="AC10"/>
      <c r="AD10"/>
      <c r="AE10"/>
      <c r="AF10"/>
      <c r="AG10"/>
      <c r="AH10" s="21"/>
    </row>
    <row r="11" spans="2:34" ht="18" x14ac:dyDescent="0.45">
      <c r="B11" s="22"/>
      <c r="D11" s="106" t="s">
        <v>78</v>
      </c>
      <c r="E11" s="107" t="s">
        <v>15</v>
      </c>
      <c r="F11" s="107"/>
      <c r="G11" s="146">
        <f>'【演習2-1】 最低保証にかかる費用算出'!G14</f>
        <v>3.011567072832937E-2</v>
      </c>
      <c r="I11" s="106" t="s">
        <v>80</v>
      </c>
      <c r="J11" s="107" t="s">
        <v>81</v>
      </c>
      <c r="K11" s="107"/>
      <c r="L11" s="102"/>
      <c r="M11" s="150">
        <f>'【演習2-1】 最低保証にかかる費用算出'!M14</f>
        <v>1.7973734273830668E-2</v>
      </c>
      <c r="R11"/>
      <c r="S11"/>
      <c r="T11" s="251"/>
      <c r="U11" s="252"/>
      <c r="V11" s="252"/>
      <c r="W11" s="252"/>
      <c r="X11" s="252"/>
      <c r="Y11" s="253"/>
      <c r="AB11" s="251"/>
      <c r="AC11" s="252"/>
      <c r="AD11" s="252"/>
      <c r="AE11" s="252"/>
      <c r="AF11" s="252"/>
      <c r="AG11" s="253"/>
      <c r="AH11" s="21"/>
    </row>
    <row r="12" spans="2:34" ht="18" x14ac:dyDescent="0.45">
      <c r="B12" s="22"/>
      <c r="D12" s="109" t="s">
        <v>18</v>
      </c>
      <c r="E12" s="110" t="s">
        <v>19</v>
      </c>
      <c r="F12" s="110"/>
      <c r="G12" s="147">
        <f>'【演習2-1】 最低保証にかかる費用算出'!G15</f>
        <v>1000</v>
      </c>
      <c r="I12" s="113" t="s">
        <v>83</v>
      </c>
      <c r="J12" s="107" t="s">
        <v>84</v>
      </c>
      <c r="K12" s="107"/>
      <c r="L12" s="102"/>
      <c r="M12" s="150">
        <f>'【演習2-1】 最低保証にかかる費用算出'!M15</f>
        <v>2.5999999999999999E-3</v>
      </c>
      <c r="R12"/>
      <c r="S12"/>
      <c r="T12" s="254"/>
      <c r="U12" s="255"/>
      <c r="V12" s="255"/>
      <c r="W12" s="255"/>
      <c r="X12" s="255"/>
      <c r="Y12" s="256"/>
      <c r="AB12" s="254"/>
      <c r="AC12" s="255"/>
      <c r="AD12" s="255"/>
      <c r="AE12" s="255"/>
      <c r="AF12" s="255"/>
      <c r="AG12" s="256"/>
      <c r="AH12" s="21"/>
    </row>
    <row r="13" spans="2:34" ht="18" x14ac:dyDescent="0.45">
      <c r="B13" s="22"/>
      <c r="I13" s="106" t="s">
        <v>78</v>
      </c>
      <c r="J13" s="107" t="s">
        <v>85</v>
      </c>
      <c r="K13" s="107"/>
      <c r="L13" s="102"/>
      <c r="M13" s="150">
        <f>'【演習2-1】 最低保証にかかる費用算出'!M16</f>
        <v>3.011567072832937E-2</v>
      </c>
      <c r="R13"/>
      <c r="S13"/>
      <c r="T13" s="254"/>
      <c r="U13" s="255"/>
      <c r="V13" s="255"/>
      <c r="W13" s="255"/>
      <c r="X13" s="255"/>
      <c r="Y13" s="256"/>
      <c r="AB13" s="254"/>
      <c r="AC13" s="255"/>
      <c r="AD13" s="255"/>
      <c r="AE13" s="255"/>
      <c r="AF13" s="255"/>
      <c r="AG13" s="256"/>
      <c r="AH13" s="21"/>
    </row>
    <row r="14" spans="2:34" ht="18.600000000000001" thickBot="1" x14ac:dyDescent="0.5">
      <c r="B14" s="22"/>
      <c r="I14" s="109" t="s">
        <v>86</v>
      </c>
      <c r="J14" s="110" t="s">
        <v>87</v>
      </c>
      <c r="K14" s="110"/>
      <c r="L14" s="136"/>
      <c r="M14" s="151">
        <f>'【演習2-1】 最低保証にかかる費用算出'!M17</f>
        <v>1.7814116492751275E-2</v>
      </c>
      <c r="R14"/>
      <c r="S14"/>
      <c r="T14" s="257"/>
      <c r="U14" s="258"/>
      <c r="V14" s="258"/>
      <c r="W14" s="258"/>
      <c r="X14" s="258"/>
      <c r="Y14" s="259"/>
      <c r="AB14" s="257"/>
      <c r="AC14" s="258"/>
      <c r="AD14" s="258"/>
      <c r="AE14" s="258"/>
      <c r="AF14" s="258"/>
      <c r="AG14" s="259"/>
      <c r="AH14" s="21"/>
    </row>
    <row r="15" spans="2:34" ht="18" x14ac:dyDescent="0.45">
      <c r="B15" s="22"/>
      <c r="R15"/>
      <c r="S15"/>
      <c r="T15"/>
      <c r="U15"/>
      <c r="V15"/>
      <c r="W15"/>
      <c r="X15"/>
      <c r="Y15"/>
      <c r="AH15" s="21"/>
    </row>
    <row r="16" spans="2:34" x14ac:dyDescent="0.3">
      <c r="B16" s="22"/>
      <c r="C16" s="3" t="s">
        <v>111</v>
      </c>
      <c r="D16" s="3" t="s">
        <v>112</v>
      </c>
      <c r="K16" s="3" t="s">
        <v>111</v>
      </c>
      <c r="L16" s="3" t="s">
        <v>115</v>
      </c>
      <c r="S16" s="3" t="s">
        <v>111</v>
      </c>
      <c r="T16" s="3" t="s">
        <v>113</v>
      </c>
      <c r="AA16" s="3" t="s">
        <v>111</v>
      </c>
      <c r="AB16" s="3" t="s">
        <v>116</v>
      </c>
      <c r="AH16" s="21"/>
    </row>
    <row r="17" spans="2:34" x14ac:dyDescent="0.3">
      <c r="B17" s="22"/>
      <c r="D17" s="158" t="s">
        <v>53</v>
      </c>
      <c r="E17" s="153"/>
      <c r="F17" s="154"/>
      <c r="G17" s="154"/>
      <c r="H17" s="154"/>
      <c r="I17" s="154"/>
      <c r="J17" s="39"/>
      <c r="L17" s="158" t="s">
        <v>117</v>
      </c>
      <c r="M17" s="156"/>
      <c r="N17" s="156"/>
      <c r="O17" s="156"/>
      <c r="P17" s="156"/>
      <c r="Q17" s="156"/>
      <c r="R17" s="39"/>
      <c r="T17" s="158" t="s">
        <v>118</v>
      </c>
      <c r="U17" s="194"/>
      <c r="V17" s="194"/>
      <c r="W17" s="194"/>
      <c r="X17" s="194"/>
      <c r="Y17" s="194"/>
      <c r="Z17" s="39"/>
      <c r="AA17" s="40"/>
      <c r="AB17" s="158" t="s">
        <v>119</v>
      </c>
      <c r="AC17" s="240"/>
      <c r="AD17" s="240"/>
      <c r="AE17" s="240"/>
      <c r="AF17" s="240"/>
      <c r="AG17" s="240"/>
      <c r="AH17" s="21"/>
    </row>
    <row r="18" spans="2:34" x14ac:dyDescent="0.3">
      <c r="B18" s="22"/>
      <c r="D18" s="160" t="s">
        <v>120</v>
      </c>
      <c r="E18" s="152"/>
      <c r="F18" s="155"/>
      <c r="G18" s="155"/>
      <c r="H18" s="155"/>
      <c r="I18" s="155"/>
      <c r="J18" s="39"/>
      <c r="L18" s="159" t="s">
        <v>120</v>
      </c>
      <c r="M18" s="157"/>
      <c r="N18" s="157"/>
      <c r="O18" s="157"/>
      <c r="P18" s="157"/>
      <c r="Q18" s="157"/>
      <c r="R18" s="39"/>
      <c r="T18" s="159" t="s">
        <v>120</v>
      </c>
      <c r="U18" s="157"/>
      <c r="V18" s="157"/>
      <c r="W18" s="157"/>
      <c r="X18" s="157"/>
      <c r="Y18" s="157"/>
      <c r="Z18" s="39"/>
      <c r="AB18" s="159" t="s">
        <v>120</v>
      </c>
      <c r="AC18" s="157"/>
      <c r="AD18" s="157"/>
      <c r="AE18" s="157"/>
      <c r="AF18" s="157"/>
      <c r="AG18" s="157"/>
      <c r="AH18" s="21"/>
    </row>
    <row r="19" spans="2:34" x14ac:dyDescent="0.3">
      <c r="B19" s="22"/>
      <c r="AH19" s="21"/>
    </row>
    <row r="20" spans="2:34" x14ac:dyDescent="0.3">
      <c r="B20" s="22"/>
      <c r="AH20" s="21"/>
    </row>
    <row r="21" spans="2:34" x14ac:dyDescent="0.3">
      <c r="B21" s="22"/>
      <c r="AH21" s="21"/>
    </row>
    <row r="22" spans="2:34" x14ac:dyDescent="0.3">
      <c r="B22" s="22"/>
      <c r="AH22" s="21"/>
    </row>
    <row r="23" spans="2:34" x14ac:dyDescent="0.3">
      <c r="B23" s="22"/>
      <c r="AH23" s="21"/>
    </row>
    <row r="24" spans="2:34" x14ac:dyDescent="0.3">
      <c r="B24" s="22"/>
      <c r="AH24" s="21"/>
    </row>
    <row r="25" spans="2:34" x14ac:dyDescent="0.3">
      <c r="B25" s="22"/>
      <c r="AH25" s="21"/>
    </row>
    <row r="26" spans="2:34" x14ac:dyDescent="0.3">
      <c r="B26" s="22"/>
      <c r="AH26" s="21"/>
    </row>
    <row r="27" spans="2:34" x14ac:dyDescent="0.3">
      <c r="B27" s="22"/>
      <c r="AH27" s="21"/>
    </row>
    <row r="28" spans="2:34" x14ac:dyDescent="0.3">
      <c r="B28" s="22"/>
      <c r="AH28" s="21"/>
    </row>
    <row r="29" spans="2:34" x14ac:dyDescent="0.3">
      <c r="B29" s="22"/>
      <c r="AH29" s="21"/>
    </row>
    <row r="30" spans="2:34" x14ac:dyDescent="0.3">
      <c r="B30" s="22"/>
      <c r="AH30" s="21"/>
    </row>
    <row r="31" spans="2:34" x14ac:dyDescent="0.3">
      <c r="B31" s="22"/>
      <c r="AH31" s="21"/>
    </row>
    <row r="32" spans="2:34" x14ac:dyDescent="0.3">
      <c r="B32" s="22"/>
      <c r="AH32" s="21"/>
    </row>
    <row r="33" spans="2:44" x14ac:dyDescent="0.3">
      <c r="B33" s="22"/>
      <c r="AH33" s="21"/>
    </row>
    <row r="34" spans="2:44" ht="15.6" thickBot="1" x14ac:dyDescent="0.35">
      <c r="B34" s="27"/>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9"/>
    </row>
    <row r="35" spans="2:44" x14ac:dyDescent="0.3"/>
    <row r="36" spans="2:44" x14ac:dyDescent="0.3"/>
    <row r="43" spans="2:44" hidden="1" x14ac:dyDescent="0.3">
      <c r="AR43" s="4">
        <v>0</v>
      </c>
    </row>
  </sheetData>
  <mergeCells count="4">
    <mergeCell ref="T11:Y14"/>
    <mergeCell ref="T6:Y9"/>
    <mergeCell ref="AB6:AG9"/>
    <mergeCell ref="AB11:AG14"/>
  </mergeCells>
  <phoneticPr fontId="8"/>
  <conditionalFormatting sqref="D12:G12">
    <cfRule type="expression" dxfId="5" priority="2">
      <formula>#REF!="ラダー"</formula>
    </cfRule>
  </conditionalFormatting>
  <conditionalFormatting sqref="D12:G12">
    <cfRule type="expression" dxfId="4" priority="1">
      <formula>#REF!="ルックバック"</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AN152"/>
  <sheetViews>
    <sheetView showGridLines="0" zoomScaleNormal="100" workbookViewId="0">
      <selection activeCell="M10" sqref="M10"/>
    </sheetView>
  </sheetViews>
  <sheetFormatPr defaultColWidth="0" defaultRowHeight="0" customHeight="1" zeroHeight="1" x14ac:dyDescent="0.3"/>
  <cols>
    <col min="1" max="3" width="2.59765625" style="4" customWidth="1"/>
    <col min="4" max="11" width="9" style="4" customWidth="1"/>
    <col min="12" max="12" width="2.59765625" style="4" customWidth="1"/>
    <col min="13" max="14" width="9" style="4" customWidth="1"/>
    <col min="15" max="15" width="18.59765625" style="198" customWidth="1"/>
    <col min="16" max="16" width="9" style="4" customWidth="1"/>
    <col min="17" max="17" width="2.59765625" style="4" customWidth="1"/>
    <col min="18" max="19" width="9" style="4" customWidth="1"/>
    <col min="20" max="20" width="18.59765625" style="4" customWidth="1"/>
    <col min="21" max="21" width="9" style="4" customWidth="1"/>
    <col min="22" max="22" width="2.59765625" style="4" customWidth="1"/>
    <col min="23" max="23" width="9" style="4" customWidth="1"/>
    <col min="24" max="24" width="2.59765625" style="4" customWidth="1"/>
    <col min="25" max="27" width="9" style="4" customWidth="1"/>
    <col min="28" max="28" width="18.59765625" style="198" customWidth="1"/>
    <col min="29" max="29" width="9" style="4" customWidth="1"/>
    <col min="30" max="31" width="2.59765625" style="4" customWidth="1"/>
    <col min="32" max="33" width="9" style="4" customWidth="1"/>
    <col min="34" max="35" width="2.59765625" style="4" customWidth="1"/>
    <col min="36" max="36" width="2.69921875" style="4" customWidth="1"/>
    <col min="37" max="39" width="9" style="4" customWidth="1"/>
    <col min="40" max="40" width="2.69921875" style="4" customWidth="1"/>
    <col min="41" max="16384" width="9" style="4" hidden="1"/>
  </cols>
  <sheetData>
    <row r="1" spans="2:35" ht="15.6" thickBot="1" x14ac:dyDescent="0.35"/>
    <row r="2" spans="2:35" ht="15.6" thickBot="1" x14ac:dyDescent="0.35">
      <c r="B2" s="30"/>
      <c r="C2" s="18"/>
      <c r="D2" s="18"/>
      <c r="E2" s="18"/>
      <c r="F2" s="18"/>
      <c r="G2" s="18"/>
      <c r="H2" s="18"/>
      <c r="I2" s="18"/>
      <c r="J2" s="18"/>
      <c r="K2" s="18"/>
      <c r="L2" s="18"/>
      <c r="M2" s="18"/>
      <c r="N2" s="18"/>
      <c r="O2" s="199"/>
      <c r="P2" s="18"/>
      <c r="Q2" s="18"/>
      <c r="R2" s="18"/>
      <c r="S2" s="18"/>
      <c r="T2" s="18"/>
      <c r="U2" s="18"/>
      <c r="V2" s="18"/>
      <c r="W2" s="18"/>
      <c r="X2" s="18"/>
      <c r="Y2" s="18"/>
      <c r="Z2" s="18"/>
      <c r="AA2" s="18"/>
      <c r="AB2" s="199"/>
      <c r="AC2" s="18"/>
      <c r="AD2" s="18"/>
      <c r="AE2" s="18"/>
      <c r="AF2" s="18"/>
      <c r="AG2" s="18"/>
      <c r="AH2" s="18"/>
      <c r="AI2" s="19"/>
    </row>
    <row r="3" spans="2:35" ht="15" x14ac:dyDescent="0.3">
      <c r="B3" s="22"/>
      <c r="C3" s="6" t="s">
        <v>121</v>
      </c>
      <c r="D3" s="7"/>
      <c r="E3" s="7"/>
      <c r="F3" s="7"/>
      <c r="G3" s="7"/>
      <c r="H3" s="7"/>
      <c r="I3" s="7"/>
      <c r="J3" s="7"/>
      <c r="K3" s="7"/>
      <c r="L3" s="7"/>
      <c r="M3" s="7"/>
      <c r="N3" s="7"/>
      <c r="O3" s="213"/>
      <c r="P3" s="214"/>
      <c r="AB3" s="200"/>
      <c r="AI3" s="21"/>
    </row>
    <row r="4" spans="2:35" ht="15" x14ac:dyDescent="0.3">
      <c r="B4" s="22"/>
      <c r="C4" s="9"/>
      <c r="D4" s="10" t="s">
        <v>122</v>
      </c>
      <c r="E4" s="10"/>
      <c r="F4" s="10"/>
      <c r="G4" s="10"/>
      <c r="H4" s="10"/>
      <c r="I4" s="10"/>
      <c r="J4" s="10"/>
      <c r="K4" s="10"/>
      <c r="L4" s="10"/>
      <c r="M4" s="10"/>
      <c r="N4" s="10"/>
      <c r="O4" s="215"/>
      <c r="P4" s="216"/>
      <c r="AB4" s="200"/>
      <c r="AI4" s="21"/>
    </row>
    <row r="5" spans="2:35" ht="15" x14ac:dyDescent="0.3">
      <c r="B5" s="22"/>
      <c r="C5" s="9"/>
      <c r="D5" s="10" t="s">
        <v>123</v>
      </c>
      <c r="E5" s="10"/>
      <c r="F5" s="10"/>
      <c r="G5" s="10"/>
      <c r="H5" s="10"/>
      <c r="I5" s="10"/>
      <c r="J5" s="10"/>
      <c r="K5" s="10"/>
      <c r="L5" s="10"/>
      <c r="M5" s="10"/>
      <c r="N5" s="10"/>
      <c r="O5" s="215"/>
      <c r="P5" s="216"/>
      <c r="AB5" s="200"/>
      <c r="AI5" s="21"/>
    </row>
    <row r="6" spans="2:35" ht="15.6" thickBot="1" x14ac:dyDescent="0.35">
      <c r="B6" s="22"/>
      <c r="C6" s="12"/>
      <c r="D6" s="13" t="s">
        <v>124</v>
      </c>
      <c r="E6" s="13"/>
      <c r="F6" s="13"/>
      <c r="G6" s="13"/>
      <c r="H6" s="13"/>
      <c r="I6" s="13"/>
      <c r="J6" s="13"/>
      <c r="K6" s="13"/>
      <c r="L6" s="13"/>
      <c r="M6" s="13"/>
      <c r="N6" s="13"/>
      <c r="O6" s="217"/>
      <c r="P6" s="218"/>
      <c r="AB6" s="200"/>
      <c r="AI6" s="21"/>
    </row>
    <row r="7" spans="2:35" ht="15" x14ac:dyDescent="0.3">
      <c r="B7" s="22"/>
      <c r="O7" s="200"/>
      <c r="AB7" s="200"/>
      <c r="AI7" s="21"/>
    </row>
    <row r="8" spans="2:35" ht="15" x14ac:dyDescent="0.3">
      <c r="B8" s="22"/>
      <c r="O8" s="200"/>
      <c r="AB8" s="200"/>
      <c r="AI8" s="21"/>
    </row>
    <row r="9" spans="2:35" ht="15" x14ac:dyDescent="0.3">
      <c r="B9" s="22"/>
      <c r="C9" s="3" t="s">
        <v>67</v>
      </c>
      <c r="F9" s="31"/>
      <c r="H9" s="3" t="s">
        <v>68</v>
      </c>
      <c r="O9" s="200"/>
      <c r="AB9" s="200"/>
      <c r="AI9" s="21"/>
    </row>
    <row r="10" spans="2:35" ht="15" x14ac:dyDescent="0.3">
      <c r="B10" s="22"/>
      <c r="D10" s="226" t="s">
        <v>69</v>
      </c>
      <c r="E10" s="104" t="s">
        <v>41</v>
      </c>
      <c r="F10" s="104"/>
      <c r="G10" s="105">
        <v>1000</v>
      </c>
      <c r="I10" s="103"/>
      <c r="J10" s="137" t="s">
        <v>125</v>
      </c>
      <c r="K10" s="138"/>
      <c r="L10" s="104"/>
      <c r="M10" s="239" t="s">
        <v>139</v>
      </c>
      <c r="N10" s="178">
        <f>IF(M10="死亡+生存",1,IF(M10="死亡のみ",2,IF(M10="生存のみ",3,IF(M10="なし",4,"ERROR"))))</f>
        <v>1</v>
      </c>
      <c r="O10" s="228" t="b">
        <f>OR(N10=1,N10=2)</f>
        <v>1</v>
      </c>
      <c r="AB10" s="200"/>
      <c r="AI10" s="21"/>
    </row>
    <row r="11" spans="2:35" ht="15" x14ac:dyDescent="0.3">
      <c r="B11" s="22"/>
      <c r="D11" s="106" t="s">
        <v>72</v>
      </c>
      <c r="E11" s="107" t="s">
        <v>11</v>
      </c>
      <c r="F11" s="107"/>
      <c r="G11" s="108">
        <v>0.01</v>
      </c>
      <c r="I11" s="106" t="s">
        <v>126</v>
      </c>
      <c r="J11" s="107" t="s">
        <v>71</v>
      </c>
      <c r="K11" s="107"/>
      <c r="L11" s="102"/>
      <c r="M11" s="227">
        <v>60</v>
      </c>
      <c r="N11" s="229"/>
      <c r="O11" s="228" t="b">
        <f>OR(N10=1,N10=3)</f>
        <v>1</v>
      </c>
      <c r="AB11" s="200"/>
      <c r="AI11" s="21"/>
    </row>
    <row r="12" spans="2:35" ht="15" x14ac:dyDescent="0.3">
      <c r="B12" s="22"/>
      <c r="D12" s="106" t="s">
        <v>12</v>
      </c>
      <c r="E12" s="107" t="s">
        <v>75</v>
      </c>
      <c r="F12" s="107"/>
      <c r="G12" s="108">
        <v>0.05</v>
      </c>
      <c r="I12" s="106" t="s">
        <v>127</v>
      </c>
      <c r="J12" s="107" t="s">
        <v>74</v>
      </c>
      <c r="K12" s="107"/>
      <c r="L12" s="102"/>
      <c r="M12" s="225">
        <v>10</v>
      </c>
      <c r="N12" s="178">
        <f>M12*12</f>
        <v>120</v>
      </c>
      <c r="O12" s="200"/>
      <c r="AB12" s="200"/>
      <c r="AI12" s="21"/>
    </row>
    <row r="13" spans="2:35" ht="15" x14ac:dyDescent="0.3">
      <c r="B13" s="22"/>
      <c r="D13" s="106" t="s">
        <v>78</v>
      </c>
      <c r="E13" s="107" t="s">
        <v>15</v>
      </c>
      <c r="F13" s="107"/>
      <c r="G13" s="146">
        <f>M16</f>
        <v>1.2521280553671691E-2</v>
      </c>
      <c r="I13" s="106" t="s">
        <v>76</v>
      </c>
      <c r="J13" s="107" t="s">
        <v>77</v>
      </c>
      <c r="K13" s="107"/>
      <c r="L13" s="102"/>
      <c r="M13" s="150">
        <v>0.01</v>
      </c>
      <c r="O13" s="200"/>
      <c r="AB13" s="200"/>
      <c r="AI13" s="21"/>
    </row>
    <row r="14" spans="2:35" ht="15" x14ac:dyDescent="0.3">
      <c r="B14" s="22"/>
      <c r="D14" s="109" t="s">
        <v>18</v>
      </c>
      <c r="E14" s="110" t="s">
        <v>19</v>
      </c>
      <c r="F14" s="110"/>
      <c r="G14" s="111">
        <v>1000</v>
      </c>
      <c r="I14" s="106" t="s">
        <v>80</v>
      </c>
      <c r="J14" s="107" t="s">
        <v>81</v>
      </c>
      <c r="K14" s="107"/>
      <c r="L14" s="102"/>
      <c r="M14" s="195">
        <v>0</v>
      </c>
      <c r="O14" s="200"/>
      <c r="AB14" s="200"/>
      <c r="AI14" s="21"/>
    </row>
    <row r="15" spans="2:35" ht="15" x14ac:dyDescent="0.3">
      <c r="B15" s="22"/>
      <c r="I15" s="113" t="s">
        <v>83</v>
      </c>
      <c r="J15" s="107" t="s">
        <v>84</v>
      </c>
      <c r="K15" s="107"/>
      <c r="L15" s="102"/>
      <c r="M15" s="150">
        <v>2.5999999999999999E-3</v>
      </c>
      <c r="O15" s="200"/>
      <c r="AB15" s="200"/>
      <c r="AI15" s="21"/>
    </row>
    <row r="16" spans="2:35" ht="15" x14ac:dyDescent="0.3">
      <c r="B16" s="22"/>
      <c r="I16" s="106" t="s">
        <v>78</v>
      </c>
      <c r="J16" s="107" t="s">
        <v>85</v>
      </c>
      <c r="K16" s="107"/>
      <c r="L16" s="102"/>
      <c r="M16" s="150">
        <f>LN(1+M13+M15+M14)</f>
        <v>1.2521280553671691E-2</v>
      </c>
      <c r="N16" s="179">
        <f>EXP(M16)-1</f>
        <v>1.2599999999999945E-2</v>
      </c>
      <c r="O16" s="200"/>
      <c r="AB16" s="200"/>
      <c r="AI16" s="21"/>
    </row>
    <row r="17" spans="2:39" ht="15" x14ac:dyDescent="0.3">
      <c r="B17" s="22"/>
      <c r="I17" s="109" t="s">
        <v>86</v>
      </c>
      <c r="J17" s="110" t="s">
        <v>87</v>
      </c>
      <c r="K17" s="110"/>
      <c r="L17" s="136"/>
      <c r="M17" s="151">
        <f>LN(1+M14)</f>
        <v>0</v>
      </c>
      <c r="N17" s="32"/>
      <c r="O17" s="200"/>
      <c r="P17" s="32"/>
      <c r="AB17" s="200"/>
      <c r="AI17" s="21"/>
    </row>
    <row r="18" spans="2:39" ht="15" x14ac:dyDescent="0.3">
      <c r="B18" s="22"/>
      <c r="O18" s="200"/>
      <c r="AB18" s="200"/>
      <c r="AI18" s="21"/>
    </row>
    <row r="19" spans="2:39" ht="15.6" thickBot="1" x14ac:dyDescent="0.35">
      <c r="B19" s="22"/>
      <c r="O19" s="200"/>
      <c r="AB19" s="200"/>
      <c r="AI19" s="21"/>
    </row>
    <row r="20" spans="2:39" ht="18.600000000000001" thickBot="1" x14ac:dyDescent="0.5">
      <c r="B20" s="22"/>
      <c r="C20" s="3" t="s">
        <v>88</v>
      </c>
      <c r="E20" s="24"/>
      <c r="L20" s="33" t="s">
        <v>89</v>
      </c>
      <c r="M20" s="34"/>
      <c r="N20" s="34"/>
      <c r="O20" s="207"/>
      <c r="P20" s="35"/>
      <c r="Q20" s="35"/>
      <c r="R20" s="35"/>
      <c r="S20" s="35"/>
      <c r="T20" s="35"/>
      <c r="U20" s="35"/>
      <c r="X20" s="36" t="s">
        <v>90</v>
      </c>
      <c r="Y20" s="37"/>
      <c r="Z20" s="37"/>
      <c r="AA20" s="37"/>
      <c r="AB20" s="201"/>
      <c r="AC20" s="37"/>
      <c r="AD20" s="38"/>
      <c r="AG20"/>
      <c r="AH20"/>
      <c r="AI20" s="21"/>
    </row>
    <row r="21" spans="2:39" ht="15" x14ac:dyDescent="0.3">
      <c r="B21" s="22"/>
      <c r="D21" s="114"/>
      <c r="E21" s="115" t="s">
        <v>91</v>
      </c>
      <c r="F21" s="115"/>
      <c r="G21" s="116"/>
      <c r="H21" s="116"/>
      <c r="I21" s="116"/>
      <c r="J21" s="116"/>
      <c r="K21" s="3"/>
      <c r="L21" s="3"/>
      <c r="M21" s="44" t="s">
        <v>92</v>
      </c>
      <c r="O21" s="200"/>
      <c r="R21" s="44" t="s">
        <v>93</v>
      </c>
      <c r="Y21" s="44" t="s">
        <v>94</v>
      </c>
      <c r="AB21" s="200"/>
      <c r="AD21" s="44"/>
      <c r="AH21" s="44"/>
      <c r="AI21" s="21"/>
      <c r="AK21" s="44" t="s">
        <v>95</v>
      </c>
    </row>
    <row r="22" spans="2:39" ht="15" x14ac:dyDescent="0.3">
      <c r="B22" s="22"/>
      <c r="D22" s="118" t="s">
        <v>23</v>
      </c>
      <c r="E22" s="117" t="s">
        <v>96</v>
      </c>
      <c r="F22" s="117" t="s">
        <v>97</v>
      </c>
      <c r="G22" s="117" t="s">
        <v>17</v>
      </c>
      <c r="H22" s="117" t="s">
        <v>98</v>
      </c>
      <c r="I22" s="117" t="s">
        <v>99</v>
      </c>
      <c r="J22" s="71" t="s">
        <v>55</v>
      </c>
      <c r="M22" s="127" t="s">
        <v>100</v>
      </c>
      <c r="N22" s="128" t="s">
        <v>98</v>
      </c>
      <c r="O22" s="208" t="s">
        <v>101</v>
      </c>
      <c r="P22" s="117" t="s">
        <v>102</v>
      </c>
      <c r="R22" s="127" t="s">
        <v>100</v>
      </c>
      <c r="S22" s="128" t="s">
        <v>99</v>
      </c>
      <c r="T22" s="129" t="s">
        <v>103</v>
      </c>
      <c r="U22" s="117" t="s">
        <v>102</v>
      </c>
      <c r="W22" s="117" t="s">
        <v>104</v>
      </c>
      <c r="Y22" s="140" t="s">
        <v>105</v>
      </c>
      <c r="Z22" s="117" t="s">
        <v>98</v>
      </c>
      <c r="AA22" s="117" t="s">
        <v>99</v>
      </c>
      <c r="AB22" s="202" t="s">
        <v>128</v>
      </c>
      <c r="AC22" s="117" t="s">
        <v>102</v>
      </c>
      <c r="AD22" s="3"/>
      <c r="AF22" s="142" t="s">
        <v>107</v>
      </c>
      <c r="AG22" s="237">
        <f>($W$23-$AC$23)^2</f>
        <v>4423.9043456253912</v>
      </c>
      <c r="AH22" s="3"/>
      <c r="AI22" s="21"/>
      <c r="AK22" s="127" t="s">
        <v>100</v>
      </c>
      <c r="AL22" s="128" t="s">
        <v>99</v>
      </c>
      <c r="AM22" s="129" t="s">
        <v>103</v>
      </c>
    </row>
    <row r="23" spans="2:39" ht="15" x14ac:dyDescent="0.3">
      <c r="B23" s="22"/>
      <c r="C23" s="224">
        <f>IF(E23="","",E23+F23/12)</f>
        <v>60</v>
      </c>
      <c r="D23" s="119"/>
      <c r="E23" s="161">
        <f>M11</f>
        <v>60</v>
      </c>
      <c r="F23" s="162">
        <v>0</v>
      </c>
      <c r="G23" s="163">
        <v>0</v>
      </c>
      <c r="H23" s="164">
        <v>0</v>
      </c>
      <c r="I23" s="165">
        <f>IF(D23&lt;$N$12+1,'死亡率（標準生命表）'!N4,IF(D23=$N$12+1,I22,""))</f>
        <v>1</v>
      </c>
      <c r="J23" s="166"/>
      <c r="M23" s="130"/>
      <c r="N23" s="131"/>
      <c r="O23" s="203"/>
      <c r="P23" s="235">
        <f>SUM(O24:O143)</f>
        <v>4.3956588940511301</v>
      </c>
      <c r="R23" s="177">
        <f>IF($O$11,VLOOKUP($N$12+1,$D$24:$J$144,7),"")</f>
        <v>68.283400237148911</v>
      </c>
      <c r="S23" s="177">
        <f>IF($O$11,VLOOKUP($N$12+1,$D$24:$J$144,6),"")</f>
        <v>0.90969076548665273</v>
      </c>
      <c r="T23" s="210">
        <f>IFERROR(R23*S23,0)</f>
        <v>62.116778631763474</v>
      </c>
      <c r="U23" s="236">
        <f>T23</f>
        <v>62.116778631763474</v>
      </c>
      <c r="W23" s="235">
        <f>P23+U23</f>
        <v>66.512437525814605</v>
      </c>
      <c r="Y23" s="130"/>
      <c r="Z23" s="131"/>
      <c r="AA23" s="122"/>
      <c r="AB23" s="203"/>
      <c r="AC23" s="144">
        <f>SUM(AB24:AB144)</f>
        <v>0</v>
      </c>
      <c r="AI23" s="21"/>
      <c r="AK23" s="188"/>
      <c r="AL23" s="189"/>
      <c r="AM23" s="190"/>
    </row>
    <row r="24" spans="2:39" ht="18" x14ac:dyDescent="0.45">
      <c r="B24" s="22"/>
      <c r="C24" s="224">
        <f t="shared" ref="C24:C87" si="0">IF(E24="","",E24+F24/12)</f>
        <v>60.041666666666664</v>
      </c>
      <c r="D24" s="120">
        <v>1</v>
      </c>
      <c r="E24" s="167">
        <f>E23</f>
        <v>60</v>
      </c>
      <c r="F24" s="168">
        <v>0.5</v>
      </c>
      <c r="G24" s="192">
        <f>IFERROR(E24-$E$23+F24/12,"")</f>
        <v>4.1666666666666664E-2</v>
      </c>
      <c r="H24" s="169">
        <f>IF(D24&lt;=$N$12+1,'死亡率（標準生命表）'!M4,0)</f>
        <v>5.350000000000632E-4</v>
      </c>
      <c r="I24" s="170">
        <f>IF(D24&lt;$N$12+1,'死亡率（標準生命表）'!N5,IF(D24=$N$12+1,I23,0))</f>
        <v>0.99946499999999994</v>
      </c>
      <c r="J24" s="171">
        <f>IF(E24="",0,CalcPut($G$10,$G$14,$G$11,$G$12,$G$13,G24))</f>
        <v>4.1224776059925734</v>
      </c>
      <c r="M24" s="130">
        <f>IF($D24&lt;=$N$12,IF($O$10,J24,""),"")</f>
        <v>4.1224776059925734</v>
      </c>
      <c r="N24" s="233">
        <f>IF($D24&lt;=$N$12,IF($O$10,H24,""),"")</f>
        <v>5.350000000000632E-4</v>
      </c>
      <c r="O24" s="203">
        <f>IFERROR(IF($D24&lt;=$N$12,M24*N24,0),0)</f>
        <v>2.2055255192062872E-3</v>
      </c>
      <c r="P24"/>
      <c r="R24"/>
      <c r="S24"/>
      <c r="T24"/>
      <c r="U24"/>
      <c r="Y24" s="180">
        <f>$G$10*$M$17*(1-EXP(-$M$16*G24))/$M$16</f>
        <v>0</v>
      </c>
      <c r="Z24" s="181">
        <f>IF($D24&lt;=$N$12,H24,"")</f>
        <v>5.350000000000632E-4</v>
      </c>
      <c r="AA24" s="196" t="str">
        <f>IF($D24=$N$12+1,I24,"")</f>
        <v/>
      </c>
      <c r="AB24" s="204">
        <f>IFERROR(IF(D24=$N$12+1,$AA24,$Z24)*$Y24,"")</f>
        <v>0</v>
      </c>
      <c r="AI24" s="21"/>
      <c r="AK24" s="183" t="str">
        <f t="shared" ref="AK24:AK55" si="1">IF($D24=$N$12+1,$R$23,"")</f>
        <v/>
      </c>
      <c r="AL24" s="184" t="str">
        <f t="shared" ref="AL24:AL55" si="2">IF($D24=$N$12+1,$S$23,"")</f>
        <v/>
      </c>
      <c r="AM24" s="185" t="str">
        <f t="shared" ref="AM24:AM55" si="3">IF($D24=$N$12+1,$T$23,"")</f>
        <v/>
      </c>
    </row>
    <row r="25" spans="2:39" ht="18" x14ac:dyDescent="0.45">
      <c r="B25" s="22"/>
      <c r="C25" s="224">
        <f t="shared" si="0"/>
        <v>60.125</v>
      </c>
      <c r="D25" s="120">
        <v>2</v>
      </c>
      <c r="E25" s="167">
        <f t="shared" ref="E25:E56" si="4">IF(D25&lt;=$N$12,IF(F25=0.5,E24+1,E24),IF(D25=$N$12+1,E24+1,""))</f>
        <v>60</v>
      </c>
      <c r="F25" s="168">
        <f t="shared" ref="F25:F56" si="5">IF(D25&lt;=$N$12,IF(F24=11.5,0.5,F24+1),IF(D25=$N$12+1,0,""))</f>
        <v>1.5</v>
      </c>
      <c r="G25" s="192">
        <f t="shared" ref="G25:G88" si="6">IFERROR(E25-$E$23+F25/12,"")</f>
        <v>0.125</v>
      </c>
      <c r="H25" s="169">
        <f>IF(D25&lt;=$N$12+1,'死亡率（標準生命表）'!M5,0)</f>
        <v>5.3499999999984116E-4</v>
      </c>
      <c r="I25" s="170">
        <f>IF(D25&lt;$N$12+1,'死亡率（標準生命表）'!N6,IF(D25=$N$12+1,I24,0))</f>
        <v>0.9989300000000001</v>
      </c>
      <c r="J25" s="171">
        <f>IF(E25="",0,CalcPut($G$10,$G$14,$G$11,$G$12,$G$13,G25))</f>
        <v>7.2008358998274264</v>
      </c>
      <c r="M25" s="130">
        <f t="shared" ref="M25:M88" si="7">IF(D25&lt;=$N$12,IF($O$10,J25,""),"")</f>
        <v>7.2008358998274264</v>
      </c>
      <c r="N25" s="234">
        <f t="shared" ref="N25:N88" si="8">IF($D25&lt;=$N$12,IF($O$10,H25,""),"")</f>
        <v>5.3499999999984116E-4</v>
      </c>
      <c r="O25" s="203">
        <f t="shared" ref="O25:O88" si="9">IFERROR(IF($D25&lt;=$N$12,M25*N25,0),0)</f>
        <v>3.8524472064065292E-3</v>
      </c>
      <c r="P25"/>
      <c r="R25"/>
      <c r="S25"/>
      <c r="T25"/>
      <c r="U25"/>
      <c r="Y25" s="180">
        <f t="shared" ref="Y25:Y88" si="10">$G$10*$M$17*(1-EXP(-$M$16*G25))/$M$16</f>
        <v>0</v>
      </c>
      <c r="Z25" s="181">
        <f t="shared" ref="Z25:Z88" si="11">IF($D25&lt;=$N$12,H25,"")</f>
        <v>5.3499999999984116E-4</v>
      </c>
      <c r="AA25" s="196" t="str">
        <f t="shared" ref="AA25:AA88" si="12">IF($D25=$N$12+1,I25,"")</f>
        <v/>
      </c>
      <c r="AB25" s="204">
        <f t="shared" ref="AB25:AB88" si="13">IFERROR(IF(D25=$N$12+1,$AA25,$Z25)*$Y25,"")</f>
        <v>0</v>
      </c>
      <c r="AI25" s="21"/>
      <c r="AK25" s="183" t="str">
        <f t="shared" si="1"/>
        <v/>
      </c>
      <c r="AL25" s="184" t="str">
        <f t="shared" si="2"/>
        <v/>
      </c>
      <c r="AM25" s="185" t="str">
        <f t="shared" si="3"/>
        <v/>
      </c>
    </row>
    <row r="26" spans="2:39" ht="18" x14ac:dyDescent="0.45">
      <c r="B26" s="22"/>
      <c r="C26" s="224">
        <f t="shared" si="0"/>
        <v>60.208333333333336</v>
      </c>
      <c r="D26" s="120">
        <v>3</v>
      </c>
      <c r="E26" s="167">
        <f t="shared" si="4"/>
        <v>60</v>
      </c>
      <c r="F26" s="168">
        <f t="shared" si="5"/>
        <v>2.5</v>
      </c>
      <c r="G26" s="192">
        <f t="shared" si="6"/>
        <v>0.20833333333333334</v>
      </c>
      <c r="H26" s="169">
        <f>IF(D26&lt;=$N$12+1,'死亡率（標準生命表）'!M6,0)</f>
        <v>5.350000000000632E-4</v>
      </c>
      <c r="I26" s="170">
        <f>IF(D26&lt;$N$12+1,'死亡率（標準生命表）'!N7,IF(D26=$N$12+1,I25,0))</f>
        <v>0.99839500000000003</v>
      </c>
      <c r="J26" s="171">
        <f>IF(E26="",0,CalcPut($G$10,$G$14,$G$11,$G$12,$G$13,G26))</f>
        <v>9.3474630602630988</v>
      </c>
      <c r="M26" s="130">
        <f t="shared" si="7"/>
        <v>9.3474630602630988</v>
      </c>
      <c r="N26" s="234">
        <f t="shared" si="8"/>
        <v>5.350000000000632E-4</v>
      </c>
      <c r="O26" s="203">
        <f t="shared" si="9"/>
        <v>5.0008927372413485E-3</v>
      </c>
      <c r="P26"/>
      <c r="R26"/>
      <c r="S26"/>
      <c r="T26"/>
      <c r="U26"/>
      <c r="Y26" s="180">
        <f t="shared" si="10"/>
        <v>0</v>
      </c>
      <c r="Z26" s="181">
        <f t="shared" si="11"/>
        <v>5.350000000000632E-4</v>
      </c>
      <c r="AA26" s="196" t="str">
        <f t="shared" si="12"/>
        <v/>
      </c>
      <c r="AB26" s="204">
        <f t="shared" si="13"/>
        <v>0</v>
      </c>
      <c r="AI26" s="21"/>
      <c r="AK26" s="183" t="str">
        <f t="shared" si="1"/>
        <v/>
      </c>
      <c r="AL26" s="184" t="str">
        <f t="shared" si="2"/>
        <v/>
      </c>
      <c r="AM26" s="185" t="str">
        <f t="shared" si="3"/>
        <v/>
      </c>
    </row>
    <row r="27" spans="2:39" ht="18" x14ac:dyDescent="0.45">
      <c r="B27" s="22"/>
      <c r="C27" s="224">
        <f t="shared" si="0"/>
        <v>60.291666666666664</v>
      </c>
      <c r="D27" s="120">
        <v>4</v>
      </c>
      <c r="E27" s="167">
        <f t="shared" si="4"/>
        <v>60</v>
      </c>
      <c r="F27" s="168">
        <f t="shared" si="5"/>
        <v>3.5</v>
      </c>
      <c r="G27" s="192">
        <f t="shared" si="6"/>
        <v>0.29166666666666669</v>
      </c>
      <c r="H27" s="169">
        <f>IF(D27&lt;=$N$12+1,'死亡率（標準生命表）'!M7,0)</f>
        <v>5.3499999999995218E-4</v>
      </c>
      <c r="I27" s="170">
        <f>IF(D27&lt;$N$12+1,'死亡率（標準生命表）'!N8,IF(D27=$N$12+1,I26,0))</f>
        <v>0.99786000000000008</v>
      </c>
      <c r="J27" s="171">
        <f>IF(E27="",0,CalcPut($G$10,$G$14,$G$11,$G$12,$G$13,G27))</f>
        <v>11.107486192729011</v>
      </c>
      <c r="M27" s="130">
        <f t="shared" si="7"/>
        <v>11.107486192729011</v>
      </c>
      <c r="N27" s="234">
        <f t="shared" si="8"/>
        <v>5.3499999999995218E-4</v>
      </c>
      <c r="O27" s="203">
        <f t="shared" si="9"/>
        <v>5.9425051131094895E-3</v>
      </c>
      <c r="P27"/>
      <c r="R27"/>
      <c r="S27"/>
      <c r="T27"/>
      <c r="U27"/>
      <c r="Y27" s="180">
        <f t="shared" si="10"/>
        <v>0</v>
      </c>
      <c r="Z27" s="181">
        <f t="shared" si="11"/>
        <v>5.3499999999995218E-4</v>
      </c>
      <c r="AA27" s="196" t="str">
        <f t="shared" si="12"/>
        <v/>
      </c>
      <c r="AB27" s="204">
        <f t="shared" si="13"/>
        <v>0</v>
      </c>
      <c r="AI27" s="21"/>
      <c r="AK27" s="183" t="str">
        <f t="shared" si="1"/>
        <v/>
      </c>
      <c r="AL27" s="184" t="str">
        <f t="shared" si="2"/>
        <v/>
      </c>
      <c r="AM27" s="185" t="str">
        <f t="shared" si="3"/>
        <v/>
      </c>
    </row>
    <row r="28" spans="2:39" ht="18" x14ac:dyDescent="0.45">
      <c r="B28" s="22"/>
      <c r="C28" s="224">
        <f t="shared" si="0"/>
        <v>60.375</v>
      </c>
      <c r="D28" s="120">
        <v>5</v>
      </c>
      <c r="E28" s="167">
        <f t="shared" si="4"/>
        <v>60</v>
      </c>
      <c r="F28" s="168">
        <f t="shared" si="5"/>
        <v>4.5</v>
      </c>
      <c r="G28" s="192">
        <f t="shared" si="6"/>
        <v>0.375</v>
      </c>
      <c r="H28" s="169">
        <f>IF(D28&lt;=$N$12+1,'死亡率（標準生命表）'!M8,0)</f>
        <v>5.350000000000632E-4</v>
      </c>
      <c r="I28" s="170">
        <f>IF(D28&lt;$N$12+1,'死亡率（標準生命表）'!N9,IF(D28=$N$12+1,I27,0))</f>
        <v>0.99732500000000002</v>
      </c>
      <c r="J28" s="171">
        <f>IF(E28="",0,CalcPut($G$10,$G$14,$G$11,$G$12,$G$13,G28))</f>
        <v>12.63966284680401</v>
      </c>
      <c r="M28" s="130">
        <f t="shared" si="7"/>
        <v>12.63966284680401</v>
      </c>
      <c r="N28" s="234">
        <f t="shared" si="8"/>
        <v>5.350000000000632E-4</v>
      </c>
      <c r="O28" s="203">
        <f t="shared" si="9"/>
        <v>6.7622196230409442E-3</v>
      </c>
      <c r="P28"/>
      <c r="R28"/>
      <c r="S28"/>
      <c r="T28"/>
      <c r="U28"/>
      <c r="Y28" s="180">
        <f t="shared" si="10"/>
        <v>0</v>
      </c>
      <c r="Z28" s="181">
        <f t="shared" si="11"/>
        <v>5.350000000000632E-4</v>
      </c>
      <c r="AA28" s="196" t="str">
        <f t="shared" si="12"/>
        <v/>
      </c>
      <c r="AB28" s="204">
        <f t="shared" si="13"/>
        <v>0</v>
      </c>
      <c r="AI28" s="21"/>
      <c r="AK28" s="183" t="str">
        <f t="shared" si="1"/>
        <v/>
      </c>
      <c r="AL28" s="184" t="str">
        <f t="shared" si="2"/>
        <v/>
      </c>
      <c r="AM28" s="185" t="str">
        <f t="shared" si="3"/>
        <v/>
      </c>
    </row>
    <row r="29" spans="2:39" ht="18" x14ac:dyDescent="0.45">
      <c r="B29" s="22"/>
      <c r="C29" s="224">
        <f t="shared" si="0"/>
        <v>60.458333333333336</v>
      </c>
      <c r="D29" s="120">
        <v>6</v>
      </c>
      <c r="E29" s="167">
        <f t="shared" si="4"/>
        <v>60</v>
      </c>
      <c r="F29" s="168">
        <f t="shared" si="5"/>
        <v>5.5</v>
      </c>
      <c r="G29" s="192">
        <f t="shared" si="6"/>
        <v>0.45833333333333331</v>
      </c>
      <c r="H29" s="169">
        <f>IF(D29&lt;=$N$12+1,'死亡率（標準生命表）'!M9,0)</f>
        <v>5.3499999999995218E-4</v>
      </c>
      <c r="I29" s="170">
        <f>IF(D29&lt;$N$12+1,'死亡率（標準生命表）'!N10,IF(D29=$N$12+1,I28,0))</f>
        <v>0.99679000000000006</v>
      </c>
      <c r="J29" s="171">
        <f>IF(E29="",0,CalcPut($G$10,$G$14,$G$11,$G$12,$G$13,G29))</f>
        <v>14.016749045620104</v>
      </c>
      <c r="M29" s="130">
        <f t="shared" si="7"/>
        <v>14.016749045620104</v>
      </c>
      <c r="N29" s="234">
        <f t="shared" si="8"/>
        <v>5.3499999999995218E-4</v>
      </c>
      <c r="O29" s="203">
        <f t="shared" si="9"/>
        <v>7.4989607394060857E-3</v>
      </c>
      <c r="P29"/>
      <c r="R29"/>
      <c r="S29"/>
      <c r="T29"/>
      <c r="U29"/>
      <c r="Y29" s="180">
        <f t="shared" si="10"/>
        <v>0</v>
      </c>
      <c r="Z29" s="181">
        <f t="shared" si="11"/>
        <v>5.3499999999995218E-4</v>
      </c>
      <c r="AA29" s="196" t="str">
        <f t="shared" si="12"/>
        <v/>
      </c>
      <c r="AB29" s="204">
        <f t="shared" si="13"/>
        <v>0</v>
      </c>
      <c r="AI29" s="21"/>
      <c r="AK29" s="183" t="str">
        <f t="shared" si="1"/>
        <v/>
      </c>
      <c r="AL29" s="184" t="str">
        <f t="shared" si="2"/>
        <v/>
      </c>
      <c r="AM29" s="185" t="str">
        <f t="shared" si="3"/>
        <v/>
      </c>
    </row>
    <row r="30" spans="2:39" ht="18" x14ac:dyDescent="0.45">
      <c r="B30" s="22"/>
      <c r="C30" s="224">
        <f t="shared" si="0"/>
        <v>60.541666666666664</v>
      </c>
      <c r="D30" s="120">
        <v>7</v>
      </c>
      <c r="E30" s="167">
        <f t="shared" si="4"/>
        <v>60</v>
      </c>
      <c r="F30" s="168">
        <f t="shared" si="5"/>
        <v>6.5</v>
      </c>
      <c r="G30" s="192">
        <f t="shared" si="6"/>
        <v>0.54166666666666663</v>
      </c>
      <c r="H30" s="169">
        <f>IF(D30&lt;=$N$12+1,'死亡率（標準生命表）'!M10,0)</f>
        <v>5.350000000000632E-4</v>
      </c>
      <c r="I30" s="170">
        <f>IF(D30&lt;$N$12+1,'死亡率（標準生命表）'!N11,IF(D30=$N$12+1,I29,0))</f>
        <v>0.996255</v>
      </c>
      <c r="J30" s="171">
        <f>IF(E30="",0,CalcPut($G$10,$G$14,$G$11,$G$12,$G$13,G30))</f>
        <v>15.279326267780304</v>
      </c>
      <c r="M30" s="130">
        <f t="shared" si="7"/>
        <v>15.279326267780304</v>
      </c>
      <c r="N30" s="234">
        <f t="shared" si="8"/>
        <v>5.350000000000632E-4</v>
      </c>
      <c r="O30" s="203">
        <f t="shared" si="9"/>
        <v>8.1744395532634285E-3</v>
      </c>
      <c r="P30"/>
      <c r="R30"/>
      <c r="S30"/>
      <c r="T30"/>
      <c r="U30"/>
      <c r="Y30" s="180">
        <f t="shared" si="10"/>
        <v>0</v>
      </c>
      <c r="Z30" s="181">
        <f t="shared" si="11"/>
        <v>5.350000000000632E-4</v>
      </c>
      <c r="AA30" s="196" t="str">
        <f t="shared" si="12"/>
        <v/>
      </c>
      <c r="AB30" s="204">
        <f t="shared" si="13"/>
        <v>0</v>
      </c>
      <c r="AI30" s="21"/>
      <c r="AK30" s="183" t="str">
        <f t="shared" si="1"/>
        <v/>
      </c>
      <c r="AL30" s="184" t="str">
        <f t="shared" si="2"/>
        <v/>
      </c>
      <c r="AM30" s="185" t="str">
        <f t="shared" si="3"/>
        <v/>
      </c>
    </row>
    <row r="31" spans="2:39" ht="18" x14ac:dyDescent="0.45">
      <c r="B31" s="22"/>
      <c r="C31" s="224">
        <f t="shared" si="0"/>
        <v>60.625</v>
      </c>
      <c r="D31" s="120">
        <v>8</v>
      </c>
      <c r="E31" s="167">
        <f t="shared" si="4"/>
        <v>60</v>
      </c>
      <c r="F31" s="168">
        <f t="shared" si="5"/>
        <v>7.5</v>
      </c>
      <c r="G31" s="192">
        <f t="shared" si="6"/>
        <v>0.625</v>
      </c>
      <c r="H31" s="169">
        <f>IF(D31&lt;=$N$12+1,'死亡率（標準生命表）'!M11,0)</f>
        <v>5.3499999999995218E-4</v>
      </c>
      <c r="I31" s="170">
        <f>IF(D31&lt;$N$12+1,'死亡率（標準生命表）'!N12,IF(D31=$N$12+1,I30,0))</f>
        <v>0.99572000000000005</v>
      </c>
      <c r="J31" s="171">
        <f>IF(E31="",0,CalcPut($G$10,$G$14,$G$11,$G$12,$G$13,G31))</f>
        <v>16.452781853906036</v>
      </c>
      <c r="M31" s="130">
        <f t="shared" si="7"/>
        <v>16.452781853906036</v>
      </c>
      <c r="N31" s="234">
        <f t="shared" si="8"/>
        <v>5.3499999999995218E-4</v>
      </c>
      <c r="O31" s="203">
        <f t="shared" si="9"/>
        <v>8.8022382918389423E-3</v>
      </c>
      <c r="P31"/>
      <c r="R31"/>
      <c r="S31"/>
      <c r="T31"/>
      <c r="U31"/>
      <c r="Y31" s="180">
        <f t="shared" si="10"/>
        <v>0</v>
      </c>
      <c r="Z31" s="181">
        <f t="shared" si="11"/>
        <v>5.3499999999995218E-4</v>
      </c>
      <c r="AA31" s="196" t="str">
        <f t="shared" si="12"/>
        <v/>
      </c>
      <c r="AB31" s="204">
        <f t="shared" si="13"/>
        <v>0</v>
      </c>
      <c r="AI31" s="21"/>
      <c r="AK31" s="183" t="str">
        <f t="shared" si="1"/>
        <v/>
      </c>
      <c r="AL31" s="184" t="str">
        <f t="shared" si="2"/>
        <v/>
      </c>
      <c r="AM31" s="185" t="str">
        <f t="shared" si="3"/>
        <v/>
      </c>
    </row>
    <row r="32" spans="2:39" ht="18" x14ac:dyDescent="0.45">
      <c r="B32" s="22"/>
      <c r="C32" s="224">
        <f t="shared" si="0"/>
        <v>60.708333333333336</v>
      </c>
      <c r="D32" s="120">
        <v>9</v>
      </c>
      <c r="E32" s="167">
        <f t="shared" si="4"/>
        <v>60</v>
      </c>
      <c r="F32" s="168">
        <f t="shared" si="5"/>
        <v>8.5</v>
      </c>
      <c r="G32" s="192">
        <f t="shared" si="6"/>
        <v>0.70833333333333337</v>
      </c>
      <c r="H32" s="169">
        <f>IF(D32&lt;=$N$12+1,'死亡率（標準生命表）'!M12,0)</f>
        <v>5.350000000000632E-4</v>
      </c>
      <c r="I32" s="170">
        <f>IF(D32&lt;$N$12+1,'死亡率（標準生命表）'!N13,IF(D32=$N$12+1,I31,0))</f>
        <v>0.99518499999999999</v>
      </c>
      <c r="J32" s="171">
        <f>IF(E32="",0,CalcPut($G$10,$G$14,$G$11,$G$12,$G$13,G32))</f>
        <v>17.554254993603621</v>
      </c>
      <c r="M32" s="130">
        <f t="shared" si="7"/>
        <v>17.554254993603621</v>
      </c>
      <c r="N32" s="234">
        <f t="shared" si="8"/>
        <v>5.350000000000632E-4</v>
      </c>
      <c r="O32" s="203">
        <f t="shared" si="9"/>
        <v>9.3915264215790467E-3</v>
      </c>
      <c r="P32"/>
      <c r="R32"/>
      <c r="S32"/>
      <c r="T32"/>
      <c r="U32"/>
      <c r="Y32" s="180">
        <f t="shared" si="10"/>
        <v>0</v>
      </c>
      <c r="Z32" s="181">
        <f t="shared" si="11"/>
        <v>5.350000000000632E-4</v>
      </c>
      <c r="AA32" s="196" t="str">
        <f t="shared" si="12"/>
        <v/>
      </c>
      <c r="AB32" s="204">
        <f t="shared" si="13"/>
        <v>0</v>
      </c>
      <c r="AI32" s="21"/>
      <c r="AK32" s="183" t="str">
        <f t="shared" si="1"/>
        <v/>
      </c>
      <c r="AL32" s="184" t="str">
        <f t="shared" si="2"/>
        <v/>
      </c>
      <c r="AM32" s="185" t="str">
        <f t="shared" si="3"/>
        <v/>
      </c>
    </row>
    <row r="33" spans="2:39" ht="18" x14ac:dyDescent="0.45">
      <c r="B33" s="22"/>
      <c r="C33" s="224">
        <f t="shared" si="0"/>
        <v>60.791666666666664</v>
      </c>
      <c r="D33" s="120">
        <v>10</v>
      </c>
      <c r="E33" s="167">
        <f t="shared" si="4"/>
        <v>60</v>
      </c>
      <c r="F33" s="168">
        <f t="shared" si="5"/>
        <v>9.5</v>
      </c>
      <c r="G33" s="192">
        <f t="shared" si="6"/>
        <v>0.79166666666666663</v>
      </c>
      <c r="H33" s="169">
        <f>IF(D33&lt;=$N$12+1,'死亡率（標準生命表）'!M13,0)</f>
        <v>5.3499999999995218E-4</v>
      </c>
      <c r="I33" s="170">
        <f>IF(D33&lt;$N$12+1,'死亡率（標準生命表）'!N14,IF(D33=$N$12+1,I32,0))</f>
        <v>0.99465000000000003</v>
      </c>
      <c r="J33" s="171">
        <f>IF(E33="",0,CalcPut($G$10,$G$14,$G$11,$G$12,$G$13,G33))</f>
        <v>18.595965152285181</v>
      </c>
      <c r="M33" s="130">
        <f t="shared" si="7"/>
        <v>18.595965152285181</v>
      </c>
      <c r="N33" s="234">
        <f t="shared" si="8"/>
        <v>5.3499999999995218E-4</v>
      </c>
      <c r="O33" s="203">
        <f t="shared" si="9"/>
        <v>9.948841356471682E-3</v>
      </c>
      <c r="P33"/>
      <c r="R33"/>
      <c r="S33"/>
      <c r="T33"/>
      <c r="U33"/>
      <c r="Y33" s="180">
        <f t="shared" si="10"/>
        <v>0</v>
      </c>
      <c r="Z33" s="181">
        <f t="shared" si="11"/>
        <v>5.3499999999995218E-4</v>
      </c>
      <c r="AA33" s="196" t="str">
        <f t="shared" si="12"/>
        <v/>
      </c>
      <c r="AB33" s="204">
        <f t="shared" si="13"/>
        <v>0</v>
      </c>
      <c r="AI33" s="21"/>
      <c r="AK33" s="183" t="str">
        <f t="shared" si="1"/>
        <v/>
      </c>
      <c r="AL33" s="184" t="str">
        <f t="shared" si="2"/>
        <v/>
      </c>
      <c r="AM33" s="185" t="str">
        <f t="shared" si="3"/>
        <v/>
      </c>
    </row>
    <row r="34" spans="2:39" ht="18" x14ac:dyDescent="0.45">
      <c r="B34" s="22"/>
      <c r="C34" s="224">
        <f t="shared" si="0"/>
        <v>60.875</v>
      </c>
      <c r="D34" s="120">
        <v>11</v>
      </c>
      <c r="E34" s="167">
        <f t="shared" si="4"/>
        <v>60</v>
      </c>
      <c r="F34" s="168">
        <f t="shared" si="5"/>
        <v>10.5</v>
      </c>
      <c r="G34" s="192">
        <f t="shared" si="6"/>
        <v>0.875</v>
      </c>
      <c r="H34" s="169">
        <f>IF(D34&lt;=$N$12+1,'死亡率（標準生命表）'!M14,0)</f>
        <v>5.350000000000632E-4</v>
      </c>
      <c r="I34" s="170">
        <f>IF(D34&lt;$N$12+1,'死亡率（標準生命表）'!N15,IF(D34=$N$12+1,I33,0))</f>
        <v>0.99411499999999997</v>
      </c>
      <c r="J34" s="171">
        <f>IF(E34="",0,CalcPut($G$10,$G$14,$G$11,$G$12,$G$13,G34))</f>
        <v>19.58698968850031</v>
      </c>
      <c r="M34" s="130">
        <f t="shared" si="7"/>
        <v>19.58698968850031</v>
      </c>
      <c r="N34" s="234">
        <f t="shared" si="8"/>
        <v>5.350000000000632E-4</v>
      </c>
      <c r="O34" s="203">
        <f t="shared" si="9"/>
        <v>1.0479039483348903E-2</v>
      </c>
      <c r="P34"/>
      <c r="R34"/>
      <c r="S34"/>
      <c r="T34"/>
      <c r="U34"/>
      <c r="Y34" s="180">
        <f t="shared" si="10"/>
        <v>0</v>
      </c>
      <c r="Z34" s="181">
        <f t="shared" si="11"/>
        <v>5.350000000000632E-4</v>
      </c>
      <c r="AA34" s="196" t="str">
        <f t="shared" si="12"/>
        <v/>
      </c>
      <c r="AB34" s="204">
        <f t="shared" si="13"/>
        <v>0</v>
      </c>
      <c r="AI34" s="21"/>
      <c r="AK34" s="183" t="str">
        <f t="shared" si="1"/>
        <v/>
      </c>
      <c r="AL34" s="184" t="str">
        <f t="shared" si="2"/>
        <v/>
      </c>
      <c r="AM34" s="185" t="str">
        <f t="shared" si="3"/>
        <v/>
      </c>
    </row>
    <row r="35" spans="2:39" ht="18" x14ac:dyDescent="0.45">
      <c r="B35" s="22"/>
      <c r="C35" s="224">
        <f t="shared" si="0"/>
        <v>60.958333333333336</v>
      </c>
      <c r="D35" s="120">
        <v>12</v>
      </c>
      <c r="E35" s="167">
        <f t="shared" si="4"/>
        <v>60</v>
      </c>
      <c r="F35" s="168">
        <f t="shared" si="5"/>
        <v>11.5</v>
      </c>
      <c r="G35" s="192">
        <f t="shared" si="6"/>
        <v>0.95833333333333337</v>
      </c>
      <c r="H35" s="169">
        <f>IF(D35&lt;=$N$12+1,'死亡率（標準生命表）'!M15,0)</f>
        <v>5.3499999999995218E-4</v>
      </c>
      <c r="I35" s="170">
        <f>IF(D35&lt;$N$12+1,'死亡率（標準生命表）'!N16,IF(D35=$N$12+1,I34,0))</f>
        <v>0.99358000000000002</v>
      </c>
      <c r="J35" s="171">
        <f>IF(E35="",0,CalcPut($G$10,$G$14,$G$11,$G$12,$G$13,G35))</f>
        <v>20.534291887916471</v>
      </c>
      <c r="M35" s="130">
        <f t="shared" si="7"/>
        <v>20.534291887916471</v>
      </c>
      <c r="N35" s="234">
        <f t="shared" si="8"/>
        <v>5.3499999999995218E-4</v>
      </c>
      <c r="O35" s="203">
        <f t="shared" si="9"/>
        <v>1.098584616003433E-2</v>
      </c>
      <c r="P35"/>
      <c r="R35"/>
      <c r="S35"/>
      <c r="T35"/>
      <c r="U35"/>
      <c r="Y35" s="180">
        <f t="shared" si="10"/>
        <v>0</v>
      </c>
      <c r="Z35" s="181">
        <f t="shared" si="11"/>
        <v>5.3499999999995218E-4</v>
      </c>
      <c r="AA35" s="196" t="str">
        <f t="shared" si="12"/>
        <v/>
      </c>
      <c r="AB35" s="204">
        <f t="shared" si="13"/>
        <v>0</v>
      </c>
      <c r="AI35" s="21"/>
      <c r="AK35" s="183" t="str">
        <f t="shared" si="1"/>
        <v/>
      </c>
      <c r="AL35" s="184" t="str">
        <f t="shared" si="2"/>
        <v/>
      </c>
      <c r="AM35" s="185" t="str">
        <f t="shared" si="3"/>
        <v/>
      </c>
    </row>
    <row r="36" spans="2:39" ht="18" x14ac:dyDescent="0.45">
      <c r="B36" s="22"/>
      <c r="C36" s="224">
        <f t="shared" si="0"/>
        <v>61.041666666666664</v>
      </c>
      <c r="D36" s="120">
        <v>13</v>
      </c>
      <c r="E36" s="167">
        <f t="shared" si="4"/>
        <v>61</v>
      </c>
      <c r="F36" s="168">
        <f t="shared" si="5"/>
        <v>0.5</v>
      </c>
      <c r="G36" s="192">
        <f t="shared" si="6"/>
        <v>1.0416666666666667</v>
      </c>
      <c r="H36" s="169">
        <f>IF(D36&lt;=$N$12+1,'死亡率（標準生命表）'!M16,0)</f>
        <v>5.6137270000011785E-4</v>
      </c>
      <c r="I36" s="170">
        <f>IF(D36&lt;$N$12+1,'死亡率（標準生命表）'!N17,IF(D36=$N$12+1,I35,0))</f>
        <v>0.9930186272999999</v>
      </c>
      <c r="J36" s="171">
        <f>IF(E36="",0,CalcPut($G$10,$G$14,$G$11,$G$12,$G$13,G36))</f>
        <v>21.443353005993401</v>
      </c>
      <c r="M36" s="130">
        <f t="shared" si="7"/>
        <v>21.443353005993401</v>
      </c>
      <c r="N36" s="234">
        <f t="shared" si="8"/>
        <v>5.6137270000011785E-4</v>
      </c>
      <c r="O36" s="203">
        <f t="shared" si="9"/>
        <v>1.2037712974030159E-2</v>
      </c>
      <c r="P36"/>
      <c r="R36"/>
      <c r="S36"/>
      <c r="T36"/>
      <c r="U36"/>
      <c r="Y36" s="180">
        <f t="shared" si="10"/>
        <v>0</v>
      </c>
      <c r="Z36" s="181">
        <f t="shared" si="11"/>
        <v>5.6137270000011785E-4</v>
      </c>
      <c r="AA36" s="196" t="str">
        <f t="shared" si="12"/>
        <v/>
      </c>
      <c r="AB36" s="204">
        <f t="shared" si="13"/>
        <v>0</v>
      </c>
      <c r="AI36" s="21"/>
      <c r="AK36" s="183" t="str">
        <f t="shared" si="1"/>
        <v/>
      </c>
      <c r="AL36" s="184" t="str">
        <f t="shared" si="2"/>
        <v/>
      </c>
      <c r="AM36" s="185" t="str">
        <f t="shared" si="3"/>
        <v/>
      </c>
    </row>
    <row r="37" spans="2:39" ht="18" x14ac:dyDescent="0.45">
      <c r="B37" s="22"/>
      <c r="C37" s="224">
        <f t="shared" si="0"/>
        <v>61.125</v>
      </c>
      <c r="D37" s="120">
        <v>14</v>
      </c>
      <c r="E37" s="167">
        <f t="shared" si="4"/>
        <v>61</v>
      </c>
      <c r="F37" s="168">
        <f t="shared" si="5"/>
        <v>1.5</v>
      </c>
      <c r="G37" s="192">
        <f t="shared" si="6"/>
        <v>1.125</v>
      </c>
      <c r="H37" s="169">
        <f>IF(D37&lt;=$N$12+1,'死亡率（標準生命表）'!M17,0)</f>
        <v>5.6137269999978479E-4</v>
      </c>
      <c r="I37" s="170">
        <f>IF(D37&lt;$N$12+1,'死亡率（標準生命表）'!N18,IF(D37=$N$12+1,I36,0))</f>
        <v>0.99245725460000012</v>
      </c>
      <c r="J37" s="171">
        <f>IF(E37="",0,CalcPut($G$10,$G$14,$G$11,$G$12,$G$13,G37))</f>
        <v>22.318580208905665</v>
      </c>
      <c r="M37" s="130">
        <f t="shared" si="7"/>
        <v>22.318580208905665</v>
      </c>
      <c r="N37" s="234">
        <f t="shared" si="8"/>
        <v>5.6137269999978479E-4</v>
      </c>
      <c r="O37" s="203">
        <f t="shared" si="9"/>
        <v>1.2529041632035134E-2</v>
      </c>
      <c r="P37"/>
      <c r="R37"/>
      <c r="S37"/>
      <c r="T37"/>
      <c r="U37"/>
      <c r="Y37" s="180">
        <f t="shared" si="10"/>
        <v>0</v>
      </c>
      <c r="Z37" s="181">
        <f t="shared" si="11"/>
        <v>5.6137269999978479E-4</v>
      </c>
      <c r="AA37" s="196" t="str">
        <f t="shared" si="12"/>
        <v/>
      </c>
      <c r="AB37" s="204">
        <f t="shared" si="13"/>
        <v>0</v>
      </c>
      <c r="AI37" s="21"/>
      <c r="AK37" s="183" t="str">
        <f t="shared" si="1"/>
        <v/>
      </c>
      <c r="AL37" s="184" t="str">
        <f t="shared" si="2"/>
        <v/>
      </c>
      <c r="AM37" s="185" t="str">
        <f t="shared" si="3"/>
        <v/>
      </c>
    </row>
    <row r="38" spans="2:39" ht="18" x14ac:dyDescent="0.45">
      <c r="B38" s="22"/>
      <c r="C38" s="224">
        <f t="shared" si="0"/>
        <v>61.208333333333336</v>
      </c>
      <c r="D38" s="120">
        <v>15</v>
      </c>
      <c r="E38" s="167">
        <f t="shared" si="4"/>
        <v>61</v>
      </c>
      <c r="F38" s="168">
        <f t="shared" si="5"/>
        <v>2.5</v>
      </c>
      <c r="G38" s="192">
        <f t="shared" si="6"/>
        <v>1.2083333333333333</v>
      </c>
      <c r="H38" s="169">
        <f>IF(D38&lt;=$N$12+1,'死亡率（標準生命表）'!M18,0)</f>
        <v>5.6137270000011785E-4</v>
      </c>
      <c r="I38" s="170">
        <f>IF(D38&lt;$N$12+1,'死亡率（標準生命表）'!N19,IF(D38=$N$12+1,I37,0))</f>
        <v>0.9918958819</v>
      </c>
      <c r="J38" s="171">
        <f>IF(E38="",0,CalcPut($G$10,$G$14,$G$11,$G$12,$G$13,G38))</f>
        <v>23.163580513054463</v>
      </c>
      <c r="M38" s="130">
        <f t="shared" si="7"/>
        <v>23.163580513054463</v>
      </c>
      <c r="N38" s="234">
        <f t="shared" si="8"/>
        <v>5.6137270000011785E-4</v>
      </c>
      <c r="O38" s="203">
        <f t="shared" si="9"/>
        <v>1.3003401734283498E-2</v>
      </c>
      <c r="P38"/>
      <c r="R38"/>
      <c r="S38"/>
      <c r="T38"/>
      <c r="U38"/>
      <c r="Y38" s="180">
        <f t="shared" si="10"/>
        <v>0</v>
      </c>
      <c r="Z38" s="181">
        <f t="shared" si="11"/>
        <v>5.6137270000011785E-4</v>
      </c>
      <c r="AA38" s="196" t="str">
        <f t="shared" si="12"/>
        <v/>
      </c>
      <c r="AB38" s="204">
        <f t="shared" si="13"/>
        <v>0</v>
      </c>
      <c r="AI38" s="21"/>
      <c r="AK38" s="183" t="str">
        <f t="shared" si="1"/>
        <v/>
      </c>
      <c r="AL38" s="184" t="str">
        <f t="shared" si="2"/>
        <v/>
      </c>
      <c r="AM38" s="185" t="str">
        <f t="shared" si="3"/>
        <v/>
      </c>
    </row>
    <row r="39" spans="2:39" ht="18" x14ac:dyDescent="0.45">
      <c r="B39" s="22"/>
      <c r="C39" s="224">
        <f t="shared" si="0"/>
        <v>61.291666666666664</v>
      </c>
      <c r="D39" s="120">
        <v>16</v>
      </c>
      <c r="E39" s="167">
        <f t="shared" si="4"/>
        <v>61</v>
      </c>
      <c r="F39" s="168">
        <f t="shared" si="5"/>
        <v>3.5</v>
      </c>
      <c r="G39" s="192">
        <f t="shared" si="6"/>
        <v>1.2916666666666667</v>
      </c>
      <c r="H39" s="169">
        <f>IF(D39&lt;=$N$12+1,'死亡率（標準生命表）'!M19,0)</f>
        <v>5.6137269999989581E-4</v>
      </c>
      <c r="I39" s="170">
        <f>IF(D39&lt;$N$12+1,'死亡率（標準生命表）'!N20,IF(D39=$N$12+1,I38,0))</f>
        <v>0.9913345092000001</v>
      </c>
      <c r="J39" s="171">
        <f>IF(E39="",0,CalcPut($G$10,$G$14,$G$11,$G$12,$G$13,G39))</f>
        <v>23.981350901736509</v>
      </c>
      <c r="M39" s="130">
        <f t="shared" si="7"/>
        <v>23.981350901736509</v>
      </c>
      <c r="N39" s="234">
        <f t="shared" si="8"/>
        <v>5.6137269999989581E-4</v>
      </c>
      <c r="O39" s="203">
        <f t="shared" si="9"/>
        <v>1.346247570535276E-2</v>
      </c>
      <c r="P39"/>
      <c r="R39"/>
      <c r="S39"/>
      <c r="T39"/>
      <c r="U39"/>
      <c r="Y39" s="180">
        <f t="shared" si="10"/>
        <v>0</v>
      </c>
      <c r="Z39" s="181">
        <f t="shared" si="11"/>
        <v>5.6137269999989581E-4</v>
      </c>
      <c r="AA39" s="196" t="str">
        <f t="shared" si="12"/>
        <v/>
      </c>
      <c r="AB39" s="204">
        <f t="shared" si="13"/>
        <v>0</v>
      </c>
      <c r="AI39" s="21"/>
      <c r="AK39" s="183" t="str">
        <f t="shared" si="1"/>
        <v/>
      </c>
      <c r="AL39" s="184" t="str">
        <f t="shared" si="2"/>
        <v/>
      </c>
      <c r="AM39" s="185" t="str">
        <f t="shared" si="3"/>
        <v/>
      </c>
    </row>
    <row r="40" spans="2:39" ht="18" x14ac:dyDescent="0.45">
      <c r="B40" s="22"/>
      <c r="C40" s="224">
        <f t="shared" si="0"/>
        <v>61.375</v>
      </c>
      <c r="D40" s="120">
        <v>17</v>
      </c>
      <c r="E40" s="167">
        <f t="shared" si="4"/>
        <v>61</v>
      </c>
      <c r="F40" s="168">
        <f t="shared" si="5"/>
        <v>4.5</v>
      </c>
      <c r="G40" s="192">
        <f t="shared" si="6"/>
        <v>1.375</v>
      </c>
      <c r="H40" s="169">
        <f>IF(D40&lt;=$N$12+1,'死亡率（標準生命表）'!M20,0)</f>
        <v>5.6137270000011785E-4</v>
      </c>
      <c r="I40" s="170">
        <f>IF(D40&lt;$N$12+1,'死亡率（標準生命表）'!N21,IF(D40=$N$12+1,I39,0))</f>
        <v>0.99077313649999998</v>
      </c>
      <c r="J40" s="171">
        <f>IF(E40="",0,CalcPut($G$10,$G$14,$G$11,$G$12,$G$13,G40))</f>
        <v>24.774413993863039</v>
      </c>
      <c r="M40" s="130">
        <f t="shared" si="7"/>
        <v>24.774413993863039</v>
      </c>
      <c r="N40" s="234">
        <f t="shared" si="8"/>
        <v>5.6137270000011785E-4</v>
      </c>
      <c r="O40" s="203">
        <f t="shared" si="9"/>
        <v>1.3907679674655598E-2</v>
      </c>
      <c r="P40"/>
      <c r="R40"/>
      <c r="S40"/>
      <c r="T40"/>
      <c r="U40"/>
      <c r="Y40" s="180">
        <f t="shared" si="10"/>
        <v>0</v>
      </c>
      <c r="Z40" s="181">
        <f t="shared" si="11"/>
        <v>5.6137270000011785E-4</v>
      </c>
      <c r="AA40" s="196" t="str">
        <f t="shared" si="12"/>
        <v/>
      </c>
      <c r="AB40" s="204">
        <f t="shared" si="13"/>
        <v>0</v>
      </c>
      <c r="AI40" s="21"/>
      <c r="AK40" s="183" t="str">
        <f t="shared" si="1"/>
        <v/>
      </c>
      <c r="AL40" s="184" t="str">
        <f t="shared" si="2"/>
        <v/>
      </c>
      <c r="AM40" s="185" t="str">
        <f t="shared" si="3"/>
        <v/>
      </c>
    </row>
    <row r="41" spans="2:39" ht="18" x14ac:dyDescent="0.45">
      <c r="B41" s="22"/>
      <c r="C41" s="224">
        <f t="shared" si="0"/>
        <v>61.458333333333336</v>
      </c>
      <c r="D41" s="120">
        <v>18</v>
      </c>
      <c r="E41" s="167">
        <f t="shared" si="4"/>
        <v>61</v>
      </c>
      <c r="F41" s="168">
        <f t="shared" si="5"/>
        <v>5.5</v>
      </c>
      <c r="G41" s="192">
        <f t="shared" si="6"/>
        <v>1.4583333333333333</v>
      </c>
      <c r="H41" s="169">
        <f>IF(D41&lt;=$N$12+1,'死亡率（標準生命表）'!M21,0)</f>
        <v>5.6137269999989581E-4</v>
      </c>
      <c r="I41" s="170">
        <f>IF(D41&lt;$N$12+1,'死亡率（標準生命表）'!N22,IF(D41=$N$12+1,I40,0))</f>
        <v>0.99021176380000009</v>
      </c>
      <c r="J41" s="171">
        <f>IF(E41="",0,CalcPut($G$10,$G$14,$G$11,$G$12,$G$13,G41))</f>
        <v>25.544917195980396</v>
      </c>
      <c r="M41" s="130">
        <f t="shared" si="7"/>
        <v>25.544917195980396</v>
      </c>
      <c r="N41" s="234">
        <f t="shared" si="8"/>
        <v>5.6137269999989581E-4</v>
      </c>
      <c r="O41" s="203">
        <f t="shared" si="9"/>
        <v>1.4340219137581283E-2</v>
      </c>
      <c r="P41"/>
      <c r="R41"/>
      <c r="S41"/>
      <c r="T41"/>
      <c r="U41"/>
      <c r="Y41" s="180">
        <f t="shared" si="10"/>
        <v>0</v>
      </c>
      <c r="Z41" s="181">
        <f t="shared" si="11"/>
        <v>5.6137269999989581E-4</v>
      </c>
      <c r="AA41" s="196" t="str">
        <f t="shared" si="12"/>
        <v/>
      </c>
      <c r="AB41" s="204">
        <f t="shared" si="13"/>
        <v>0</v>
      </c>
      <c r="AI41" s="21"/>
      <c r="AK41" s="183" t="str">
        <f t="shared" si="1"/>
        <v/>
      </c>
      <c r="AL41" s="184" t="str">
        <f t="shared" si="2"/>
        <v/>
      </c>
      <c r="AM41" s="185" t="str">
        <f t="shared" si="3"/>
        <v/>
      </c>
    </row>
    <row r="42" spans="2:39" ht="18" x14ac:dyDescent="0.45">
      <c r="B42" s="22"/>
      <c r="C42" s="224">
        <f t="shared" si="0"/>
        <v>61.541666666666664</v>
      </c>
      <c r="D42" s="120">
        <v>19</v>
      </c>
      <c r="E42" s="167">
        <f t="shared" si="4"/>
        <v>61</v>
      </c>
      <c r="F42" s="168">
        <f t="shared" si="5"/>
        <v>6.5</v>
      </c>
      <c r="G42" s="192">
        <f t="shared" si="6"/>
        <v>1.5416666666666665</v>
      </c>
      <c r="H42" s="169">
        <f>IF(D42&lt;=$N$12+1,'死亡率（標準生命表）'!M22,0)</f>
        <v>5.6137270000000683E-4</v>
      </c>
      <c r="I42" s="170">
        <f>IF(D42&lt;$N$12+1,'死亡率（標準生命表）'!N23,IF(D42=$N$12+1,I41,0))</f>
        <v>0.98965039110000008</v>
      </c>
      <c r="J42" s="171">
        <f>IF(E42="",0,CalcPut($G$10,$G$14,$G$11,$G$12,$G$13,G42))</f>
        <v>26.294706680605895</v>
      </c>
      <c r="M42" s="130">
        <f t="shared" si="7"/>
        <v>26.294706680605895</v>
      </c>
      <c r="N42" s="234">
        <f t="shared" si="8"/>
        <v>5.6137270000000683E-4</v>
      </c>
      <c r="O42" s="203">
        <f t="shared" si="9"/>
        <v>1.4761130484999949E-2</v>
      </c>
      <c r="P42"/>
      <c r="R42"/>
      <c r="S42"/>
      <c r="T42"/>
      <c r="U42"/>
      <c r="Y42" s="180">
        <f t="shared" si="10"/>
        <v>0</v>
      </c>
      <c r="Z42" s="181">
        <f t="shared" si="11"/>
        <v>5.6137270000000683E-4</v>
      </c>
      <c r="AA42" s="196" t="str">
        <f t="shared" si="12"/>
        <v/>
      </c>
      <c r="AB42" s="204">
        <f t="shared" si="13"/>
        <v>0</v>
      </c>
      <c r="AI42" s="21"/>
      <c r="AK42" s="183" t="str">
        <f t="shared" si="1"/>
        <v/>
      </c>
      <c r="AL42" s="184" t="str">
        <f t="shared" si="2"/>
        <v/>
      </c>
      <c r="AM42" s="185" t="str">
        <f t="shared" si="3"/>
        <v/>
      </c>
    </row>
    <row r="43" spans="2:39" ht="18" x14ac:dyDescent="0.45">
      <c r="B43" s="22"/>
      <c r="C43" s="224">
        <f t="shared" si="0"/>
        <v>61.625</v>
      </c>
      <c r="D43" s="120">
        <v>20</v>
      </c>
      <c r="E43" s="167">
        <f t="shared" si="4"/>
        <v>61</v>
      </c>
      <c r="F43" s="168">
        <f t="shared" si="5"/>
        <v>7.5</v>
      </c>
      <c r="G43" s="192">
        <f t="shared" si="6"/>
        <v>1.625</v>
      </c>
      <c r="H43" s="169">
        <f>IF(D43&lt;=$N$12+1,'死亡率（標準生命表）'!M23,0)</f>
        <v>5.6137270000000683E-4</v>
      </c>
      <c r="I43" s="170">
        <f>IF(D43&lt;$N$12+1,'死亡率（標準生命表）'!N24,IF(D43=$N$12+1,I42,0))</f>
        <v>0.98908901840000008</v>
      </c>
      <c r="J43" s="171">
        <f>IF(E43="",0,CalcPut($G$10,$G$14,$G$11,$G$12,$G$13,G43))</f>
        <v>27.025383590420031</v>
      </c>
      <c r="M43" s="130">
        <f t="shared" si="7"/>
        <v>27.025383590420031</v>
      </c>
      <c r="N43" s="234">
        <f t="shared" si="8"/>
        <v>5.6137270000000683E-4</v>
      </c>
      <c r="O43" s="203">
        <f t="shared" si="9"/>
        <v>1.5171312554689972E-2</v>
      </c>
      <c r="P43"/>
      <c r="R43"/>
      <c r="S43"/>
      <c r="T43"/>
      <c r="U43"/>
      <c r="Y43" s="180">
        <f t="shared" si="10"/>
        <v>0</v>
      </c>
      <c r="Z43" s="181">
        <f t="shared" si="11"/>
        <v>5.6137270000000683E-4</v>
      </c>
      <c r="AA43" s="196" t="str">
        <f t="shared" si="12"/>
        <v/>
      </c>
      <c r="AB43" s="204">
        <f t="shared" si="13"/>
        <v>0</v>
      </c>
      <c r="AI43" s="21"/>
      <c r="AK43" s="183" t="str">
        <f t="shared" si="1"/>
        <v/>
      </c>
      <c r="AL43" s="184" t="str">
        <f t="shared" si="2"/>
        <v/>
      </c>
      <c r="AM43" s="185" t="str">
        <f t="shared" si="3"/>
        <v/>
      </c>
    </row>
    <row r="44" spans="2:39" ht="18" x14ac:dyDescent="0.45">
      <c r="B44" s="22"/>
      <c r="C44" s="224">
        <f t="shared" si="0"/>
        <v>61.708333333333336</v>
      </c>
      <c r="D44" s="120">
        <v>21</v>
      </c>
      <c r="E44" s="167">
        <f t="shared" si="4"/>
        <v>61</v>
      </c>
      <c r="F44" s="168">
        <f t="shared" si="5"/>
        <v>8.5</v>
      </c>
      <c r="G44" s="192">
        <f t="shared" si="6"/>
        <v>1.7083333333333335</v>
      </c>
      <c r="H44" s="169">
        <f>IF(D44&lt;=$N$12+1,'死亡率（標準生命表）'!M24,0)</f>
        <v>5.6137270000000683E-4</v>
      </c>
      <c r="I44" s="170">
        <f>IF(D44&lt;$N$12+1,'死亡率（標準生命表）'!N25,IF(D44=$N$12+1,I43,0))</f>
        <v>0.98852764570000007</v>
      </c>
      <c r="J44" s="171">
        <f>IF(E44="",0,CalcPut($G$10,$G$14,$G$11,$G$12,$G$13,G44))</f>
        <v>27.738347426574588</v>
      </c>
      <c r="M44" s="130">
        <f t="shared" si="7"/>
        <v>27.738347426574588</v>
      </c>
      <c r="N44" s="234">
        <f t="shared" si="8"/>
        <v>5.6137270000000683E-4</v>
      </c>
      <c r="O44" s="203">
        <f t="shared" si="9"/>
        <v>1.5571550988394418E-2</v>
      </c>
      <c r="P44"/>
      <c r="R44"/>
      <c r="S44"/>
      <c r="T44"/>
      <c r="U44"/>
      <c r="Y44" s="180">
        <f t="shared" si="10"/>
        <v>0</v>
      </c>
      <c r="Z44" s="181">
        <f t="shared" si="11"/>
        <v>5.6137270000000683E-4</v>
      </c>
      <c r="AA44" s="196" t="str">
        <f t="shared" si="12"/>
        <v/>
      </c>
      <c r="AB44" s="204">
        <f t="shared" si="13"/>
        <v>0</v>
      </c>
      <c r="AI44" s="21"/>
      <c r="AK44" s="183" t="str">
        <f t="shared" si="1"/>
        <v/>
      </c>
      <c r="AL44" s="184" t="str">
        <f t="shared" si="2"/>
        <v/>
      </c>
      <c r="AM44" s="185" t="str">
        <f t="shared" si="3"/>
        <v/>
      </c>
    </row>
    <row r="45" spans="2:39" ht="18" x14ac:dyDescent="0.45">
      <c r="B45" s="22"/>
      <c r="C45" s="224">
        <f t="shared" si="0"/>
        <v>61.791666666666664</v>
      </c>
      <c r="D45" s="120">
        <v>22</v>
      </c>
      <c r="E45" s="167">
        <f t="shared" si="4"/>
        <v>61</v>
      </c>
      <c r="F45" s="168">
        <f t="shared" si="5"/>
        <v>9.5</v>
      </c>
      <c r="G45" s="192">
        <f t="shared" si="6"/>
        <v>1.7916666666666665</v>
      </c>
      <c r="H45" s="169">
        <f>IF(D45&lt;=$N$12+1,'死亡率（標準生命表）'!M25,0)</f>
        <v>5.6137270000000683E-4</v>
      </c>
      <c r="I45" s="170">
        <f>IF(D45&lt;$N$12+1,'死亡率（標準生命表）'!N26,IF(D45=$N$12+1,I44,0))</f>
        <v>0.98796627300000006</v>
      </c>
      <c r="J45" s="171">
        <f>IF(E45="",0,CalcPut($G$10,$G$14,$G$11,$G$12,$G$13,G45))</f>
        <v>28.434830022907231</v>
      </c>
      <c r="M45" s="130">
        <f t="shared" si="7"/>
        <v>28.434830022907231</v>
      </c>
      <c r="N45" s="234">
        <f t="shared" si="8"/>
        <v>5.6137270000000683E-4</v>
      </c>
      <c r="O45" s="203">
        <f t="shared" si="9"/>
        <v>1.5962537304000688E-2</v>
      </c>
      <c r="P45"/>
      <c r="R45"/>
      <c r="S45"/>
      <c r="T45"/>
      <c r="U45"/>
      <c r="Y45" s="180">
        <f t="shared" si="10"/>
        <v>0</v>
      </c>
      <c r="Z45" s="181">
        <f t="shared" si="11"/>
        <v>5.6137270000000683E-4</v>
      </c>
      <c r="AA45" s="196" t="str">
        <f t="shared" si="12"/>
        <v/>
      </c>
      <c r="AB45" s="204">
        <f t="shared" si="13"/>
        <v>0</v>
      </c>
      <c r="AI45" s="21"/>
      <c r="AK45" s="183" t="str">
        <f t="shared" si="1"/>
        <v/>
      </c>
      <c r="AL45" s="184" t="str">
        <f t="shared" si="2"/>
        <v/>
      </c>
      <c r="AM45" s="185" t="str">
        <f t="shared" si="3"/>
        <v/>
      </c>
    </row>
    <row r="46" spans="2:39" ht="18" x14ac:dyDescent="0.45">
      <c r="B46" s="22"/>
      <c r="C46" s="224">
        <f t="shared" si="0"/>
        <v>61.875</v>
      </c>
      <c r="D46" s="120">
        <v>23</v>
      </c>
      <c r="E46" s="167">
        <f t="shared" si="4"/>
        <v>61</v>
      </c>
      <c r="F46" s="168">
        <f t="shared" si="5"/>
        <v>10.5</v>
      </c>
      <c r="G46" s="192">
        <f t="shared" si="6"/>
        <v>1.875</v>
      </c>
      <c r="H46" s="169">
        <f>IF(D46&lt;=$N$12+1,'死亡率（標準生命表）'!M26,0)</f>
        <v>5.6137270000000683E-4</v>
      </c>
      <c r="I46" s="170">
        <f>IF(D46&lt;$N$12+1,'死亡率（標準生命表）'!N27,IF(D46=$N$12+1,I45,0))</f>
        <v>0.98740490030000005</v>
      </c>
      <c r="J46" s="171">
        <f>IF(E46="",0,CalcPut($G$10,$G$14,$G$11,$G$12,$G$13,G46))</f>
        <v>29.11592248937156</v>
      </c>
      <c r="M46" s="130">
        <f t="shared" si="7"/>
        <v>29.11592248937156</v>
      </c>
      <c r="N46" s="234">
        <f t="shared" si="8"/>
        <v>5.6137270000000683E-4</v>
      </c>
      <c r="O46" s="203">
        <f t="shared" si="9"/>
        <v>1.6344884020849434E-2</v>
      </c>
      <c r="P46"/>
      <c r="R46"/>
      <c r="S46"/>
      <c r="T46"/>
      <c r="U46"/>
      <c r="Y46" s="180">
        <f t="shared" si="10"/>
        <v>0</v>
      </c>
      <c r="Z46" s="181">
        <f t="shared" si="11"/>
        <v>5.6137270000000683E-4</v>
      </c>
      <c r="AA46" s="196" t="str">
        <f t="shared" si="12"/>
        <v/>
      </c>
      <c r="AB46" s="204">
        <f t="shared" si="13"/>
        <v>0</v>
      </c>
      <c r="AI46" s="21"/>
      <c r="AK46" s="183" t="str">
        <f t="shared" si="1"/>
        <v/>
      </c>
      <c r="AL46" s="184" t="str">
        <f t="shared" si="2"/>
        <v/>
      </c>
      <c r="AM46" s="185" t="str">
        <f t="shared" si="3"/>
        <v/>
      </c>
    </row>
    <row r="47" spans="2:39" ht="18" x14ac:dyDescent="0.45">
      <c r="B47" s="22"/>
      <c r="C47" s="224">
        <f t="shared" si="0"/>
        <v>61.958333333333336</v>
      </c>
      <c r="D47" s="120">
        <v>24</v>
      </c>
      <c r="E47" s="167">
        <f t="shared" si="4"/>
        <v>61</v>
      </c>
      <c r="F47" s="168">
        <f t="shared" si="5"/>
        <v>11.5</v>
      </c>
      <c r="G47" s="192">
        <f t="shared" si="6"/>
        <v>1.9583333333333335</v>
      </c>
      <c r="H47" s="169">
        <f>IF(D47&lt;=$N$12+1,'死亡率（標準生命表）'!M27,0)</f>
        <v>5.6137270000000683E-4</v>
      </c>
      <c r="I47" s="170">
        <f>IF(D47&lt;$N$12+1,'死亡率（標準生命表）'!N28,IF(D47=$N$12+1,I46,0))</f>
        <v>0.98684352760000005</v>
      </c>
      <c r="J47" s="171">
        <f>IF(E47="",0,CalcPut($G$10,$G$14,$G$11,$G$12,$G$13,G47))</f>
        <v>29.782596825984477</v>
      </c>
      <c r="M47" s="130">
        <f t="shared" si="7"/>
        <v>29.782596825984477</v>
      </c>
      <c r="N47" s="234">
        <f t="shared" si="8"/>
        <v>5.6137270000000683E-4</v>
      </c>
      <c r="O47" s="203">
        <f t="shared" si="9"/>
        <v>1.6719136793214538E-2</v>
      </c>
      <c r="P47"/>
      <c r="R47"/>
      <c r="S47"/>
      <c r="T47"/>
      <c r="U47"/>
      <c r="Y47" s="180">
        <f t="shared" si="10"/>
        <v>0</v>
      </c>
      <c r="Z47" s="181">
        <f t="shared" si="11"/>
        <v>5.6137270000000683E-4</v>
      </c>
      <c r="AA47" s="196" t="str">
        <f t="shared" si="12"/>
        <v/>
      </c>
      <c r="AB47" s="204">
        <f t="shared" si="13"/>
        <v>0</v>
      </c>
      <c r="AI47" s="21"/>
      <c r="AK47" s="183" t="str">
        <f t="shared" si="1"/>
        <v/>
      </c>
      <c r="AL47" s="184" t="str">
        <f t="shared" si="2"/>
        <v/>
      </c>
      <c r="AM47" s="185" t="str">
        <f t="shared" si="3"/>
        <v/>
      </c>
    </row>
    <row r="48" spans="2:39" ht="18" x14ac:dyDescent="0.45">
      <c r="B48" s="22"/>
      <c r="C48" s="224">
        <f t="shared" si="0"/>
        <v>62.041666666666664</v>
      </c>
      <c r="D48" s="120">
        <v>25</v>
      </c>
      <c r="E48" s="167">
        <f t="shared" si="4"/>
        <v>62</v>
      </c>
      <c r="F48" s="168">
        <f t="shared" si="5"/>
        <v>0.5</v>
      </c>
      <c r="G48" s="192">
        <f t="shared" si="6"/>
        <v>2.0416666666666665</v>
      </c>
      <c r="H48" s="169">
        <f>IF(D48&lt;=$N$12+1,'死亡率（標準生命表）'!M28,0)</f>
        <v>6.0608639986770019E-4</v>
      </c>
      <c r="I48" s="170">
        <f>IF(D48&lt;$N$12+1,'死亡率（標準生命表）'!N29,IF(D48=$N$12+1,I47,0))</f>
        <v>0.98623744120013235</v>
      </c>
      <c r="J48" s="171">
        <f>IF(E48="",0,CalcPut($G$10,$G$14,$G$11,$G$12,$G$13,G48))</f>
        <v>30.435723442356117</v>
      </c>
      <c r="M48" s="130">
        <f t="shared" si="7"/>
        <v>30.435723442356117</v>
      </c>
      <c r="N48" s="234">
        <f t="shared" si="8"/>
        <v>6.0608639986770019E-4</v>
      </c>
      <c r="O48" s="203">
        <f t="shared" si="9"/>
        <v>1.8446678048546584E-2</v>
      </c>
      <c r="P48"/>
      <c r="R48"/>
      <c r="S48"/>
      <c r="T48"/>
      <c r="U48"/>
      <c r="Y48" s="180">
        <f t="shared" si="10"/>
        <v>0</v>
      </c>
      <c r="Z48" s="181">
        <f t="shared" si="11"/>
        <v>6.0608639986770019E-4</v>
      </c>
      <c r="AA48" s="196" t="str">
        <f t="shared" si="12"/>
        <v/>
      </c>
      <c r="AB48" s="204">
        <f t="shared" si="13"/>
        <v>0</v>
      </c>
      <c r="AI48" s="21"/>
      <c r="AK48" s="183" t="str">
        <f t="shared" si="1"/>
        <v/>
      </c>
      <c r="AL48" s="184" t="str">
        <f t="shared" si="2"/>
        <v/>
      </c>
      <c r="AM48" s="185" t="str">
        <f t="shared" si="3"/>
        <v/>
      </c>
    </row>
    <row r="49" spans="2:39" ht="18" x14ac:dyDescent="0.45">
      <c r="B49" s="22"/>
      <c r="C49" s="224">
        <f t="shared" si="0"/>
        <v>62.125</v>
      </c>
      <c r="D49" s="120">
        <v>26</v>
      </c>
      <c r="E49" s="167">
        <f t="shared" si="4"/>
        <v>62</v>
      </c>
      <c r="F49" s="168">
        <f t="shared" si="5"/>
        <v>1.5</v>
      </c>
      <c r="G49" s="192">
        <f t="shared" si="6"/>
        <v>2.125</v>
      </c>
      <c r="H49" s="169">
        <f>IF(D49&lt;=$N$12+1,'死亡率（標準生命表）'!M29,0)</f>
        <v>6.0608639986758917E-4</v>
      </c>
      <c r="I49" s="170">
        <f>IF(D49&lt;$N$12+1,'死亡率（標準生命表）'!N30,IF(D49=$N$12+1,I48,0))</f>
        <v>0.98563135480026476</v>
      </c>
      <c r="J49" s="171">
        <f>IF(E49="",0,CalcPut($G$10,$G$14,$G$11,$G$12,$G$13,G49))</f>
        <v>31.076085493135356</v>
      </c>
      <c r="M49" s="130">
        <f t="shared" si="7"/>
        <v>31.076085493135356</v>
      </c>
      <c r="N49" s="234">
        <f t="shared" si="8"/>
        <v>6.0608639986758917E-4</v>
      </c>
      <c r="O49" s="203">
        <f t="shared" si="9"/>
        <v>1.883479277851182E-2</v>
      </c>
      <c r="P49"/>
      <c r="R49"/>
      <c r="S49"/>
      <c r="T49"/>
      <c r="U49"/>
      <c r="Y49" s="180">
        <f t="shared" si="10"/>
        <v>0</v>
      </c>
      <c r="Z49" s="181">
        <f t="shared" si="11"/>
        <v>6.0608639986758917E-4</v>
      </c>
      <c r="AA49" s="196" t="str">
        <f t="shared" si="12"/>
        <v/>
      </c>
      <c r="AB49" s="204">
        <f t="shared" si="13"/>
        <v>0</v>
      </c>
      <c r="AI49" s="21"/>
      <c r="AK49" s="183" t="str">
        <f t="shared" si="1"/>
        <v/>
      </c>
      <c r="AL49" s="184" t="str">
        <f t="shared" si="2"/>
        <v/>
      </c>
      <c r="AM49" s="185" t="str">
        <f t="shared" si="3"/>
        <v/>
      </c>
    </row>
    <row r="50" spans="2:39" ht="18" x14ac:dyDescent="0.45">
      <c r="B50" s="22"/>
      <c r="C50" s="224">
        <f t="shared" si="0"/>
        <v>62.208333333333336</v>
      </c>
      <c r="D50" s="120">
        <v>27</v>
      </c>
      <c r="E50" s="167">
        <f t="shared" si="4"/>
        <v>62</v>
      </c>
      <c r="F50" s="168">
        <f t="shared" si="5"/>
        <v>2.5</v>
      </c>
      <c r="G50" s="192">
        <f t="shared" si="6"/>
        <v>2.2083333333333335</v>
      </c>
      <c r="H50" s="169">
        <f>IF(D50&lt;=$N$12+1,'死亡率（標準生命表）'!M30,0)</f>
        <v>6.0608639986770019E-4</v>
      </c>
      <c r="I50" s="170">
        <f>IF(D50&lt;$N$12+1,'死亡率（標準生命表）'!N31,IF(D50=$N$12+1,I49,0))</f>
        <v>0.98502526840039706</v>
      </c>
      <c r="J50" s="171">
        <f>IF(E50="",0,CalcPut($G$10,$G$14,$G$11,$G$12,$G$13,G50))</f>
        <v>31.704390709697002</v>
      </c>
      <c r="M50" s="130">
        <f t="shared" si="7"/>
        <v>31.704390709697002</v>
      </c>
      <c r="N50" s="234">
        <f t="shared" si="8"/>
        <v>6.0608639986770019E-4</v>
      </c>
      <c r="O50" s="203">
        <f t="shared" si="9"/>
        <v>1.9215600025239216E-2</v>
      </c>
      <c r="P50"/>
      <c r="R50"/>
      <c r="S50"/>
      <c r="T50"/>
      <c r="U50"/>
      <c r="Y50" s="180">
        <f t="shared" si="10"/>
        <v>0</v>
      </c>
      <c r="Z50" s="181">
        <f t="shared" si="11"/>
        <v>6.0608639986770019E-4</v>
      </c>
      <c r="AA50" s="196" t="str">
        <f t="shared" si="12"/>
        <v/>
      </c>
      <c r="AB50" s="204">
        <f t="shared" si="13"/>
        <v>0</v>
      </c>
      <c r="AI50" s="21"/>
      <c r="AK50" s="183" t="str">
        <f t="shared" si="1"/>
        <v/>
      </c>
      <c r="AL50" s="184" t="str">
        <f t="shared" si="2"/>
        <v/>
      </c>
      <c r="AM50" s="185" t="str">
        <f t="shared" si="3"/>
        <v/>
      </c>
    </row>
    <row r="51" spans="2:39" ht="18" x14ac:dyDescent="0.45">
      <c r="B51" s="22"/>
      <c r="C51" s="224">
        <f t="shared" si="0"/>
        <v>62.291666666666664</v>
      </c>
      <c r="D51" s="120">
        <v>28</v>
      </c>
      <c r="E51" s="167">
        <f t="shared" si="4"/>
        <v>62</v>
      </c>
      <c r="F51" s="168">
        <f t="shared" si="5"/>
        <v>3.5</v>
      </c>
      <c r="G51" s="192">
        <f t="shared" si="6"/>
        <v>2.2916666666666665</v>
      </c>
      <c r="H51" s="169">
        <f>IF(D51&lt;=$N$12+1,'死亡率（標準生命表）'!M31,0)</f>
        <v>6.0608639986758917E-4</v>
      </c>
      <c r="I51" s="170">
        <f>IF(D51&lt;$N$12+1,'死亡率（標準生命表）'!N32,IF(D51=$N$12+1,I50,0))</f>
        <v>0.98441918200052947</v>
      </c>
      <c r="J51" s="171">
        <f>IF(E51="",0,CalcPut($G$10,$G$14,$G$11,$G$12,$G$13,G51))</f>
        <v>32.321281242954115</v>
      </c>
      <c r="M51" s="130">
        <f t="shared" si="7"/>
        <v>32.321281242954115</v>
      </c>
      <c r="N51" s="234">
        <f t="shared" si="8"/>
        <v>6.0608639986758917E-4</v>
      </c>
      <c r="O51" s="203">
        <f t="shared" si="9"/>
        <v>1.9589488987649898E-2</v>
      </c>
      <c r="P51"/>
      <c r="R51"/>
      <c r="S51"/>
      <c r="T51"/>
      <c r="U51"/>
      <c r="Y51" s="180">
        <f t="shared" si="10"/>
        <v>0</v>
      </c>
      <c r="Z51" s="181">
        <f t="shared" si="11"/>
        <v>6.0608639986758917E-4</v>
      </c>
      <c r="AA51" s="196" t="str">
        <f t="shared" si="12"/>
        <v/>
      </c>
      <c r="AB51" s="204">
        <f t="shared" si="13"/>
        <v>0</v>
      </c>
      <c r="AI51" s="21"/>
      <c r="AK51" s="183" t="str">
        <f t="shared" si="1"/>
        <v/>
      </c>
      <c r="AL51" s="184" t="str">
        <f t="shared" si="2"/>
        <v/>
      </c>
      <c r="AM51" s="185" t="str">
        <f t="shared" si="3"/>
        <v/>
      </c>
    </row>
    <row r="52" spans="2:39" ht="18" x14ac:dyDescent="0.45">
      <c r="B52" s="22"/>
      <c r="C52" s="224">
        <f t="shared" si="0"/>
        <v>62.375</v>
      </c>
      <c r="D52" s="120">
        <v>29</v>
      </c>
      <c r="E52" s="167">
        <f t="shared" si="4"/>
        <v>62</v>
      </c>
      <c r="F52" s="168">
        <f t="shared" si="5"/>
        <v>4.5</v>
      </c>
      <c r="G52" s="192">
        <f t="shared" si="6"/>
        <v>2.375</v>
      </c>
      <c r="H52" s="169">
        <f>IF(D52&lt;=$N$12+1,'死亡率（標準生命表）'!M32,0)</f>
        <v>6.0608639986781121E-4</v>
      </c>
      <c r="I52" s="170">
        <f>IF(D52&lt;$N$12+1,'死亡率（標準生命表）'!N33,IF(D52=$N$12+1,I51,0))</f>
        <v>0.98381309560066166</v>
      </c>
      <c r="J52" s="171">
        <f>IF(E52="",0,CalcPut($G$10,$G$14,$G$11,$G$12,$G$13,G52))</f>
        <v>32.9273419114989</v>
      </c>
      <c r="M52" s="130">
        <f t="shared" si="7"/>
        <v>32.9273419114989</v>
      </c>
      <c r="N52" s="234">
        <f t="shared" si="8"/>
        <v>6.0608639986781121E-4</v>
      </c>
      <c r="O52" s="203">
        <f t="shared" si="9"/>
        <v>1.9956814116356861E-2</v>
      </c>
      <c r="P52"/>
      <c r="R52"/>
      <c r="S52"/>
      <c r="T52"/>
      <c r="U52"/>
      <c r="Y52" s="180">
        <f t="shared" si="10"/>
        <v>0</v>
      </c>
      <c r="Z52" s="181">
        <f t="shared" si="11"/>
        <v>6.0608639986781121E-4</v>
      </c>
      <c r="AA52" s="196" t="str">
        <f t="shared" si="12"/>
        <v/>
      </c>
      <c r="AB52" s="204">
        <f t="shared" si="13"/>
        <v>0</v>
      </c>
      <c r="AI52" s="21"/>
      <c r="AK52" s="183" t="str">
        <f t="shared" si="1"/>
        <v/>
      </c>
      <c r="AL52" s="184" t="str">
        <f t="shared" si="2"/>
        <v/>
      </c>
      <c r="AM52" s="185" t="str">
        <f t="shared" si="3"/>
        <v/>
      </c>
    </row>
    <row r="53" spans="2:39" ht="18" x14ac:dyDescent="0.45">
      <c r="B53" s="22"/>
      <c r="C53" s="224">
        <f t="shared" si="0"/>
        <v>62.458333333333336</v>
      </c>
      <c r="D53" s="120">
        <v>30</v>
      </c>
      <c r="E53" s="167">
        <f t="shared" si="4"/>
        <v>62</v>
      </c>
      <c r="F53" s="168">
        <f t="shared" si="5"/>
        <v>5.5</v>
      </c>
      <c r="G53" s="192">
        <f t="shared" si="6"/>
        <v>2.4583333333333335</v>
      </c>
      <c r="H53" s="169">
        <f>IF(D53&lt;=$N$12+1,'死亡率（標準生命表）'!M33,0)</f>
        <v>6.0608639986758917E-4</v>
      </c>
      <c r="I53" s="170">
        <f>IF(D53&lt;$N$12+1,'死亡率（標準生命表）'!N34,IF(D53=$N$12+1,I52,0))</f>
        <v>0.98320700920079407</v>
      </c>
      <c r="J53" s="171">
        <f>IF(E53="",0,CalcPut($G$10,$G$14,$G$11,$G$12,$G$13,G53))</f>
        <v>33.523107160106974</v>
      </c>
      <c r="M53" s="130">
        <f t="shared" si="7"/>
        <v>33.523107160106974</v>
      </c>
      <c r="N53" s="234">
        <f t="shared" si="8"/>
        <v>6.0608639986758917E-4</v>
      </c>
      <c r="O53" s="203">
        <f t="shared" si="9"/>
        <v>2.0317899331044637E-2</v>
      </c>
      <c r="P53"/>
      <c r="R53"/>
      <c r="S53"/>
      <c r="T53"/>
      <c r="U53"/>
      <c r="Y53" s="180">
        <f t="shared" si="10"/>
        <v>0</v>
      </c>
      <c r="Z53" s="181">
        <f t="shared" si="11"/>
        <v>6.0608639986758917E-4</v>
      </c>
      <c r="AA53" s="196" t="str">
        <f t="shared" si="12"/>
        <v/>
      </c>
      <c r="AB53" s="204">
        <f t="shared" si="13"/>
        <v>0</v>
      </c>
      <c r="AI53" s="21"/>
      <c r="AK53" s="183" t="str">
        <f t="shared" si="1"/>
        <v/>
      </c>
      <c r="AL53" s="184" t="str">
        <f t="shared" si="2"/>
        <v/>
      </c>
      <c r="AM53" s="185" t="str">
        <f t="shared" si="3"/>
        <v/>
      </c>
    </row>
    <row r="54" spans="2:39" ht="18" x14ac:dyDescent="0.45">
      <c r="B54" s="22"/>
      <c r="C54" s="224">
        <f t="shared" si="0"/>
        <v>62.541666666666664</v>
      </c>
      <c r="D54" s="120">
        <v>31</v>
      </c>
      <c r="E54" s="167">
        <f t="shared" si="4"/>
        <v>62</v>
      </c>
      <c r="F54" s="168">
        <f t="shared" si="5"/>
        <v>6.5</v>
      </c>
      <c r="G54" s="192">
        <f t="shared" si="6"/>
        <v>2.5416666666666665</v>
      </c>
      <c r="H54" s="169">
        <f>IF(D54&lt;=$N$12+1,'死亡率（標準生命表）'!M34,0)</f>
        <v>6.0608639986758917E-4</v>
      </c>
      <c r="I54" s="170">
        <f>IF(D54&lt;$N$12+1,'死亡率（標準生命表）'!N35,IF(D54=$N$12+1,I53,0))</f>
        <v>0.98260092280092648</v>
      </c>
      <c r="J54" s="171">
        <f>IF(E54="",0,CalcPut($G$10,$G$14,$G$11,$G$12,$G$13,G54))</f>
        <v>34.109066966968577</v>
      </c>
      <c r="M54" s="130">
        <f t="shared" si="7"/>
        <v>34.109066966968577</v>
      </c>
      <c r="N54" s="234">
        <f t="shared" si="8"/>
        <v>6.0608639986758917E-4</v>
      </c>
      <c r="O54" s="203">
        <f t="shared" si="9"/>
        <v>2.0673041600852492E-2</v>
      </c>
      <c r="P54"/>
      <c r="R54"/>
      <c r="S54"/>
      <c r="T54"/>
      <c r="U54"/>
      <c r="Y54" s="180">
        <f t="shared" si="10"/>
        <v>0</v>
      </c>
      <c r="Z54" s="181">
        <f t="shared" si="11"/>
        <v>6.0608639986758917E-4</v>
      </c>
      <c r="AA54" s="196" t="str">
        <f t="shared" si="12"/>
        <v/>
      </c>
      <c r="AB54" s="204">
        <f t="shared" si="13"/>
        <v>0</v>
      </c>
      <c r="AI54" s="21"/>
      <c r="AK54" s="183" t="str">
        <f t="shared" si="1"/>
        <v/>
      </c>
      <c r="AL54" s="184" t="str">
        <f t="shared" si="2"/>
        <v/>
      </c>
      <c r="AM54" s="185" t="str">
        <f t="shared" si="3"/>
        <v/>
      </c>
    </row>
    <row r="55" spans="2:39" ht="18" x14ac:dyDescent="0.45">
      <c r="B55" s="22"/>
      <c r="C55" s="224">
        <f t="shared" si="0"/>
        <v>62.625</v>
      </c>
      <c r="D55" s="120">
        <v>32</v>
      </c>
      <c r="E55" s="167">
        <f t="shared" si="4"/>
        <v>62</v>
      </c>
      <c r="F55" s="168">
        <f t="shared" si="5"/>
        <v>7.5</v>
      </c>
      <c r="G55" s="192">
        <f t="shared" si="6"/>
        <v>2.625</v>
      </c>
      <c r="H55" s="169">
        <f>IF(D55&lt;=$N$12+1,'死亡率（標準生命表）'!M35,0)</f>
        <v>6.0608639986781121E-4</v>
      </c>
      <c r="I55" s="170">
        <f>IF(D55&lt;$N$12+1,'死亡率（標準生命表）'!N36,IF(D55=$N$12+1,I54,0))</f>
        <v>0.98199483640105867</v>
      </c>
      <c r="J55" s="171">
        <f>IF(E55="",0,CalcPut($G$10,$G$14,$G$11,$G$12,$G$13,G55))</f>
        <v>34.685671887615719</v>
      </c>
      <c r="M55" s="130">
        <f t="shared" si="7"/>
        <v>34.685671887615719</v>
      </c>
      <c r="N55" s="234">
        <f t="shared" si="8"/>
        <v>6.0608639986781121E-4</v>
      </c>
      <c r="O55" s="203">
        <f t="shared" si="9"/>
        <v>2.102251400136116E-2</v>
      </c>
      <c r="P55"/>
      <c r="R55"/>
      <c r="S55"/>
      <c r="T55"/>
      <c r="U55"/>
      <c r="Y55" s="180">
        <f t="shared" si="10"/>
        <v>0</v>
      </c>
      <c r="Z55" s="181">
        <f t="shared" si="11"/>
        <v>6.0608639986781121E-4</v>
      </c>
      <c r="AA55" s="196" t="str">
        <f t="shared" si="12"/>
        <v/>
      </c>
      <c r="AB55" s="204">
        <f t="shared" si="13"/>
        <v>0</v>
      </c>
      <c r="AI55" s="21"/>
      <c r="AK55" s="183" t="str">
        <f t="shared" si="1"/>
        <v/>
      </c>
      <c r="AL55" s="184" t="str">
        <f t="shared" si="2"/>
        <v/>
      </c>
      <c r="AM55" s="185" t="str">
        <f t="shared" si="3"/>
        <v/>
      </c>
    </row>
    <row r="56" spans="2:39" ht="18" x14ac:dyDescent="0.45">
      <c r="B56" s="22"/>
      <c r="C56" s="224">
        <f t="shared" si="0"/>
        <v>62.708333333333336</v>
      </c>
      <c r="D56" s="120">
        <v>33</v>
      </c>
      <c r="E56" s="167">
        <f t="shared" si="4"/>
        <v>62</v>
      </c>
      <c r="F56" s="168">
        <f t="shared" si="5"/>
        <v>8.5</v>
      </c>
      <c r="G56" s="192">
        <f t="shared" si="6"/>
        <v>2.7083333333333335</v>
      </c>
      <c r="H56" s="169">
        <f>IF(D56&lt;=$N$12+1,'死亡率（標準生命表）'!M36,0)</f>
        <v>6.0608639986758917E-4</v>
      </c>
      <c r="I56" s="170">
        <f>IF(D56&lt;$N$12+1,'死亡率（標準生命表）'!N37,IF(D56=$N$12+1,I55,0))</f>
        <v>0.98138875000119108</v>
      </c>
      <c r="J56" s="171">
        <f>IF(E56="",0,CalcPut($G$10,$G$14,$G$11,$G$12,$G$13,G56))</f>
        <v>35.253337385019421</v>
      </c>
      <c r="M56" s="130">
        <f t="shared" si="7"/>
        <v>35.253337385019421</v>
      </c>
      <c r="N56" s="234">
        <f t="shared" si="8"/>
        <v>6.0608639986758917E-4</v>
      </c>
      <c r="O56" s="203">
        <f t="shared" si="9"/>
        <v>2.1366568339003911E-2</v>
      </c>
      <c r="P56"/>
      <c r="R56"/>
      <c r="S56"/>
      <c r="T56"/>
      <c r="U56"/>
      <c r="Y56" s="180">
        <f t="shared" si="10"/>
        <v>0</v>
      </c>
      <c r="Z56" s="181">
        <f t="shared" si="11"/>
        <v>6.0608639986758917E-4</v>
      </c>
      <c r="AA56" s="196" t="str">
        <f t="shared" si="12"/>
        <v/>
      </c>
      <c r="AB56" s="204">
        <f t="shared" si="13"/>
        <v>0</v>
      </c>
      <c r="AI56" s="21"/>
      <c r="AK56" s="183" t="str">
        <f t="shared" ref="AK56:AK87" si="14">IF($D56=$N$12+1,$R$23,"")</f>
        <v/>
      </c>
      <c r="AL56" s="184" t="str">
        <f t="shared" ref="AL56:AL87" si="15">IF($D56=$N$12+1,$S$23,"")</f>
        <v/>
      </c>
      <c r="AM56" s="185" t="str">
        <f t="shared" ref="AM56:AM87" si="16">IF($D56=$N$12+1,$T$23,"")</f>
        <v/>
      </c>
    </row>
    <row r="57" spans="2:39" ht="18" x14ac:dyDescent="0.45">
      <c r="B57" s="22"/>
      <c r="C57" s="224">
        <f t="shared" si="0"/>
        <v>62.791666666666664</v>
      </c>
      <c r="D57" s="120">
        <v>34</v>
      </c>
      <c r="E57" s="167">
        <f t="shared" ref="E57:E88" si="17">IF(D57&lt;=$N$12,IF(F57=0.5,E56+1,E56),IF(D57=$N$12+1,E56+1,""))</f>
        <v>62</v>
      </c>
      <c r="F57" s="168">
        <f t="shared" ref="F57:F88" si="18">IF(D57&lt;=$N$12,IF(F56=11.5,0.5,F56+1),IF(D57=$N$12+1,0,""))</f>
        <v>9.5</v>
      </c>
      <c r="G57" s="192">
        <f t="shared" si="6"/>
        <v>2.7916666666666665</v>
      </c>
      <c r="H57" s="169">
        <f>IF(D57&lt;=$N$12+1,'死亡率（標準生命表）'!M37,0)</f>
        <v>6.0608639986770019E-4</v>
      </c>
      <c r="I57" s="170">
        <f>IF(D57&lt;$N$12+1,'死亡率（標準生命表）'!N38,IF(D57=$N$12+1,I56,0))</f>
        <v>0.98078266360132338</v>
      </c>
      <c r="J57" s="171">
        <f>IF(E57="",0,CalcPut($G$10,$G$14,$G$11,$G$12,$G$13,G57))</f>
        <v>35.812447565672443</v>
      </c>
      <c r="M57" s="130">
        <f t="shared" si="7"/>
        <v>35.812447565672443</v>
      </c>
      <c r="N57" s="234">
        <f t="shared" si="8"/>
        <v>6.0608639986770019E-4</v>
      </c>
      <c r="O57" s="203">
        <f t="shared" si="9"/>
        <v>2.1705437415529195E-2</v>
      </c>
      <c r="P57"/>
      <c r="R57"/>
      <c r="S57"/>
      <c r="T57"/>
      <c r="U57"/>
      <c r="Y57" s="180">
        <f t="shared" si="10"/>
        <v>0</v>
      </c>
      <c r="Z57" s="181">
        <f t="shared" si="11"/>
        <v>6.0608639986770019E-4</v>
      </c>
      <c r="AA57" s="196" t="str">
        <f t="shared" si="12"/>
        <v/>
      </c>
      <c r="AB57" s="204">
        <f t="shared" si="13"/>
        <v>0</v>
      </c>
      <c r="AI57" s="21"/>
      <c r="AK57" s="183" t="str">
        <f t="shared" si="14"/>
        <v/>
      </c>
      <c r="AL57" s="184" t="str">
        <f t="shared" si="15"/>
        <v/>
      </c>
      <c r="AM57" s="185" t="str">
        <f t="shared" si="16"/>
        <v/>
      </c>
    </row>
    <row r="58" spans="2:39" ht="18" x14ac:dyDescent="0.45">
      <c r="B58" s="22"/>
      <c r="C58" s="224">
        <f t="shared" si="0"/>
        <v>62.875</v>
      </c>
      <c r="D58" s="120">
        <v>35</v>
      </c>
      <c r="E58" s="167">
        <f t="shared" si="17"/>
        <v>62</v>
      </c>
      <c r="F58" s="168">
        <f t="shared" si="18"/>
        <v>10.5</v>
      </c>
      <c r="G58" s="192">
        <f t="shared" si="6"/>
        <v>2.875</v>
      </c>
      <c r="H58" s="169">
        <f>IF(D58&lt;=$N$12+1,'死亡率（標準生命表）'!M38,0)</f>
        <v>6.0608639986758917E-4</v>
      </c>
      <c r="I58" s="170">
        <f>IF(D58&lt;$N$12+1,'死亡率（標準生命表）'!N39,IF(D58=$N$12+1,I57,0))</f>
        <v>0.98017657720145579</v>
      </c>
      <c r="J58" s="171">
        <f>IF(E58="",0,CalcPut($G$10,$G$14,$G$11,$G$12,$G$13,G58))</f>
        <v>36.363358418389701</v>
      </c>
      <c r="M58" s="130">
        <f t="shared" si="7"/>
        <v>36.363358418389701</v>
      </c>
      <c r="N58" s="234">
        <f t="shared" si="8"/>
        <v>6.0608639986758917E-4</v>
      </c>
      <c r="O58" s="203">
        <f t="shared" si="9"/>
        <v>2.2039336990896604E-2</v>
      </c>
      <c r="P58"/>
      <c r="R58"/>
      <c r="S58"/>
      <c r="T58"/>
      <c r="U58"/>
      <c r="Y58" s="180">
        <f t="shared" si="10"/>
        <v>0</v>
      </c>
      <c r="Z58" s="181">
        <f t="shared" si="11"/>
        <v>6.0608639986758917E-4</v>
      </c>
      <c r="AA58" s="196" t="str">
        <f t="shared" si="12"/>
        <v/>
      </c>
      <c r="AB58" s="204">
        <f t="shared" si="13"/>
        <v>0</v>
      </c>
      <c r="AI58" s="21"/>
      <c r="AK58" s="183" t="str">
        <f t="shared" si="14"/>
        <v/>
      </c>
      <c r="AL58" s="184" t="str">
        <f t="shared" si="15"/>
        <v/>
      </c>
      <c r="AM58" s="185" t="str">
        <f t="shared" si="16"/>
        <v/>
      </c>
    </row>
    <row r="59" spans="2:39" ht="18" x14ac:dyDescent="0.45">
      <c r="B59" s="22"/>
      <c r="C59" s="224">
        <f t="shared" si="0"/>
        <v>62.958333333333336</v>
      </c>
      <c r="D59" s="120">
        <v>36</v>
      </c>
      <c r="E59" s="167">
        <f t="shared" si="17"/>
        <v>62</v>
      </c>
      <c r="F59" s="168">
        <f t="shared" si="18"/>
        <v>11.5</v>
      </c>
      <c r="G59" s="192">
        <f t="shared" si="6"/>
        <v>2.9583333333333335</v>
      </c>
      <c r="H59" s="169">
        <f>IF(D59&lt;=$N$12+1,'死亡率（標準生命表）'!M39,0)</f>
        <v>6.0608639986770019E-4</v>
      </c>
      <c r="I59" s="170">
        <f>IF(D59&lt;$N$12+1,'死亡率（標準生命表）'!N40,IF(D59=$N$12+1,I58,0))</f>
        <v>0.97957049080158809</v>
      </c>
      <c r="J59" s="171">
        <f>IF(E59="",0,CalcPut($G$10,$G$14,$G$11,$G$12,$G$13,G59))</f>
        <v>36.906400634476768</v>
      </c>
      <c r="M59" s="130">
        <f t="shared" si="7"/>
        <v>36.906400634476768</v>
      </c>
      <c r="N59" s="234">
        <f t="shared" si="8"/>
        <v>6.0608639986770019E-4</v>
      </c>
      <c r="O59" s="203">
        <f t="shared" si="9"/>
        <v>2.2368467492625031E-2</v>
      </c>
      <c r="P59"/>
      <c r="R59"/>
      <c r="S59"/>
      <c r="T59"/>
      <c r="U59"/>
      <c r="Y59" s="180">
        <f t="shared" si="10"/>
        <v>0</v>
      </c>
      <c r="Z59" s="181">
        <f t="shared" si="11"/>
        <v>6.0608639986770019E-4</v>
      </c>
      <c r="AA59" s="196" t="str">
        <f t="shared" si="12"/>
        <v/>
      </c>
      <c r="AB59" s="204">
        <f t="shared" si="13"/>
        <v>0</v>
      </c>
      <c r="AI59" s="21"/>
      <c r="AK59" s="183" t="str">
        <f t="shared" si="14"/>
        <v/>
      </c>
      <c r="AL59" s="184" t="str">
        <f t="shared" si="15"/>
        <v/>
      </c>
      <c r="AM59" s="185" t="str">
        <f t="shared" si="16"/>
        <v/>
      </c>
    </row>
    <row r="60" spans="2:39" ht="18" x14ac:dyDescent="0.45">
      <c r="B60" s="22"/>
      <c r="C60" s="224">
        <f t="shared" si="0"/>
        <v>63.041666666666664</v>
      </c>
      <c r="D60" s="120">
        <v>37</v>
      </c>
      <c r="E60" s="167">
        <f t="shared" si="17"/>
        <v>63</v>
      </c>
      <c r="F60" s="168">
        <f t="shared" si="18"/>
        <v>0.5</v>
      </c>
      <c r="G60" s="192">
        <f t="shared" si="6"/>
        <v>3.0416666666666665</v>
      </c>
      <c r="H60" s="169">
        <f>IF(D60&lt;=$N$12+1,'死亡率（標準生命表）'!M40,0)</f>
        <v>6.5957746380640447E-4</v>
      </c>
      <c r="I60" s="170">
        <f>IF(D60&lt;$N$12+1,'死亡率（標準生命表）'!N41,IF(D60=$N$12+1,I59,0))</f>
        <v>0.97891091333778169</v>
      </c>
      <c r="J60" s="171">
        <f>IF(E60="",0,CalcPut($G$10,$G$14,$G$11,$G$12,$G$13,G60))</f>
        <v>37.441882073610216</v>
      </c>
      <c r="M60" s="130">
        <f t="shared" si="7"/>
        <v>37.441882073610216</v>
      </c>
      <c r="N60" s="234">
        <f t="shared" si="8"/>
        <v>6.5957746380640447E-4</v>
      </c>
      <c r="O60" s="203">
        <f t="shared" si="9"/>
        <v>2.4695821618250308E-2</v>
      </c>
      <c r="P60"/>
      <c r="R60"/>
      <c r="S60"/>
      <c r="T60"/>
      <c r="U60"/>
      <c r="Y60" s="180">
        <f t="shared" si="10"/>
        <v>0</v>
      </c>
      <c r="Z60" s="181">
        <f t="shared" si="11"/>
        <v>6.5957746380640447E-4</v>
      </c>
      <c r="AA60" s="196" t="str">
        <f t="shared" si="12"/>
        <v/>
      </c>
      <c r="AB60" s="204">
        <f t="shared" si="13"/>
        <v>0</v>
      </c>
      <c r="AI60" s="21"/>
      <c r="AK60" s="183" t="str">
        <f t="shared" si="14"/>
        <v/>
      </c>
      <c r="AL60" s="184" t="str">
        <f t="shared" si="15"/>
        <v/>
      </c>
      <c r="AM60" s="185" t="str">
        <f t="shared" si="16"/>
        <v/>
      </c>
    </row>
    <row r="61" spans="2:39" ht="18" x14ac:dyDescent="0.45">
      <c r="B61" s="22"/>
      <c r="C61" s="224">
        <f t="shared" si="0"/>
        <v>63.125</v>
      </c>
      <c r="D61" s="120">
        <v>38</v>
      </c>
      <c r="E61" s="167">
        <f t="shared" si="17"/>
        <v>63</v>
      </c>
      <c r="F61" s="168">
        <f t="shared" si="18"/>
        <v>1.5</v>
      </c>
      <c r="G61" s="192">
        <f t="shared" si="6"/>
        <v>3.125</v>
      </c>
      <c r="H61" s="169">
        <f>IF(D61&lt;=$N$12+1,'死亡率（標準生命表）'!M41,0)</f>
        <v>6.5957746380640447E-4</v>
      </c>
      <c r="I61" s="170">
        <f>IF(D61&lt;$N$12+1,'死亡率（標準生命表）'!N42,IF(D61=$N$12+1,I60,0))</f>
        <v>0.97825133587397528</v>
      </c>
      <c r="J61" s="171">
        <f>IF(E61="",0,CalcPut($G$10,$G$14,$G$11,$G$12,$G$13,G61))</f>
        <v>37.970089928405365</v>
      </c>
      <c r="M61" s="130">
        <f t="shared" si="7"/>
        <v>37.970089928405365</v>
      </c>
      <c r="N61" s="234">
        <f t="shared" si="8"/>
        <v>6.5957746380640447E-4</v>
      </c>
      <c r="O61" s="203">
        <f t="shared" si="9"/>
        <v>2.5044215615478711E-2</v>
      </c>
      <c r="P61"/>
      <c r="R61"/>
      <c r="S61"/>
      <c r="T61"/>
      <c r="U61"/>
      <c r="Y61" s="180">
        <f t="shared" si="10"/>
        <v>0</v>
      </c>
      <c r="Z61" s="181">
        <f t="shared" si="11"/>
        <v>6.5957746380640447E-4</v>
      </c>
      <c r="AA61" s="196" t="str">
        <f t="shared" si="12"/>
        <v/>
      </c>
      <c r="AB61" s="204">
        <f t="shared" si="13"/>
        <v>0</v>
      </c>
      <c r="AI61" s="21"/>
      <c r="AK61" s="183" t="str">
        <f t="shared" si="14"/>
        <v/>
      </c>
      <c r="AL61" s="184" t="str">
        <f t="shared" si="15"/>
        <v/>
      </c>
      <c r="AM61" s="185" t="str">
        <f t="shared" si="16"/>
        <v/>
      </c>
    </row>
    <row r="62" spans="2:39" ht="18" x14ac:dyDescent="0.45">
      <c r="B62" s="22"/>
      <c r="C62" s="224">
        <f t="shared" si="0"/>
        <v>63.208333333333336</v>
      </c>
      <c r="D62" s="120">
        <v>39</v>
      </c>
      <c r="E62" s="167">
        <f t="shared" si="17"/>
        <v>63</v>
      </c>
      <c r="F62" s="168">
        <f t="shared" si="18"/>
        <v>2.5</v>
      </c>
      <c r="G62" s="192">
        <f t="shared" si="6"/>
        <v>3.2083333333333335</v>
      </c>
      <c r="H62" s="169">
        <f>IF(D62&lt;=$N$12+1,'死亡率（標準生命表）'!M42,0)</f>
        <v>6.5957746380640447E-4</v>
      </c>
      <c r="I62" s="170">
        <f>IF(D62&lt;$N$12+1,'死亡率（標準生命表）'!N43,IF(D62=$N$12+1,I61,0))</f>
        <v>0.97759175841016888</v>
      </c>
      <c r="J62" s="171">
        <f>IF(E62="",0,CalcPut($G$10,$G$14,$G$11,$G$12,$G$13,G62))</f>
        <v>38.491292631522818</v>
      </c>
      <c r="M62" s="130">
        <f t="shared" si="7"/>
        <v>38.491292631522818</v>
      </c>
      <c r="N62" s="234">
        <f t="shared" si="8"/>
        <v>6.5957746380640447E-4</v>
      </c>
      <c r="O62" s="203">
        <f t="shared" si="9"/>
        <v>2.5387989172529966E-2</v>
      </c>
      <c r="P62"/>
      <c r="R62"/>
      <c r="S62"/>
      <c r="T62"/>
      <c r="U62"/>
      <c r="Y62" s="180">
        <f t="shared" si="10"/>
        <v>0</v>
      </c>
      <c r="Z62" s="181">
        <f t="shared" si="11"/>
        <v>6.5957746380640447E-4</v>
      </c>
      <c r="AA62" s="196" t="str">
        <f t="shared" si="12"/>
        <v/>
      </c>
      <c r="AB62" s="204">
        <f t="shared" si="13"/>
        <v>0</v>
      </c>
      <c r="AI62" s="21"/>
      <c r="AK62" s="183" t="str">
        <f t="shared" si="14"/>
        <v/>
      </c>
      <c r="AL62" s="184" t="str">
        <f t="shared" si="15"/>
        <v/>
      </c>
      <c r="AM62" s="185" t="str">
        <f t="shared" si="16"/>
        <v/>
      </c>
    </row>
    <row r="63" spans="2:39" ht="18" x14ac:dyDescent="0.45">
      <c r="B63" s="22"/>
      <c r="C63" s="224">
        <f t="shared" si="0"/>
        <v>63.291666666666664</v>
      </c>
      <c r="D63" s="120">
        <v>40</v>
      </c>
      <c r="E63" s="167">
        <f t="shared" si="17"/>
        <v>63</v>
      </c>
      <c r="F63" s="168">
        <f t="shared" si="18"/>
        <v>3.5</v>
      </c>
      <c r="G63" s="192">
        <f t="shared" si="6"/>
        <v>3.2916666666666665</v>
      </c>
      <c r="H63" s="169">
        <f>IF(D63&lt;=$N$12+1,'死亡率（標準生命表）'!M43,0)</f>
        <v>6.5957746380640447E-4</v>
      </c>
      <c r="I63" s="170">
        <f>IF(D63&lt;$N$12+1,'死亡率（標準生命表）'!N44,IF(D63=$N$12+1,I62,0))</f>
        <v>0.97693218094636247</v>
      </c>
      <c r="J63" s="171">
        <f>IF(E63="",0,CalcPut($G$10,$G$14,$G$11,$G$12,$G$13,G63))</f>
        <v>39.005741541817159</v>
      </c>
      <c r="M63" s="130">
        <f t="shared" si="7"/>
        <v>39.005741541817159</v>
      </c>
      <c r="N63" s="234">
        <f t="shared" si="8"/>
        <v>6.5957746380640447E-4</v>
      </c>
      <c r="O63" s="203">
        <f t="shared" si="9"/>
        <v>2.5727308080039875E-2</v>
      </c>
      <c r="P63"/>
      <c r="R63"/>
      <c r="S63"/>
      <c r="T63"/>
      <c r="U63"/>
      <c r="Y63" s="180">
        <f t="shared" si="10"/>
        <v>0</v>
      </c>
      <c r="Z63" s="181">
        <f t="shared" si="11"/>
        <v>6.5957746380640447E-4</v>
      </c>
      <c r="AA63" s="196" t="str">
        <f t="shared" si="12"/>
        <v/>
      </c>
      <c r="AB63" s="204">
        <f t="shared" si="13"/>
        <v>0</v>
      </c>
      <c r="AI63" s="21"/>
      <c r="AK63" s="183" t="str">
        <f t="shared" si="14"/>
        <v/>
      </c>
      <c r="AL63" s="184" t="str">
        <f t="shared" si="15"/>
        <v/>
      </c>
      <c r="AM63" s="185" t="str">
        <f t="shared" si="16"/>
        <v/>
      </c>
    </row>
    <row r="64" spans="2:39" ht="18" x14ac:dyDescent="0.45">
      <c r="B64" s="22"/>
      <c r="C64" s="224">
        <f t="shared" si="0"/>
        <v>63.375</v>
      </c>
      <c r="D64" s="120">
        <v>41</v>
      </c>
      <c r="E64" s="167">
        <f t="shared" si="17"/>
        <v>63</v>
      </c>
      <c r="F64" s="168">
        <f t="shared" si="18"/>
        <v>4.5</v>
      </c>
      <c r="G64" s="192">
        <f t="shared" si="6"/>
        <v>3.375</v>
      </c>
      <c r="H64" s="169">
        <f>IF(D64&lt;=$N$12+1,'死亡率（標準生命表）'!M44,0)</f>
        <v>6.595774638065155E-4</v>
      </c>
      <c r="I64" s="170">
        <f>IF(D64&lt;$N$12+1,'死亡率（標準生命表）'!N45,IF(D64=$N$12+1,I63,0))</f>
        <v>0.97627260348255596</v>
      </c>
      <c r="J64" s="171">
        <f>IF(E64="",0,CalcPut($G$10,$G$14,$G$11,$G$12,$G$13,G64))</f>
        <v>39.513672440061541</v>
      </c>
      <c r="M64" s="130">
        <f t="shared" si="7"/>
        <v>39.513672440061541</v>
      </c>
      <c r="N64" s="234">
        <f t="shared" si="8"/>
        <v>6.595774638065155E-4</v>
      </c>
      <c r="O64" s="203">
        <f t="shared" si="9"/>
        <v>2.6062327853697199E-2</v>
      </c>
      <c r="P64"/>
      <c r="R64"/>
      <c r="S64"/>
      <c r="T64"/>
      <c r="U64"/>
      <c r="Y64" s="180">
        <f t="shared" si="10"/>
        <v>0</v>
      </c>
      <c r="Z64" s="181">
        <f t="shared" si="11"/>
        <v>6.595774638065155E-4</v>
      </c>
      <c r="AA64" s="196" t="str">
        <f t="shared" si="12"/>
        <v/>
      </c>
      <c r="AB64" s="204">
        <f t="shared" si="13"/>
        <v>0</v>
      </c>
      <c r="AI64" s="21"/>
      <c r="AK64" s="183" t="str">
        <f t="shared" si="14"/>
        <v/>
      </c>
      <c r="AL64" s="184" t="str">
        <f t="shared" si="15"/>
        <v/>
      </c>
      <c r="AM64" s="185" t="str">
        <f t="shared" si="16"/>
        <v/>
      </c>
    </row>
    <row r="65" spans="2:39" ht="18" x14ac:dyDescent="0.45">
      <c r="B65" s="22"/>
      <c r="C65" s="224">
        <f t="shared" si="0"/>
        <v>63.458333333333336</v>
      </c>
      <c r="D65" s="120">
        <v>42</v>
      </c>
      <c r="E65" s="167">
        <f t="shared" si="17"/>
        <v>63</v>
      </c>
      <c r="F65" s="168">
        <f t="shared" si="18"/>
        <v>5.5</v>
      </c>
      <c r="G65" s="192">
        <f t="shared" si="6"/>
        <v>3.4583333333333335</v>
      </c>
      <c r="H65" s="169">
        <f>IF(D65&lt;=$N$12+1,'死亡率（標準生命表）'!M45,0)</f>
        <v>6.5957746380629345E-4</v>
      </c>
      <c r="I65" s="170">
        <f>IF(D65&lt;$N$12+1,'死亡率（標準生命表）'!N46,IF(D65=$N$12+1,I64,0))</f>
        <v>0.97561302601874966</v>
      </c>
      <c r="J65" s="171">
        <f>IF(E65="",0,CalcPut($G$10,$G$14,$G$11,$G$12,$G$13,G65))</f>
        <v>40.015306859917551</v>
      </c>
      <c r="M65" s="130">
        <f t="shared" si="7"/>
        <v>40.015306859917551</v>
      </c>
      <c r="N65" s="234">
        <f t="shared" si="8"/>
        <v>6.5957746380629345E-4</v>
      </c>
      <c r="O65" s="203">
        <f t="shared" si="9"/>
        <v>2.6393194612094995E-2</v>
      </c>
      <c r="P65"/>
      <c r="R65"/>
      <c r="S65"/>
      <c r="T65"/>
      <c r="U65"/>
      <c r="Y65" s="180">
        <f t="shared" si="10"/>
        <v>0</v>
      </c>
      <c r="Z65" s="181">
        <f t="shared" si="11"/>
        <v>6.5957746380629345E-4</v>
      </c>
      <c r="AA65" s="196" t="str">
        <f t="shared" si="12"/>
        <v/>
      </c>
      <c r="AB65" s="204">
        <f t="shared" si="13"/>
        <v>0</v>
      </c>
      <c r="AI65" s="21"/>
      <c r="AK65" s="183" t="str">
        <f t="shared" si="14"/>
        <v/>
      </c>
      <c r="AL65" s="184" t="str">
        <f t="shared" si="15"/>
        <v/>
      </c>
      <c r="AM65" s="185" t="str">
        <f t="shared" si="16"/>
        <v/>
      </c>
    </row>
    <row r="66" spans="2:39" ht="18" x14ac:dyDescent="0.45">
      <c r="B66" s="22"/>
      <c r="C66" s="224">
        <f t="shared" si="0"/>
        <v>63.541666666666664</v>
      </c>
      <c r="D66" s="120">
        <v>43</v>
      </c>
      <c r="E66" s="167">
        <f t="shared" si="17"/>
        <v>63</v>
      </c>
      <c r="F66" s="168">
        <f t="shared" si="18"/>
        <v>6.5</v>
      </c>
      <c r="G66" s="192">
        <f t="shared" si="6"/>
        <v>3.5416666666666665</v>
      </c>
      <c r="H66" s="169">
        <f>IF(D66&lt;=$N$12+1,'死亡率（標準生命表）'!M46,0)</f>
        <v>6.5957746380640447E-4</v>
      </c>
      <c r="I66" s="170">
        <f>IF(D66&lt;$N$12+1,'死亡率（標準生命表）'!N47,IF(D66=$N$12+1,I65,0))</f>
        <v>0.97495344855494326</v>
      </c>
      <c r="J66" s="171">
        <f>IF(E66="",0,CalcPut($G$10,$G$14,$G$11,$G$12,$G$13,G66))</f>
        <v>40.510853275824509</v>
      </c>
      <c r="M66" s="130">
        <f t="shared" si="7"/>
        <v>40.510853275824509</v>
      </c>
      <c r="N66" s="234">
        <f t="shared" si="8"/>
        <v>6.5957746380640447E-4</v>
      </c>
      <c r="O66" s="203">
        <f t="shared" si="9"/>
        <v>2.6720045860301703E-2</v>
      </c>
      <c r="P66"/>
      <c r="R66"/>
      <c r="S66"/>
      <c r="T66"/>
      <c r="U66"/>
      <c r="Y66" s="180">
        <f t="shared" si="10"/>
        <v>0</v>
      </c>
      <c r="Z66" s="181">
        <f t="shared" si="11"/>
        <v>6.5957746380640447E-4</v>
      </c>
      <c r="AA66" s="196" t="str">
        <f t="shared" si="12"/>
        <v/>
      </c>
      <c r="AB66" s="204">
        <f t="shared" si="13"/>
        <v>0</v>
      </c>
      <c r="AI66" s="21"/>
      <c r="AK66" s="183" t="str">
        <f t="shared" si="14"/>
        <v/>
      </c>
      <c r="AL66" s="184" t="str">
        <f t="shared" si="15"/>
        <v/>
      </c>
      <c r="AM66" s="185" t="str">
        <f t="shared" si="16"/>
        <v/>
      </c>
    </row>
    <row r="67" spans="2:39" ht="18" x14ac:dyDescent="0.45">
      <c r="B67" s="22"/>
      <c r="C67" s="224">
        <f t="shared" si="0"/>
        <v>63.625</v>
      </c>
      <c r="D67" s="120">
        <v>44</v>
      </c>
      <c r="E67" s="167">
        <f t="shared" si="17"/>
        <v>63</v>
      </c>
      <c r="F67" s="168">
        <f t="shared" si="18"/>
        <v>7.5</v>
      </c>
      <c r="G67" s="192">
        <f t="shared" si="6"/>
        <v>3.625</v>
      </c>
      <c r="H67" s="169">
        <f>IF(D67&lt;=$N$12+1,'死亡率（標準生命表）'!M47,0)</f>
        <v>6.5957746380640447E-4</v>
      </c>
      <c r="I67" s="170">
        <f>IF(D67&lt;$N$12+1,'死亡率（標準生命表）'!N48,IF(D67=$N$12+1,I66,0))</f>
        <v>0.97429387109113685</v>
      </c>
      <c r="J67" s="171">
        <f>IF(E67="",0,CalcPut($G$10,$G$14,$G$11,$G$12,$G$13,G67))</f>
        <v>41.000508166188546</v>
      </c>
      <c r="M67" s="130">
        <f t="shared" si="7"/>
        <v>41.000508166188546</v>
      </c>
      <c r="N67" s="234">
        <f t="shared" si="8"/>
        <v>6.5957746380640447E-4</v>
      </c>
      <c r="O67" s="203">
        <f t="shared" si="9"/>
        <v>2.7043011191028418E-2</v>
      </c>
      <c r="P67"/>
      <c r="R67"/>
      <c r="S67"/>
      <c r="T67"/>
      <c r="U67"/>
      <c r="Y67" s="180">
        <f t="shared" si="10"/>
        <v>0</v>
      </c>
      <c r="Z67" s="181">
        <f t="shared" si="11"/>
        <v>6.5957746380640447E-4</v>
      </c>
      <c r="AA67" s="196" t="str">
        <f t="shared" si="12"/>
        <v/>
      </c>
      <c r="AB67" s="204">
        <f t="shared" si="13"/>
        <v>0</v>
      </c>
      <c r="AI67" s="21"/>
      <c r="AK67" s="183" t="str">
        <f t="shared" si="14"/>
        <v/>
      </c>
      <c r="AL67" s="184" t="str">
        <f t="shared" si="15"/>
        <v/>
      </c>
      <c r="AM67" s="185" t="str">
        <f t="shared" si="16"/>
        <v/>
      </c>
    </row>
    <row r="68" spans="2:39" ht="18" x14ac:dyDescent="0.45">
      <c r="B68" s="22"/>
      <c r="C68" s="224">
        <f t="shared" si="0"/>
        <v>63.708333333333336</v>
      </c>
      <c r="D68" s="120">
        <v>45</v>
      </c>
      <c r="E68" s="167">
        <f t="shared" si="17"/>
        <v>63</v>
      </c>
      <c r="F68" s="168">
        <f t="shared" si="18"/>
        <v>8.5</v>
      </c>
      <c r="G68" s="192">
        <f t="shared" si="6"/>
        <v>3.7083333333333335</v>
      </c>
      <c r="H68" s="169">
        <f>IF(D68&lt;=$N$12+1,'死亡率（標準生命表）'!M48,0)</f>
        <v>6.5957746380640447E-4</v>
      </c>
      <c r="I68" s="170">
        <f>IF(D68&lt;$N$12+1,'死亡率（標準生命表）'!N49,IF(D68=$N$12+1,I67,0))</f>
        <v>0.97363429362733045</v>
      </c>
      <c r="J68" s="171">
        <f>IF(E68="",0,CalcPut($G$10,$G$14,$G$11,$G$12,$G$13,G68))</f>
        <v>41.484456967526874</v>
      </c>
      <c r="M68" s="130">
        <f t="shared" si="7"/>
        <v>41.484456967526874</v>
      </c>
      <c r="N68" s="234">
        <f t="shared" si="8"/>
        <v>6.5957746380640447E-4</v>
      </c>
      <c r="O68" s="203">
        <f t="shared" si="9"/>
        <v>2.7362212914027302E-2</v>
      </c>
      <c r="P68"/>
      <c r="R68"/>
      <c r="S68"/>
      <c r="T68"/>
      <c r="U68"/>
      <c r="Y68" s="180">
        <f t="shared" si="10"/>
        <v>0</v>
      </c>
      <c r="Z68" s="181">
        <f t="shared" si="11"/>
        <v>6.5957746380640447E-4</v>
      </c>
      <c r="AA68" s="196" t="str">
        <f t="shared" si="12"/>
        <v/>
      </c>
      <c r="AB68" s="204">
        <f t="shared" si="13"/>
        <v>0</v>
      </c>
      <c r="AI68" s="21"/>
      <c r="AK68" s="183" t="str">
        <f t="shared" si="14"/>
        <v/>
      </c>
      <c r="AL68" s="184" t="str">
        <f t="shared" si="15"/>
        <v/>
      </c>
      <c r="AM68" s="185" t="str">
        <f t="shared" si="16"/>
        <v/>
      </c>
    </row>
    <row r="69" spans="2:39" ht="18" x14ac:dyDescent="0.45">
      <c r="B69" s="22"/>
      <c r="C69" s="224">
        <f t="shared" si="0"/>
        <v>63.791666666666664</v>
      </c>
      <c r="D69" s="120">
        <v>46</v>
      </c>
      <c r="E69" s="167">
        <f t="shared" si="17"/>
        <v>63</v>
      </c>
      <c r="F69" s="168">
        <f t="shared" si="18"/>
        <v>9.5</v>
      </c>
      <c r="G69" s="192">
        <f t="shared" si="6"/>
        <v>3.7916666666666665</v>
      </c>
      <c r="H69" s="169">
        <f>IF(D69&lt;=$N$12+1,'死亡率（標準生命表）'!M49,0)</f>
        <v>6.5957746380640447E-4</v>
      </c>
      <c r="I69" s="170">
        <f>IF(D69&lt;$N$12+1,'死亡率（標準生命表）'!N50,IF(D69=$N$12+1,I68,0))</f>
        <v>0.97297471616352404</v>
      </c>
      <c r="J69" s="171">
        <f>IF(E69="",0,CalcPut($G$10,$G$14,$G$11,$G$12,$G$13,G69))</f>
        <v>41.962874932942761</v>
      </c>
      <c r="M69" s="130">
        <f t="shared" si="7"/>
        <v>41.962874932942761</v>
      </c>
      <c r="N69" s="234">
        <f t="shared" si="8"/>
        <v>6.5957746380640447E-4</v>
      </c>
      <c r="O69" s="203">
        <f t="shared" si="9"/>
        <v>2.7677766622295732E-2</v>
      </c>
      <c r="P69"/>
      <c r="R69"/>
      <c r="S69"/>
      <c r="T69"/>
      <c r="U69"/>
      <c r="Y69" s="180">
        <f t="shared" si="10"/>
        <v>0</v>
      </c>
      <c r="Z69" s="181">
        <f t="shared" si="11"/>
        <v>6.5957746380640447E-4</v>
      </c>
      <c r="AA69" s="196" t="str">
        <f t="shared" si="12"/>
        <v/>
      </c>
      <c r="AB69" s="204">
        <f t="shared" si="13"/>
        <v>0</v>
      </c>
      <c r="AI69" s="21"/>
      <c r="AK69" s="183" t="str">
        <f t="shared" si="14"/>
        <v/>
      </c>
      <c r="AL69" s="184" t="str">
        <f t="shared" si="15"/>
        <v/>
      </c>
      <c r="AM69" s="185" t="str">
        <f t="shared" si="16"/>
        <v/>
      </c>
    </row>
    <row r="70" spans="2:39" ht="18" x14ac:dyDescent="0.45">
      <c r="B70" s="22"/>
      <c r="C70" s="224">
        <f t="shared" si="0"/>
        <v>63.875</v>
      </c>
      <c r="D70" s="120">
        <v>47</v>
      </c>
      <c r="E70" s="167">
        <f t="shared" si="17"/>
        <v>63</v>
      </c>
      <c r="F70" s="168">
        <f t="shared" si="18"/>
        <v>10.5</v>
      </c>
      <c r="G70" s="192">
        <f t="shared" si="6"/>
        <v>3.875</v>
      </c>
      <c r="H70" s="169">
        <f>IF(D70&lt;=$N$12+1,'死亡率（標準生命表）'!M50,0)</f>
        <v>6.5957746380640447E-4</v>
      </c>
      <c r="I70" s="170">
        <f>IF(D70&lt;$N$12+1,'死亡率（標準生命表）'!N51,IF(D70=$N$12+1,I69,0))</f>
        <v>0.97231513869971764</v>
      </c>
      <c r="J70" s="171">
        <f>IF(E70="",0,CalcPut($G$10,$G$14,$G$11,$G$12,$G$13,G70))</f>
        <v>42.435927906420417</v>
      </c>
      <c r="M70" s="130">
        <f t="shared" si="7"/>
        <v>42.435927906420417</v>
      </c>
      <c r="N70" s="234">
        <f t="shared" si="8"/>
        <v>6.5957746380640447E-4</v>
      </c>
      <c r="O70" s="203">
        <f t="shared" si="9"/>
        <v>2.7989781702788201E-2</v>
      </c>
      <c r="P70"/>
      <c r="R70"/>
      <c r="S70"/>
      <c r="T70"/>
      <c r="U70"/>
      <c r="Y70" s="180">
        <f t="shared" si="10"/>
        <v>0</v>
      </c>
      <c r="Z70" s="181">
        <f t="shared" si="11"/>
        <v>6.5957746380640447E-4</v>
      </c>
      <c r="AA70" s="196" t="str">
        <f t="shared" si="12"/>
        <v/>
      </c>
      <c r="AB70" s="204">
        <f t="shared" si="13"/>
        <v>0</v>
      </c>
      <c r="AI70" s="21"/>
      <c r="AK70" s="183" t="str">
        <f t="shared" si="14"/>
        <v/>
      </c>
      <c r="AL70" s="184" t="str">
        <f t="shared" si="15"/>
        <v/>
      </c>
      <c r="AM70" s="185" t="str">
        <f t="shared" si="16"/>
        <v/>
      </c>
    </row>
    <row r="71" spans="2:39" ht="18" x14ac:dyDescent="0.45">
      <c r="B71" s="22"/>
      <c r="C71" s="224">
        <f t="shared" si="0"/>
        <v>63.958333333333336</v>
      </c>
      <c r="D71" s="120">
        <v>48</v>
      </c>
      <c r="E71" s="167">
        <f t="shared" si="17"/>
        <v>63</v>
      </c>
      <c r="F71" s="168">
        <f t="shared" si="18"/>
        <v>11.5</v>
      </c>
      <c r="G71" s="192">
        <f t="shared" si="6"/>
        <v>3.9583333333333335</v>
      </c>
      <c r="H71" s="169">
        <f>IF(D71&lt;=$N$12+1,'死亡率（標準生命表）'!M51,0)</f>
        <v>6.5957746380640447E-4</v>
      </c>
      <c r="I71" s="170">
        <f>IF(D71&lt;$N$12+1,'死亡率（標準生命表）'!N52,IF(D71=$N$12+1,I70,0))</f>
        <v>0.97165556123591124</v>
      </c>
      <c r="J71" s="171">
        <f>IF(E71="",0,CalcPut($G$10,$G$14,$G$11,$G$12,$G$13,G71))</f>
        <v>42.903773022819713</v>
      </c>
      <c r="M71" s="130">
        <f t="shared" si="7"/>
        <v>42.903773022819713</v>
      </c>
      <c r="N71" s="234">
        <f t="shared" si="8"/>
        <v>6.5957746380640447E-4</v>
      </c>
      <c r="O71" s="203">
        <f t="shared" si="9"/>
        <v>2.8298361798117063E-2</v>
      </c>
      <c r="P71"/>
      <c r="R71"/>
      <c r="S71"/>
      <c r="T71"/>
      <c r="U71"/>
      <c r="Y71" s="180">
        <f t="shared" si="10"/>
        <v>0</v>
      </c>
      <c r="Z71" s="181">
        <f t="shared" si="11"/>
        <v>6.5957746380640447E-4</v>
      </c>
      <c r="AA71" s="196" t="str">
        <f t="shared" si="12"/>
        <v/>
      </c>
      <c r="AB71" s="204">
        <f t="shared" si="13"/>
        <v>0</v>
      </c>
      <c r="AI71" s="21"/>
      <c r="AK71" s="183" t="str">
        <f t="shared" si="14"/>
        <v/>
      </c>
      <c r="AL71" s="184" t="str">
        <f t="shared" si="15"/>
        <v/>
      </c>
      <c r="AM71" s="185" t="str">
        <f t="shared" si="16"/>
        <v/>
      </c>
    </row>
    <row r="72" spans="2:39" ht="18" x14ac:dyDescent="0.45">
      <c r="B72" s="22"/>
      <c r="C72" s="224">
        <f t="shared" si="0"/>
        <v>64.041666666666671</v>
      </c>
      <c r="D72" s="120">
        <v>49</v>
      </c>
      <c r="E72" s="167">
        <f t="shared" si="17"/>
        <v>64</v>
      </c>
      <c r="F72" s="168">
        <f t="shared" si="18"/>
        <v>0.5</v>
      </c>
      <c r="G72" s="192">
        <f t="shared" si="6"/>
        <v>4.041666666666667</v>
      </c>
      <c r="H72" s="169">
        <f>IF(D72&lt;=$N$12+1,'死亡率（標準生命表）'!M52,0)</f>
        <v>7.1740568937928018E-4</v>
      </c>
      <c r="I72" s="170">
        <f>IF(D72&lt;$N$12+1,'死亡率（標準生命表）'!N53,IF(D72=$N$12+1,I71,0))</f>
        <v>0.97093815554653196</v>
      </c>
      <c r="J72" s="171">
        <f>IF(E72="",0,CalcPut($G$10,$G$14,$G$11,$G$12,$G$13,G72))</f>
        <v>43.366559342116439</v>
      </c>
      <c r="M72" s="130">
        <f t="shared" si="7"/>
        <v>43.366559342116439</v>
      </c>
      <c r="N72" s="234">
        <f t="shared" si="8"/>
        <v>7.1740568937928018E-4</v>
      </c>
      <c r="O72" s="203">
        <f t="shared" si="9"/>
        <v>3.1111416400838508E-2</v>
      </c>
      <c r="P72"/>
      <c r="R72"/>
      <c r="S72"/>
      <c r="T72"/>
      <c r="U72"/>
      <c r="Y72" s="180">
        <f t="shared" si="10"/>
        <v>0</v>
      </c>
      <c r="Z72" s="181">
        <f t="shared" si="11"/>
        <v>7.1740568937928018E-4</v>
      </c>
      <c r="AA72" s="196" t="str">
        <f t="shared" si="12"/>
        <v/>
      </c>
      <c r="AB72" s="204">
        <f t="shared" si="13"/>
        <v>0</v>
      </c>
      <c r="AI72" s="21"/>
      <c r="AK72" s="183" t="str">
        <f t="shared" si="14"/>
        <v/>
      </c>
      <c r="AL72" s="184" t="str">
        <f t="shared" si="15"/>
        <v/>
      </c>
      <c r="AM72" s="185" t="str">
        <f t="shared" si="16"/>
        <v/>
      </c>
    </row>
    <row r="73" spans="2:39" ht="18" x14ac:dyDescent="0.45">
      <c r="B73" s="22"/>
      <c r="C73" s="224">
        <f t="shared" si="0"/>
        <v>64.125</v>
      </c>
      <c r="D73" s="120">
        <v>50</v>
      </c>
      <c r="E73" s="167">
        <f t="shared" si="17"/>
        <v>64</v>
      </c>
      <c r="F73" s="168">
        <f t="shared" si="18"/>
        <v>1.5</v>
      </c>
      <c r="G73" s="192">
        <f t="shared" si="6"/>
        <v>4.125</v>
      </c>
      <c r="H73" s="169">
        <f>IF(D73&lt;=$N$12+1,'死亡率（標準生命表）'!M53,0)</f>
        <v>7.1740568937905813E-4</v>
      </c>
      <c r="I73" s="170">
        <f>IF(D73&lt;$N$12+1,'死亡率（標準生命表）'!N54,IF(D73=$N$12+1,I72,0))</f>
        <v>0.9702207498571529</v>
      </c>
      <c r="J73" s="171">
        <f>IF(E73="",0,CalcPut($G$10,$G$14,$G$11,$G$12,$G$13,G73))</f>
        <v>43.824428425292346</v>
      </c>
      <c r="M73" s="130">
        <f t="shared" si="7"/>
        <v>43.824428425292346</v>
      </c>
      <c r="N73" s="234">
        <f t="shared" si="8"/>
        <v>7.1740568937905813E-4</v>
      </c>
      <c r="O73" s="203">
        <f t="shared" si="9"/>
        <v>3.1439894286090043E-2</v>
      </c>
      <c r="P73"/>
      <c r="R73"/>
      <c r="S73"/>
      <c r="T73"/>
      <c r="U73"/>
      <c r="Y73" s="180">
        <f t="shared" si="10"/>
        <v>0</v>
      </c>
      <c r="Z73" s="181">
        <f t="shared" si="11"/>
        <v>7.1740568937905813E-4</v>
      </c>
      <c r="AA73" s="196" t="str">
        <f t="shared" si="12"/>
        <v/>
      </c>
      <c r="AB73" s="204">
        <f t="shared" si="13"/>
        <v>0</v>
      </c>
      <c r="AI73" s="21"/>
      <c r="AK73" s="183" t="str">
        <f t="shared" si="14"/>
        <v/>
      </c>
      <c r="AL73" s="184" t="str">
        <f t="shared" si="15"/>
        <v/>
      </c>
      <c r="AM73" s="185" t="str">
        <f t="shared" si="16"/>
        <v/>
      </c>
    </row>
    <row r="74" spans="2:39" ht="18" x14ac:dyDescent="0.45">
      <c r="B74" s="22"/>
      <c r="C74" s="224">
        <f t="shared" si="0"/>
        <v>64.208333333333329</v>
      </c>
      <c r="D74" s="120">
        <v>51</v>
      </c>
      <c r="E74" s="167">
        <f t="shared" si="17"/>
        <v>64</v>
      </c>
      <c r="F74" s="168">
        <f t="shared" si="18"/>
        <v>2.5</v>
      </c>
      <c r="G74" s="192">
        <f t="shared" si="6"/>
        <v>4.208333333333333</v>
      </c>
      <c r="H74" s="169">
        <f>IF(D74&lt;=$N$12+1,'死亡率（標準生命表）'!M54,0)</f>
        <v>7.1740568937916915E-4</v>
      </c>
      <c r="I74" s="170">
        <f>IF(D74&lt;$N$12+1,'死亡率（標準生命表）'!N55,IF(D74=$N$12+1,I73,0))</f>
        <v>0.96950334416777373</v>
      </c>
      <c r="J74" s="171">
        <f>IF(E74="",0,CalcPut($G$10,$G$14,$G$11,$G$12,$G$13,G74))</f>
        <v>44.277514858313069</v>
      </c>
      <c r="M74" s="130">
        <f t="shared" si="7"/>
        <v>44.277514858313069</v>
      </c>
      <c r="N74" s="234">
        <f t="shared" si="8"/>
        <v>7.1740568937916915E-4</v>
      </c>
      <c r="O74" s="203">
        <f t="shared" si="9"/>
        <v>3.1764941070924493E-2</v>
      </c>
      <c r="P74"/>
      <c r="R74"/>
      <c r="S74"/>
      <c r="T74"/>
      <c r="U74"/>
      <c r="Y74" s="180">
        <f t="shared" si="10"/>
        <v>0</v>
      </c>
      <c r="Z74" s="181">
        <f t="shared" si="11"/>
        <v>7.1740568937916915E-4</v>
      </c>
      <c r="AA74" s="196" t="str">
        <f t="shared" si="12"/>
        <v/>
      </c>
      <c r="AB74" s="204">
        <f t="shared" si="13"/>
        <v>0</v>
      </c>
      <c r="AI74" s="21"/>
      <c r="AK74" s="183" t="str">
        <f t="shared" si="14"/>
        <v/>
      </c>
      <c r="AL74" s="184" t="str">
        <f t="shared" si="15"/>
        <v/>
      </c>
      <c r="AM74" s="185" t="str">
        <f t="shared" si="16"/>
        <v/>
      </c>
    </row>
    <row r="75" spans="2:39" ht="18" x14ac:dyDescent="0.45">
      <c r="B75" s="22"/>
      <c r="C75" s="224">
        <f t="shared" si="0"/>
        <v>64.291666666666671</v>
      </c>
      <c r="D75" s="120">
        <v>52</v>
      </c>
      <c r="E75" s="167">
        <f t="shared" si="17"/>
        <v>64</v>
      </c>
      <c r="F75" s="168">
        <f t="shared" si="18"/>
        <v>3.5</v>
      </c>
      <c r="G75" s="192">
        <f t="shared" si="6"/>
        <v>4.291666666666667</v>
      </c>
      <c r="H75" s="169">
        <f>IF(D75&lt;=$N$12+1,'死亡率（標準生命表）'!M55,0)</f>
        <v>7.1740568937916915E-4</v>
      </c>
      <c r="I75" s="170">
        <f>IF(D75&lt;$N$12+1,'死亡率（標準生命表）'!N56,IF(D75=$N$12+1,I74,0))</f>
        <v>0.96878593847839456</v>
      </c>
      <c r="J75" s="171">
        <f>IF(E75="",0,CalcPut($G$10,$G$14,$G$11,$G$12,$G$13,G75))</f>
        <v>44.725946729808129</v>
      </c>
      <c r="M75" s="130">
        <f t="shared" si="7"/>
        <v>44.725946729808129</v>
      </c>
      <c r="N75" s="234">
        <f t="shared" si="8"/>
        <v>7.1740568937916915E-4</v>
      </c>
      <c r="O75" s="203">
        <f t="shared" si="9"/>
        <v>3.2086648646833998E-2</v>
      </c>
      <c r="P75"/>
      <c r="R75"/>
      <c r="S75"/>
      <c r="T75"/>
      <c r="U75"/>
      <c r="Y75" s="180">
        <f t="shared" si="10"/>
        <v>0</v>
      </c>
      <c r="Z75" s="181">
        <f t="shared" si="11"/>
        <v>7.1740568937916915E-4</v>
      </c>
      <c r="AA75" s="196" t="str">
        <f t="shared" si="12"/>
        <v/>
      </c>
      <c r="AB75" s="204">
        <f t="shared" si="13"/>
        <v>0</v>
      </c>
      <c r="AI75" s="21"/>
      <c r="AK75" s="183" t="str">
        <f t="shared" si="14"/>
        <v/>
      </c>
      <c r="AL75" s="184" t="str">
        <f t="shared" si="15"/>
        <v/>
      </c>
      <c r="AM75" s="185" t="str">
        <f t="shared" si="16"/>
        <v/>
      </c>
    </row>
    <row r="76" spans="2:39" ht="18" x14ac:dyDescent="0.45">
      <c r="B76" s="22"/>
      <c r="C76" s="224">
        <f t="shared" si="0"/>
        <v>64.375</v>
      </c>
      <c r="D76" s="120">
        <v>53</v>
      </c>
      <c r="E76" s="167">
        <f t="shared" si="17"/>
        <v>64</v>
      </c>
      <c r="F76" s="168">
        <f t="shared" si="18"/>
        <v>4.5</v>
      </c>
      <c r="G76" s="192">
        <f t="shared" si="6"/>
        <v>4.375</v>
      </c>
      <c r="H76" s="169">
        <f>IF(D76&lt;=$N$12+1,'死亡率（標準生命表）'!M56,0)</f>
        <v>7.1740568937928018E-4</v>
      </c>
      <c r="I76" s="170">
        <f>IF(D76&lt;$N$12+1,'死亡率（標準生命表）'!N57,IF(D76=$N$12+1,I75,0))</f>
        <v>0.96806853278901528</v>
      </c>
      <c r="J76" s="171">
        <f>IF(E76="",0,CalcPut($G$10,$G$14,$G$11,$G$12,$G$13,G76))</f>
        <v>45.169846067363522</v>
      </c>
      <c r="M76" s="130">
        <f t="shared" si="7"/>
        <v>45.169846067363522</v>
      </c>
      <c r="N76" s="234">
        <f t="shared" si="8"/>
        <v>7.1740568937928018E-4</v>
      </c>
      <c r="O76" s="203">
        <f t="shared" si="9"/>
        <v>3.2405104557112895E-2</v>
      </c>
      <c r="P76"/>
      <c r="R76"/>
      <c r="S76"/>
      <c r="T76"/>
      <c r="U76"/>
      <c r="Y76" s="180">
        <f t="shared" si="10"/>
        <v>0</v>
      </c>
      <c r="Z76" s="181">
        <f t="shared" si="11"/>
        <v>7.1740568937928018E-4</v>
      </c>
      <c r="AA76" s="196" t="str">
        <f t="shared" si="12"/>
        <v/>
      </c>
      <c r="AB76" s="204">
        <f t="shared" si="13"/>
        <v>0</v>
      </c>
      <c r="AI76" s="21"/>
      <c r="AK76" s="183" t="str">
        <f t="shared" si="14"/>
        <v/>
      </c>
      <c r="AL76" s="184" t="str">
        <f t="shared" si="15"/>
        <v/>
      </c>
      <c r="AM76" s="185" t="str">
        <f t="shared" si="16"/>
        <v/>
      </c>
    </row>
    <row r="77" spans="2:39" ht="18" x14ac:dyDescent="0.45">
      <c r="B77" s="22"/>
      <c r="C77" s="224">
        <f t="shared" si="0"/>
        <v>64.458333333333329</v>
      </c>
      <c r="D77" s="120">
        <v>54</v>
      </c>
      <c r="E77" s="167">
        <f t="shared" si="17"/>
        <v>64</v>
      </c>
      <c r="F77" s="168">
        <f t="shared" si="18"/>
        <v>5.5</v>
      </c>
      <c r="G77" s="192">
        <f t="shared" si="6"/>
        <v>4.458333333333333</v>
      </c>
      <c r="H77" s="169">
        <f>IF(D77&lt;=$N$12+1,'死亡率（標準生命表）'!M57,0)</f>
        <v>7.1740568937905813E-4</v>
      </c>
      <c r="I77" s="170">
        <f>IF(D77&lt;$N$12+1,'死亡率（標準生命表）'!N58,IF(D77=$N$12+1,I76,0))</f>
        <v>0.96735112709963622</v>
      </c>
      <c r="J77" s="171">
        <f>IF(E77="",0,CalcPut($G$10,$G$14,$G$11,$G$12,$G$13,G77))</f>
        <v>45.609329236734034</v>
      </c>
      <c r="M77" s="130">
        <f t="shared" si="7"/>
        <v>45.609329236734034</v>
      </c>
      <c r="N77" s="234">
        <f t="shared" si="8"/>
        <v>7.1740568937905813E-4</v>
      </c>
      <c r="O77" s="203">
        <f t="shared" si="9"/>
        <v>3.2720392283195614E-2</v>
      </c>
      <c r="P77"/>
      <c r="R77"/>
      <c r="S77"/>
      <c r="T77"/>
      <c r="U77"/>
      <c r="Y77" s="180">
        <f t="shared" si="10"/>
        <v>0</v>
      </c>
      <c r="Z77" s="181">
        <f t="shared" si="11"/>
        <v>7.1740568937905813E-4</v>
      </c>
      <c r="AA77" s="196" t="str">
        <f t="shared" si="12"/>
        <v/>
      </c>
      <c r="AB77" s="204">
        <f t="shared" si="13"/>
        <v>0</v>
      </c>
      <c r="AI77" s="21"/>
      <c r="AK77" s="183" t="str">
        <f t="shared" si="14"/>
        <v/>
      </c>
      <c r="AL77" s="184" t="str">
        <f t="shared" si="15"/>
        <v/>
      </c>
      <c r="AM77" s="185" t="str">
        <f t="shared" si="16"/>
        <v/>
      </c>
    </row>
    <row r="78" spans="2:39" ht="18" x14ac:dyDescent="0.45">
      <c r="B78" s="22"/>
      <c r="C78" s="224">
        <f t="shared" si="0"/>
        <v>64.541666666666671</v>
      </c>
      <c r="D78" s="120">
        <v>55</v>
      </c>
      <c r="E78" s="167">
        <f t="shared" si="17"/>
        <v>64</v>
      </c>
      <c r="F78" s="168">
        <f t="shared" si="18"/>
        <v>6.5</v>
      </c>
      <c r="G78" s="192">
        <f t="shared" si="6"/>
        <v>4.541666666666667</v>
      </c>
      <c r="H78" s="169">
        <f>IF(D78&lt;=$N$12+1,'死亡率（標準生命表）'!M58,0)</f>
        <v>7.1740568937928018E-4</v>
      </c>
      <c r="I78" s="170">
        <f>IF(D78&lt;$N$12+1,'死亡率（標準生命表）'!N59,IF(D78=$N$12+1,I77,0))</f>
        <v>0.96663372141025694</v>
      </c>
      <c r="J78" s="171">
        <f>IF(E78="",0,CalcPut($G$10,$G$14,$G$11,$G$12,$G$13,G78))</f>
        <v>46.044507307758664</v>
      </c>
      <c r="M78" s="130">
        <f t="shared" si="7"/>
        <v>46.044507307758664</v>
      </c>
      <c r="N78" s="234">
        <f t="shared" si="8"/>
        <v>7.1740568937928018E-4</v>
      </c>
      <c r="O78" s="203">
        <f t="shared" si="9"/>
        <v>3.3032591507251907E-2</v>
      </c>
      <c r="P78"/>
      <c r="R78"/>
      <c r="S78"/>
      <c r="T78"/>
      <c r="U78"/>
      <c r="Y78" s="180">
        <f t="shared" si="10"/>
        <v>0</v>
      </c>
      <c r="Z78" s="181">
        <f t="shared" si="11"/>
        <v>7.1740568937928018E-4</v>
      </c>
      <c r="AA78" s="196" t="str">
        <f t="shared" si="12"/>
        <v/>
      </c>
      <c r="AB78" s="204">
        <f t="shared" si="13"/>
        <v>0</v>
      </c>
      <c r="AI78" s="21"/>
      <c r="AK78" s="183" t="str">
        <f t="shared" si="14"/>
        <v/>
      </c>
      <c r="AL78" s="184" t="str">
        <f t="shared" si="15"/>
        <v/>
      </c>
      <c r="AM78" s="185" t="str">
        <f t="shared" si="16"/>
        <v/>
      </c>
    </row>
    <row r="79" spans="2:39" ht="18" x14ac:dyDescent="0.45">
      <c r="B79" s="22"/>
      <c r="C79" s="224">
        <f t="shared" si="0"/>
        <v>64.625</v>
      </c>
      <c r="D79" s="120">
        <v>56</v>
      </c>
      <c r="E79" s="167">
        <f t="shared" si="17"/>
        <v>64</v>
      </c>
      <c r="F79" s="168">
        <f t="shared" si="18"/>
        <v>7.5</v>
      </c>
      <c r="G79" s="192">
        <f t="shared" si="6"/>
        <v>4.625</v>
      </c>
      <c r="H79" s="169">
        <f>IF(D79&lt;=$N$12+1,'死亡率（標準生命表）'!M59,0)</f>
        <v>7.1740568937916915E-4</v>
      </c>
      <c r="I79" s="170">
        <f>IF(D79&lt;$N$12+1,'死亡率（標準生命表）'!N60,IF(D79=$N$12+1,I78,0))</f>
        <v>0.96591631572087777</v>
      </c>
      <c r="J79" s="171">
        <f>IF(E79="",0,CalcPut($G$10,$G$14,$G$11,$G$12,$G$13,G79))</f>
        <v>46.475486390319077</v>
      </c>
      <c r="M79" s="130">
        <f t="shared" si="7"/>
        <v>46.475486390319077</v>
      </c>
      <c r="N79" s="234">
        <f t="shared" si="8"/>
        <v>7.1740568937916915E-4</v>
      </c>
      <c r="O79" s="203">
        <f t="shared" si="9"/>
        <v>3.3341778353079048E-2</v>
      </c>
      <c r="P79"/>
      <c r="R79"/>
      <c r="S79"/>
      <c r="T79"/>
      <c r="U79"/>
      <c r="Y79" s="180">
        <f t="shared" si="10"/>
        <v>0</v>
      </c>
      <c r="Z79" s="181">
        <f t="shared" si="11"/>
        <v>7.1740568937916915E-4</v>
      </c>
      <c r="AA79" s="196" t="str">
        <f t="shared" si="12"/>
        <v/>
      </c>
      <c r="AB79" s="204">
        <f t="shared" si="13"/>
        <v>0</v>
      </c>
      <c r="AI79" s="21"/>
      <c r="AK79" s="183" t="str">
        <f t="shared" si="14"/>
        <v/>
      </c>
      <c r="AL79" s="184" t="str">
        <f t="shared" si="15"/>
        <v/>
      </c>
      <c r="AM79" s="185" t="str">
        <f t="shared" si="16"/>
        <v/>
      </c>
    </row>
    <row r="80" spans="2:39" ht="18" x14ac:dyDescent="0.45">
      <c r="B80" s="22"/>
      <c r="C80" s="224">
        <f t="shared" si="0"/>
        <v>64.708333333333329</v>
      </c>
      <c r="D80" s="120">
        <v>57</v>
      </c>
      <c r="E80" s="167">
        <f t="shared" si="17"/>
        <v>64</v>
      </c>
      <c r="F80" s="168">
        <f t="shared" si="18"/>
        <v>8.5</v>
      </c>
      <c r="G80" s="192">
        <f t="shared" si="6"/>
        <v>4.708333333333333</v>
      </c>
      <c r="H80" s="169">
        <f>IF(D80&lt;=$N$12+1,'死亡率（標準生命表）'!M60,0)</f>
        <v>7.1740568937916915E-4</v>
      </c>
      <c r="I80" s="170">
        <f>IF(D80&lt;$N$12+1,'死亡率（標準生命表）'!N61,IF(D80=$N$12+1,I79,0))</f>
        <v>0.9651989100314986</v>
      </c>
      <c r="J80" s="171">
        <f>IF(E80="",0,CalcPut($G$10,$G$14,$G$11,$G$12,$G$13,G80))</f>
        <v>46.902367943289121</v>
      </c>
      <c r="M80" s="130">
        <f t="shared" si="7"/>
        <v>46.902367943289121</v>
      </c>
      <c r="N80" s="234">
        <f t="shared" si="8"/>
        <v>7.1740568937916915E-4</v>
      </c>
      <c r="O80" s="203">
        <f t="shared" si="9"/>
        <v>3.364802560787078E-2</v>
      </c>
      <c r="P80"/>
      <c r="R80"/>
      <c r="S80"/>
      <c r="T80"/>
      <c r="U80"/>
      <c r="Y80" s="180">
        <f t="shared" si="10"/>
        <v>0</v>
      </c>
      <c r="Z80" s="181">
        <f t="shared" si="11"/>
        <v>7.1740568937916915E-4</v>
      </c>
      <c r="AA80" s="196" t="str">
        <f t="shared" si="12"/>
        <v/>
      </c>
      <c r="AB80" s="204">
        <f t="shared" si="13"/>
        <v>0</v>
      </c>
      <c r="AI80" s="21"/>
      <c r="AK80" s="183" t="str">
        <f t="shared" si="14"/>
        <v/>
      </c>
      <c r="AL80" s="184" t="str">
        <f t="shared" si="15"/>
        <v/>
      </c>
      <c r="AM80" s="185" t="str">
        <f t="shared" si="16"/>
        <v/>
      </c>
    </row>
    <row r="81" spans="2:39" ht="18" x14ac:dyDescent="0.45">
      <c r="B81" s="22"/>
      <c r="C81" s="224">
        <f t="shared" si="0"/>
        <v>64.791666666666671</v>
      </c>
      <c r="D81" s="120">
        <v>58</v>
      </c>
      <c r="E81" s="167">
        <f t="shared" si="17"/>
        <v>64</v>
      </c>
      <c r="F81" s="168">
        <f t="shared" si="18"/>
        <v>9.5</v>
      </c>
      <c r="G81" s="192">
        <f t="shared" si="6"/>
        <v>4.791666666666667</v>
      </c>
      <c r="H81" s="169">
        <f>IF(D81&lt;=$N$12+1,'死亡率（標準生命表）'!M61,0)</f>
        <v>7.1740568937916915E-4</v>
      </c>
      <c r="I81" s="170">
        <f>IF(D81&lt;$N$12+1,'死亡率（標準生命表）'!N62,IF(D81=$N$12+1,I80,0))</f>
        <v>0.96448150434211943</v>
      </c>
      <c r="J81" s="171">
        <f>IF(E81="",0,CalcPut($G$10,$G$14,$G$11,$G$12,$G$13,G81))</f>
        <v>47.325249059083973</v>
      </c>
      <c r="M81" s="130">
        <f t="shared" si="7"/>
        <v>47.325249059083973</v>
      </c>
      <c r="N81" s="234">
        <f t="shared" si="8"/>
        <v>7.1740568937916915E-4</v>
      </c>
      <c r="O81" s="203">
        <f t="shared" si="9"/>
        <v>3.3951402926273015E-2</v>
      </c>
      <c r="P81"/>
      <c r="R81"/>
      <c r="S81"/>
      <c r="T81"/>
      <c r="U81"/>
      <c r="Y81" s="180">
        <f t="shared" si="10"/>
        <v>0</v>
      </c>
      <c r="Z81" s="181">
        <f t="shared" si="11"/>
        <v>7.1740568937916915E-4</v>
      </c>
      <c r="AA81" s="196" t="str">
        <f t="shared" si="12"/>
        <v/>
      </c>
      <c r="AB81" s="204">
        <f t="shared" si="13"/>
        <v>0</v>
      </c>
      <c r="AI81" s="21"/>
      <c r="AK81" s="183" t="str">
        <f t="shared" si="14"/>
        <v/>
      </c>
      <c r="AL81" s="184" t="str">
        <f t="shared" si="15"/>
        <v/>
      </c>
      <c r="AM81" s="185" t="str">
        <f t="shared" si="16"/>
        <v/>
      </c>
    </row>
    <row r="82" spans="2:39" ht="18" x14ac:dyDescent="0.45">
      <c r="B82" s="22"/>
      <c r="C82" s="224">
        <f t="shared" si="0"/>
        <v>64.875</v>
      </c>
      <c r="D82" s="120">
        <v>59</v>
      </c>
      <c r="E82" s="167">
        <f t="shared" si="17"/>
        <v>64</v>
      </c>
      <c r="F82" s="168">
        <f t="shared" si="18"/>
        <v>10.5</v>
      </c>
      <c r="G82" s="192">
        <f t="shared" si="6"/>
        <v>4.875</v>
      </c>
      <c r="H82" s="169">
        <f>IF(D82&lt;=$N$12+1,'死亡率（標準生命表）'!M62,0)</f>
        <v>7.1740568937916915E-4</v>
      </c>
      <c r="I82" s="170">
        <f>IF(D82&lt;$N$12+1,'死亡率（標準生命表）'!N63,IF(D82=$N$12+1,I81,0))</f>
        <v>0.96376409865274026</v>
      </c>
      <c r="J82" s="171">
        <f>IF(E82="",0,CalcPut($G$10,$G$14,$G$11,$G$12,$G$13,G82))</f>
        <v>47.744222726131234</v>
      </c>
      <c r="M82" s="130">
        <f t="shared" si="7"/>
        <v>47.744222726131234</v>
      </c>
      <c r="N82" s="234">
        <f t="shared" si="8"/>
        <v>7.1740568937916915E-4</v>
      </c>
      <c r="O82" s="203">
        <f t="shared" si="9"/>
        <v>3.425197701871277E-2</v>
      </c>
      <c r="P82"/>
      <c r="R82"/>
      <c r="S82"/>
      <c r="T82"/>
      <c r="U82"/>
      <c r="Y82" s="180">
        <f t="shared" si="10"/>
        <v>0</v>
      </c>
      <c r="Z82" s="181">
        <f t="shared" si="11"/>
        <v>7.1740568937916915E-4</v>
      </c>
      <c r="AA82" s="196" t="str">
        <f t="shared" si="12"/>
        <v/>
      </c>
      <c r="AB82" s="204">
        <f t="shared" si="13"/>
        <v>0</v>
      </c>
      <c r="AI82" s="21"/>
      <c r="AK82" s="183" t="str">
        <f t="shared" si="14"/>
        <v/>
      </c>
      <c r="AL82" s="184" t="str">
        <f t="shared" si="15"/>
        <v/>
      </c>
      <c r="AM82" s="185" t="str">
        <f t="shared" si="16"/>
        <v/>
      </c>
    </row>
    <row r="83" spans="2:39" ht="18" x14ac:dyDescent="0.45">
      <c r="B83" s="22"/>
      <c r="C83" s="224">
        <f t="shared" si="0"/>
        <v>64.958333333333329</v>
      </c>
      <c r="D83" s="120">
        <v>60</v>
      </c>
      <c r="E83" s="167">
        <f t="shared" si="17"/>
        <v>64</v>
      </c>
      <c r="F83" s="168">
        <f t="shared" si="18"/>
        <v>11.5</v>
      </c>
      <c r="G83" s="192">
        <f t="shared" si="6"/>
        <v>4.958333333333333</v>
      </c>
      <c r="H83" s="169">
        <f>IF(D83&lt;=$N$12+1,'死亡率（標準生命表）'!M63,0)</f>
        <v>7.1740568937916915E-4</v>
      </c>
      <c r="I83" s="170">
        <f>IF(D83&lt;$N$12+1,'死亡率（標準生命表）'!N64,IF(D83=$N$12+1,I82,0))</f>
        <v>0.9630466929633611</v>
      </c>
      <c r="J83" s="171">
        <f>IF(E83="",0,CalcPut($G$10,$G$14,$G$11,$G$12,$G$13,G83))</f>
        <v>48.159378071322934</v>
      </c>
      <c r="M83" s="130">
        <f t="shared" si="7"/>
        <v>48.159378071322934</v>
      </c>
      <c r="N83" s="234">
        <f t="shared" si="8"/>
        <v>7.1740568937916915E-4</v>
      </c>
      <c r="O83" s="203">
        <f t="shared" si="9"/>
        <v>3.4549811825329471E-2</v>
      </c>
      <c r="P83"/>
      <c r="R83"/>
      <c r="S83"/>
      <c r="T83"/>
      <c r="U83"/>
      <c r="Y83" s="180">
        <f t="shared" si="10"/>
        <v>0</v>
      </c>
      <c r="Z83" s="181">
        <f t="shared" si="11"/>
        <v>7.1740568937916915E-4</v>
      </c>
      <c r="AA83" s="196" t="str">
        <f t="shared" si="12"/>
        <v/>
      </c>
      <c r="AB83" s="204">
        <f t="shared" si="13"/>
        <v>0</v>
      </c>
      <c r="AI83" s="21"/>
      <c r="AK83" s="183" t="str">
        <f t="shared" si="14"/>
        <v/>
      </c>
      <c r="AL83" s="184" t="str">
        <f t="shared" si="15"/>
        <v/>
      </c>
      <c r="AM83" s="185" t="str">
        <f t="shared" si="16"/>
        <v/>
      </c>
    </row>
    <row r="84" spans="2:39" ht="18" x14ac:dyDescent="0.45">
      <c r="B84" s="22"/>
      <c r="C84" s="224">
        <f t="shared" si="0"/>
        <v>65.041666666666671</v>
      </c>
      <c r="D84" s="120">
        <v>61</v>
      </c>
      <c r="E84" s="167">
        <f t="shared" si="17"/>
        <v>65</v>
      </c>
      <c r="F84" s="168">
        <f t="shared" si="18"/>
        <v>0.5</v>
      </c>
      <c r="G84" s="192">
        <f t="shared" si="6"/>
        <v>5.041666666666667</v>
      </c>
      <c r="H84" s="169">
        <f>IF(D84&lt;=$N$12+1,'死亡率（標準生命表）'!M64,0)</f>
        <v>7.7525258783561757E-4</v>
      </c>
      <c r="I84" s="170">
        <f>IF(D84&lt;$N$12+1,'死亡率（標準生命表）'!N65,IF(D84=$N$12+1,I83,0))</f>
        <v>0.96227144037552548</v>
      </c>
      <c r="J84" s="171">
        <f>IF(E84="",0,CalcPut($G$10,$G$14,$G$11,$G$12,$G$13,G84))</f>
        <v>48.5708005842868</v>
      </c>
      <c r="M84" s="130">
        <f t="shared" si="7"/>
        <v>48.5708005842868</v>
      </c>
      <c r="N84" s="234">
        <f t="shared" si="8"/>
        <v>7.7525258783561757E-4</v>
      </c>
      <c r="O84" s="203">
        <f t="shared" si="9"/>
        <v>3.7654638846216067E-2</v>
      </c>
      <c r="P84"/>
      <c r="R84"/>
      <c r="S84"/>
      <c r="T84"/>
      <c r="U84"/>
      <c r="Y84" s="180">
        <f t="shared" si="10"/>
        <v>0</v>
      </c>
      <c r="Z84" s="181">
        <f t="shared" si="11"/>
        <v>7.7525258783561757E-4</v>
      </c>
      <c r="AA84" s="196" t="str">
        <f t="shared" si="12"/>
        <v/>
      </c>
      <c r="AB84" s="204">
        <f t="shared" si="13"/>
        <v>0</v>
      </c>
      <c r="AI84" s="21"/>
      <c r="AK84" s="183" t="str">
        <f t="shared" si="14"/>
        <v/>
      </c>
      <c r="AL84" s="184" t="str">
        <f t="shared" si="15"/>
        <v/>
      </c>
      <c r="AM84" s="185" t="str">
        <f t="shared" si="16"/>
        <v/>
      </c>
    </row>
    <row r="85" spans="2:39" ht="18" x14ac:dyDescent="0.45">
      <c r="B85" s="22"/>
      <c r="C85" s="224">
        <f t="shared" si="0"/>
        <v>65.125</v>
      </c>
      <c r="D85" s="120">
        <v>62</v>
      </c>
      <c r="E85" s="167">
        <f t="shared" si="17"/>
        <v>65</v>
      </c>
      <c r="F85" s="168">
        <f t="shared" si="18"/>
        <v>1.5</v>
      </c>
      <c r="G85" s="192">
        <f t="shared" si="6"/>
        <v>5.125</v>
      </c>
      <c r="H85" s="169">
        <f>IF(D85&lt;=$N$12+1,'死亡率（標準生命表）'!M65,0)</f>
        <v>7.7525258783539552E-4</v>
      </c>
      <c r="I85" s="170">
        <f>IF(D85&lt;$N$12+1,'死亡率（標準生命表）'!N66,IF(D85=$N$12+1,I84,0))</f>
        <v>0.96149618778769008</v>
      </c>
      <c r="J85" s="171">
        <f>IF(E85="",0,CalcPut($G$10,$G$14,$G$11,$G$12,$G$13,G85))</f>
        <v>48.978572325119565</v>
      </c>
      <c r="M85" s="130">
        <f t="shared" si="7"/>
        <v>48.978572325119565</v>
      </c>
      <c r="N85" s="234">
        <f t="shared" si="8"/>
        <v>7.7525258783539552E-4</v>
      </c>
      <c r="O85" s="203">
        <f t="shared" si="9"/>
        <v>3.7970764943532027E-2</v>
      </c>
      <c r="P85"/>
      <c r="R85"/>
      <c r="S85"/>
      <c r="T85"/>
      <c r="U85"/>
      <c r="Y85" s="180">
        <f t="shared" si="10"/>
        <v>0</v>
      </c>
      <c r="Z85" s="181">
        <f t="shared" si="11"/>
        <v>7.7525258783539552E-4</v>
      </c>
      <c r="AA85" s="196" t="str">
        <f t="shared" si="12"/>
        <v/>
      </c>
      <c r="AB85" s="204">
        <f t="shared" si="13"/>
        <v>0</v>
      </c>
      <c r="AI85" s="21"/>
      <c r="AK85" s="183" t="str">
        <f t="shared" si="14"/>
        <v/>
      </c>
      <c r="AL85" s="184" t="str">
        <f t="shared" si="15"/>
        <v/>
      </c>
      <c r="AM85" s="185" t="str">
        <f t="shared" si="16"/>
        <v/>
      </c>
    </row>
    <row r="86" spans="2:39" ht="18" x14ac:dyDescent="0.45">
      <c r="B86" s="22"/>
      <c r="C86" s="224">
        <f t="shared" si="0"/>
        <v>65.208333333333329</v>
      </c>
      <c r="D86" s="120">
        <v>63</v>
      </c>
      <c r="E86" s="167">
        <f t="shared" si="17"/>
        <v>65</v>
      </c>
      <c r="F86" s="168">
        <f t="shared" si="18"/>
        <v>2.5</v>
      </c>
      <c r="G86" s="192">
        <f t="shared" si="6"/>
        <v>5.208333333333333</v>
      </c>
      <c r="H86" s="169">
        <f>IF(D86&lt;=$N$12+1,'死亡率（標準生命表）'!M66,0)</f>
        <v>7.7525258783550655E-4</v>
      </c>
      <c r="I86" s="170">
        <f>IF(D86&lt;$N$12+1,'死亡率（標準生命表）'!N67,IF(D86=$N$12+1,I85,0))</f>
        <v>0.96072093519985458</v>
      </c>
      <c r="J86" s="171">
        <f>IF(E86="",0,CalcPut($G$10,$G$14,$G$11,$G$12,$G$13,G86))</f>
        <v>49.382772117049406</v>
      </c>
      <c r="M86" s="130">
        <f t="shared" si="7"/>
        <v>49.382772117049406</v>
      </c>
      <c r="N86" s="234">
        <f t="shared" si="8"/>
        <v>7.7525258783550655E-4</v>
      </c>
      <c r="O86" s="203">
        <f t="shared" si="9"/>
        <v>3.828412187823365E-2</v>
      </c>
      <c r="P86"/>
      <c r="R86"/>
      <c r="S86"/>
      <c r="T86"/>
      <c r="U86"/>
      <c r="Y86" s="180">
        <f t="shared" si="10"/>
        <v>0</v>
      </c>
      <c r="Z86" s="181">
        <f t="shared" si="11"/>
        <v>7.7525258783550655E-4</v>
      </c>
      <c r="AA86" s="196" t="str">
        <f t="shared" si="12"/>
        <v/>
      </c>
      <c r="AB86" s="204">
        <f t="shared" si="13"/>
        <v>0</v>
      </c>
      <c r="AI86" s="21"/>
      <c r="AK86" s="183" t="str">
        <f t="shared" si="14"/>
        <v/>
      </c>
      <c r="AL86" s="184" t="str">
        <f t="shared" si="15"/>
        <v/>
      </c>
      <c r="AM86" s="185" t="str">
        <f t="shared" si="16"/>
        <v/>
      </c>
    </row>
    <row r="87" spans="2:39" ht="18" x14ac:dyDescent="0.45">
      <c r="B87" s="22"/>
      <c r="C87" s="224">
        <f t="shared" si="0"/>
        <v>65.291666666666671</v>
      </c>
      <c r="D87" s="120">
        <v>64</v>
      </c>
      <c r="E87" s="167">
        <f t="shared" si="17"/>
        <v>65</v>
      </c>
      <c r="F87" s="168">
        <f t="shared" si="18"/>
        <v>3.5</v>
      </c>
      <c r="G87" s="192">
        <f t="shared" si="6"/>
        <v>5.291666666666667</v>
      </c>
      <c r="H87" s="169">
        <f>IF(D87&lt;=$N$12+1,'死亡率（標準生命表）'!M67,0)</f>
        <v>7.7525258783550655E-4</v>
      </c>
      <c r="I87" s="170">
        <f>IF(D87&lt;$N$12+1,'死亡率（標準生命表）'!N68,IF(D87=$N$12+1,I86,0))</f>
        <v>0.95994568261201907</v>
      </c>
      <c r="J87" s="171">
        <f>IF(E87="",0,CalcPut($G$10,$G$14,$G$11,$G$12,$G$13,G87))</f>
        <v>49.783475725347053</v>
      </c>
      <c r="M87" s="130">
        <f t="shared" si="7"/>
        <v>49.783475725347053</v>
      </c>
      <c r="N87" s="234">
        <f t="shared" si="8"/>
        <v>7.7525258783550655E-4</v>
      </c>
      <c r="O87" s="203">
        <f t="shared" si="9"/>
        <v>3.8594768387521426E-2</v>
      </c>
      <c r="P87"/>
      <c r="R87"/>
      <c r="S87"/>
      <c r="T87"/>
      <c r="U87"/>
      <c r="Y87" s="180">
        <f t="shared" si="10"/>
        <v>0</v>
      </c>
      <c r="Z87" s="181">
        <f t="shared" si="11"/>
        <v>7.7525258783550655E-4</v>
      </c>
      <c r="AA87" s="196" t="str">
        <f t="shared" si="12"/>
        <v/>
      </c>
      <c r="AB87" s="204">
        <f t="shared" si="13"/>
        <v>0</v>
      </c>
      <c r="AI87" s="21"/>
      <c r="AK87" s="183" t="str">
        <f t="shared" si="14"/>
        <v/>
      </c>
      <c r="AL87" s="184" t="str">
        <f t="shared" si="15"/>
        <v/>
      </c>
      <c r="AM87" s="185" t="str">
        <f t="shared" si="16"/>
        <v/>
      </c>
    </row>
    <row r="88" spans="2:39" ht="18" x14ac:dyDescent="0.45">
      <c r="B88" s="22"/>
      <c r="C88" s="224">
        <f t="shared" ref="C88:C144" si="19">IF(E88="","",E88+F88/12)</f>
        <v>65.375</v>
      </c>
      <c r="D88" s="120">
        <v>65</v>
      </c>
      <c r="E88" s="167">
        <f t="shared" si="17"/>
        <v>65</v>
      </c>
      <c r="F88" s="168">
        <f t="shared" si="18"/>
        <v>4.5</v>
      </c>
      <c r="G88" s="192">
        <f t="shared" si="6"/>
        <v>5.375</v>
      </c>
      <c r="H88" s="169">
        <f>IF(D88&lt;=$N$12+1,'死亡率（標準生命表）'!M68,0)</f>
        <v>7.7525258783561757E-4</v>
      </c>
      <c r="I88" s="170">
        <f>IF(D88&lt;$N$12+1,'死亡率（標準生命表）'!N69,IF(D88=$N$12+1,I87,0))</f>
        <v>0.95917043002418345</v>
      </c>
      <c r="J88" s="171">
        <f>IF(E88="",0,CalcPut($G$10,$G$14,$G$11,$G$12,$G$13,G88))</f>
        <v>50.180756023667328</v>
      </c>
      <c r="M88" s="130">
        <f t="shared" si="7"/>
        <v>50.180756023667328</v>
      </c>
      <c r="N88" s="234">
        <f t="shared" si="8"/>
        <v>7.7525258783561757E-4</v>
      </c>
      <c r="O88" s="203">
        <f t="shared" si="9"/>
        <v>3.890276096689585E-2</v>
      </c>
      <c r="P88"/>
      <c r="R88"/>
      <c r="S88"/>
      <c r="T88"/>
      <c r="U88"/>
      <c r="Y88" s="180">
        <f t="shared" si="10"/>
        <v>0</v>
      </c>
      <c r="Z88" s="181">
        <f t="shared" si="11"/>
        <v>7.7525258783561757E-4</v>
      </c>
      <c r="AA88" s="196" t="str">
        <f t="shared" si="12"/>
        <v/>
      </c>
      <c r="AB88" s="204">
        <f t="shared" si="13"/>
        <v>0</v>
      </c>
      <c r="AI88" s="21"/>
      <c r="AK88" s="183" t="str">
        <f t="shared" ref="AK88:AK119" si="20">IF($D88=$N$12+1,$R$23,"")</f>
        <v/>
      </c>
      <c r="AL88" s="184" t="str">
        <f t="shared" ref="AL88:AL119" si="21">IF($D88=$N$12+1,$S$23,"")</f>
        <v/>
      </c>
      <c r="AM88" s="185" t="str">
        <f t="shared" ref="AM88:AM119" si="22">IF($D88=$N$12+1,$T$23,"")</f>
        <v/>
      </c>
    </row>
    <row r="89" spans="2:39" ht="18" x14ac:dyDescent="0.45">
      <c r="B89" s="22"/>
      <c r="C89" s="224">
        <f t="shared" si="19"/>
        <v>65.458333333333329</v>
      </c>
      <c r="D89" s="120">
        <v>66</v>
      </c>
      <c r="E89" s="167">
        <f t="shared" ref="E89:E120" si="23">IF(D89&lt;=$N$12,IF(F89=0.5,E88+1,E88),IF(D89=$N$12+1,E88+1,""))</f>
        <v>65</v>
      </c>
      <c r="F89" s="168">
        <f t="shared" ref="F89:F120" si="24">IF(D89&lt;=$N$12,IF(F88=11.5,0.5,F88+1),IF(D89=$N$12+1,0,""))</f>
        <v>5.5</v>
      </c>
      <c r="G89" s="192">
        <f t="shared" ref="G89:G144" si="25">IFERROR(E89-$E$23+F89/12,"")</f>
        <v>5.458333333333333</v>
      </c>
      <c r="H89" s="169">
        <f>IF(D89&lt;=$N$12+1,'死亡率（標準生命表）'!M69,0)</f>
        <v>7.7525258783539552E-4</v>
      </c>
      <c r="I89" s="170">
        <f>IF(D89&lt;$N$12+1,'死亡率（標準生命表）'!N70,IF(D89=$N$12+1,I88,0))</f>
        <v>0.95839517743634806</v>
      </c>
      <c r="J89" s="171">
        <f>IF(E89="",0,CalcPut($G$10,$G$14,$G$11,$G$12,$G$13,G89))</f>
        <v>50.574683148885136</v>
      </c>
      <c r="M89" s="130">
        <f t="shared" ref="M89:M143" si="26">IF(D89&lt;=$N$12,IF($O$10,J89,""),"")</f>
        <v>50.574683148885136</v>
      </c>
      <c r="N89" s="234">
        <f t="shared" ref="N89:N143" si="27">IF($D89&lt;=$N$12,IF($O$10,H89,""),"")</f>
        <v>7.7525258783539552E-4</v>
      </c>
      <c r="O89" s="203">
        <f t="shared" ref="O89:O143" si="28">IFERROR(IF($D89&lt;=$N$12,M89*N89,0),0)</f>
        <v>3.9208153990128371E-2</v>
      </c>
      <c r="P89"/>
      <c r="R89"/>
      <c r="S89"/>
      <c r="T89"/>
      <c r="U89"/>
      <c r="Y89" s="180">
        <f t="shared" ref="Y89:Y144" si="29">$G$10*$M$17*(1-EXP(-$M$16*G89))/$M$16</f>
        <v>0</v>
      </c>
      <c r="Z89" s="181">
        <f t="shared" ref="Z89:Z144" si="30">IF($D89&lt;=$N$12,H89,"")</f>
        <v>7.7525258783539552E-4</v>
      </c>
      <c r="AA89" s="196" t="str">
        <f t="shared" ref="AA89:AA144" si="31">IF($D89=$N$12+1,I89,"")</f>
        <v/>
      </c>
      <c r="AB89" s="204">
        <f t="shared" ref="AB89:AB144" si="32">IFERROR(IF(D89=$N$12+1,$AA89,$Z89)*$Y89,"")</f>
        <v>0</v>
      </c>
      <c r="AI89" s="21"/>
      <c r="AK89" s="183" t="str">
        <f t="shared" si="20"/>
        <v/>
      </c>
      <c r="AL89" s="184" t="str">
        <f t="shared" si="21"/>
        <v/>
      </c>
      <c r="AM89" s="185" t="str">
        <f t="shared" si="22"/>
        <v/>
      </c>
    </row>
    <row r="90" spans="2:39" ht="18" x14ac:dyDescent="0.45">
      <c r="B90" s="22"/>
      <c r="C90" s="224">
        <f t="shared" si="19"/>
        <v>65.541666666666671</v>
      </c>
      <c r="D90" s="120">
        <v>67</v>
      </c>
      <c r="E90" s="167">
        <f t="shared" si="23"/>
        <v>65</v>
      </c>
      <c r="F90" s="168">
        <f t="shared" si="24"/>
        <v>6.5</v>
      </c>
      <c r="G90" s="192">
        <f t="shared" si="25"/>
        <v>5.541666666666667</v>
      </c>
      <c r="H90" s="169">
        <f>IF(D90&lt;=$N$12+1,'死亡率（標準生命表）'!M70,0)</f>
        <v>7.7525258783561757E-4</v>
      </c>
      <c r="I90" s="170">
        <f>IF(D90&lt;$N$12+1,'死亡率（標準生命表）'!N71,IF(D90=$N$12+1,I89,0))</f>
        <v>0.95761992484851244</v>
      </c>
      <c r="J90" s="171">
        <f>IF(E90="",0,CalcPut($G$10,$G$14,$G$11,$G$12,$G$13,G90))</f>
        <v>50.965324645387433</v>
      </c>
      <c r="M90" s="130">
        <f t="shared" si="26"/>
        <v>50.965324645387433</v>
      </c>
      <c r="N90" s="234">
        <f t="shared" si="27"/>
        <v>7.7525258783561757E-4</v>
      </c>
      <c r="O90" s="203">
        <f t="shared" si="28"/>
        <v>3.9510999821218987E-2</v>
      </c>
      <c r="P90"/>
      <c r="R90"/>
      <c r="S90"/>
      <c r="T90"/>
      <c r="U90"/>
      <c r="Y90" s="180">
        <f t="shared" si="29"/>
        <v>0</v>
      </c>
      <c r="Z90" s="181">
        <f t="shared" si="30"/>
        <v>7.7525258783561757E-4</v>
      </c>
      <c r="AA90" s="196" t="str">
        <f t="shared" si="31"/>
        <v/>
      </c>
      <c r="AB90" s="204">
        <f t="shared" si="32"/>
        <v>0</v>
      </c>
      <c r="AI90" s="21"/>
      <c r="AK90" s="183" t="str">
        <f t="shared" si="20"/>
        <v/>
      </c>
      <c r="AL90" s="184" t="str">
        <f t="shared" si="21"/>
        <v/>
      </c>
      <c r="AM90" s="185" t="str">
        <f t="shared" si="22"/>
        <v/>
      </c>
    </row>
    <row r="91" spans="2:39" ht="18" x14ac:dyDescent="0.45">
      <c r="B91" s="22"/>
      <c r="C91" s="224">
        <f t="shared" si="19"/>
        <v>65.625</v>
      </c>
      <c r="D91" s="120">
        <v>68</v>
      </c>
      <c r="E91" s="167">
        <f t="shared" si="23"/>
        <v>65</v>
      </c>
      <c r="F91" s="168">
        <f t="shared" si="24"/>
        <v>7.5</v>
      </c>
      <c r="G91" s="192">
        <f t="shared" si="25"/>
        <v>5.625</v>
      </c>
      <c r="H91" s="169">
        <f>IF(D91&lt;=$N$12+1,'死亡率（標準生命表）'!M71,0)</f>
        <v>7.7525258783550655E-4</v>
      </c>
      <c r="I91" s="170">
        <f>IF(D91&lt;$N$12+1,'死亡率（標準生命表）'!N72,IF(D91=$N$12+1,I90,0))</f>
        <v>0.95684467226067693</v>
      </c>
      <c r="J91" s="171">
        <f>IF(E91="",0,CalcPut($G$10,$G$14,$G$11,$G$12,$G$13,G91))</f>
        <v>51.352745599685413</v>
      </c>
      <c r="M91" s="130">
        <f t="shared" si="26"/>
        <v>51.352745599685413</v>
      </c>
      <c r="N91" s="234">
        <f t="shared" si="27"/>
        <v>7.7525258783550655E-4</v>
      </c>
      <c r="O91" s="203">
        <f t="shared" si="28"/>
        <v>3.9811348918614535E-2</v>
      </c>
      <c r="P91"/>
      <c r="R91"/>
      <c r="S91"/>
      <c r="T91"/>
      <c r="U91"/>
      <c r="Y91" s="180">
        <f t="shared" si="29"/>
        <v>0</v>
      </c>
      <c r="Z91" s="181">
        <f t="shared" si="30"/>
        <v>7.7525258783550655E-4</v>
      </c>
      <c r="AA91" s="196" t="str">
        <f t="shared" si="31"/>
        <v/>
      </c>
      <c r="AB91" s="204">
        <f t="shared" si="32"/>
        <v>0</v>
      </c>
      <c r="AI91" s="21"/>
      <c r="AK91" s="183" t="str">
        <f t="shared" si="20"/>
        <v/>
      </c>
      <c r="AL91" s="184" t="str">
        <f t="shared" si="21"/>
        <v/>
      </c>
      <c r="AM91" s="185" t="str">
        <f t="shared" si="22"/>
        <v/>
      </c>
    </row>
    <row r="92" spans="2:39" ht="18" x14ac:dyDescent="0.45">
      <c r="B92" s="22"/>
      <c r="C92" s="224">
        <f t="shared" si="19"/>
        <v>65.708333333333329</v>
      </c>
      <c r="D92" s="120">
        <v>69</v>
      </c>
      <c r="E92" s="167">
        <f t="shared" si="23"/>
        <v>65</v>
      </c>
      <c r="F92" s="168">
        <f t="shared" si="24"/>
        <v>8.5</v>
      </c>
      <c r="G92" s="192">
        <f t="shared" si="25"/>
        <v>5.708333333333333</v>
      </c>
      <c r="H92" s="169">
        <f>IF(D92&lt;=$N$12+1,'死亡率（標準生命表）'!M72,0)</f>
        <v>7.7525258783539552E-4</v>
      </c>
      <c r="I92" s="170">
        <f>IF(D92&lt;$N$12+1,'死亡率（標準生命表）'!N73,IF(D92=$N$12+1,I91,0))</f>
        <v>0.95606941967284154</v>
      </c>
      <c r="J92" s="171">
        <f>IF(E92="",0,CalcPut($G$10,$G$14,$G$11,$G$12,$G$13,G92))</f>
        <v>51.737008766131424</v>
      </c>
      <c r="M92" s="130">
        <f t="shared" si="26"/>
        <v>51.737008766131424</v>
      </c>
      <c r="N92" s="234">
        <f t="shared" si="27"/>
        <v>7.7525258783539552E-4</v>
      </c>
      <c r="O92" s="203">
        <f t="shared" si="28"/>
        <v>4.0109249932805929E-2</v>
      </c>
      <c r="P92"/>
      <c r="R92"/>
      <c r="S92"/>
      <c r="T92"/>
      <c r="U92"/>
      <c r="Y92" s="180">
        <f t="shared" si="29"/>
        <v>0</v>
      </c>
      <c r="Z92" s="181">
        <f t="shared" si="30"/>
        <v>7.7525258783539552E-4</v>
      </c>
      <c r="AA92" s="196" t="str">
        <f t="shared" si="31"/>
        <v/>
      </c>
      <c r="AB92" s="204">
        <f t="shared" si="32"/>
        <v>0</v>
      </c>
      <c r="AI92" s="21"/>
      <c r="AK92" s="183" t="str">
        <f t="shared" si="20"/>
        <v/>
      </c>
      <c r="AL92" s="184" t="str">
        <f t="shared" si="21"/>
        <v/>
      </c>
      <c r="AM92" s="185" t="str">
        <f t="shared" si="22"/>
        <v/>
      </c>
    </row>
    <row r="93" spans="2:39" ht="18" x14ac:dyDescent="0.45">
      <c r="B93" s="22"/>
      <c r="C93" s="224">
        <f t="shared" si="19"/>
        <v>65.791666666666671</v>
      </c>
      <c r="D93" s="120">
        <v>70</v>
      </c>
      <c r="E93" s="167">
        <f t="shared" si="23"/>
        <v>65</v>
      </c>
      <c r="F93" s="168">
        <f t="shared" si="24"/>
        <v>9.5</v>
      </c>
      <c r="G93" s="192">
        <f t="shared" si="25"/>
        <v>5.791666666666667</v>
      </c>
      <c r="H93" s="169">
        <f>IF(D93&lt;=$N$12+1,'死亡率（標準生命表）'!M73,0)</f>
        <v>7.7525258783550655E-4</v>
      </c>
      <c r="I93" s="170">
        <f>IF(D93&lt;$N$12+1,'死亡率（標準生命表）'!N74,IF(D93=$N$12+1,I92,0))</f>
        <v>0.95529416708500603</v>
      </c>
      <c r="J93" s="171">
        <f>IF(E93="",0,CalcPut($G$10,$G$14,$G$11,$G$12,$G$13,G93))</f>
        <v>52.118174684449691</v>
      </c>
      <c r="M93" s="130">
        <f t="shared" si="26"/>
        <v>52.118174684449691</v>
      </c>
      <c r="N93" s="234">
        <f t="shared" si="27"/>
        <v>7.7525258783550655E-4</v>
      </c>
      <c r="O93" s="203">
        <f t="shared" si="28"/>
        <v>4.0404749797382608E-2</v>
      </c>
      <c r="P93"/>
      <c r="R93"/>
      <c r="S93"/>
      <c r="T93"/>
      <c r="U93"/>
      <c r="Y93" s="180">
        <f t="shared" si="29"/>
        <v>0</v>
      </c>
      <c r="Z93" s="181">
        <f t="shared" si="30"/>
        <v>7.7525258783550655E-4</v>
      </c>
      <c r="AA93" s="196" t="str">
        <f t="shared" si="31"/>
        <v/>
      </c>
      <c r="AB93" s="204">
        <f t="shared" si="32"/>
        <v>0</v>
      </c>
      <c r="AI93" s="21"/>
      <c r="AK93" s="183" t="str">
        <f t="shared" si="20"/>
        <v/>
      </c>
      <c r="AL93" s="184" t="str">
        <f t="shared" si="21"/>
        <v/>
      </c>
      <c r="AM93" s="185" t="str">
        <f t="shared" si="22"/>
        <v/>
      </c>
    </row>
    <row r="94" spans="2:39" ht="18" x14ac:dyDescent="0.45">
      <c r="B94" s="22"/>
      <c r="C94" s="224">
        <f t="shared" si="19"/>
        <v>65.875</v>
      </c>
      <c r="D94" s="120">
        <v>71</v>
      </c>
      <c r="E94" s="167">
        <f t="shared" si="23"/>
        <v>65</v>
      </c>
      <c r="F94" s="168">
        <f t="shared" si="24"/>
        <v>10.5</v>
      </c>
      <c r="G94" s="192">
        <f t="shared" si="25"/>
        <v>5.875</v>
      </c>
      <c r="H94" s="169">
        <f>IF(D94&lt;=$N$12+1,'死亡率（標準生命表）'!M74,0)</f>
        <v>7.7525258783550655E-4</v>
      </c>
      <c r="I94" s="170">
        <f>IF(D94&lt;$N$12+1,'死亡率（標準生命表）'!N75,IF(D94=$N$12+1,I93,0))</f>
        <v>0.95451891449717052</v>
      </c>
      <c r="J94" s="171">
        <f>IF(E94="",0,CalcPut($G$10,$G$14,$G$11,$G$12,$G$13,G94))</f>
        <v>52.496301789724839</v>
      </c>
      <c r="M94" s="130">
        <f t="shared" si="26"/>
        <v>52.496301789724839</v>
      </c>
      <c r="N94" s="234">
        <f t="shared" si="27"/>
        <v>7.7525258783550655E-4</v>
      </c>
      <c r="O94" s="203">
        <f t="shared" si="28"/>
        <v>4.0697893814277915E-2</v>
      </c>
      <c r="P94"/>
      <c r="R94"/>
      <c r="S94"/>
      <c r="T94"/>
      <c r="U94"/>
      <c r="Y94" s="180">
        <f t="shared" si="29"/>
        <v>0</v>
      </c>
      <c r="Z94" s="181">
        <f t="shared" si="30"/>
        <v>7.7525258783550655E-4</v>
      </c>
      <c r="AA94" s="196" t="str">
        <f t="shared" si="31"/>
        <v/>
      </c>
      <c r="AB94" s="204">
        <f t="shared" si="32"/>
        <v>0</v>
      </c>
      <c r="AI94" s="21"/>
      <c r="AK94" s="183" t="str">
        <f t="shared" si="20"/>
        <v/>
      </c>
      <c r="AL94" s="184" t="str">
        <f t="shared" si="21"/>
        <v/>
      </c>
      <c r="AM94" s="185" t="str">
        <f t="shared" si="22"/>
        <v/>
      </c>
    </row>
    <row r="95" spans="2:39" ht="18" x14ac:dyDescent="0.45">
      <c r="B95" s="22"/>
      <c r="C95" s="224">
        <f t="shared" si="19"/>
        <v>65.958333333333329</v>
      </c>
      <c r="D95" s="120">
        <v>72</v>
      </c>
      <c r="E95" s="167">
        <f t="shared" si="23"/>
        <v>65</v>
      </c>
      <c r="F95" s="168">
        <f t="shared" si="24"/>
        <v>11.5</v>
      </c>
      <c r="G95" s="192">
        <f t="shared" si="25"/>
        <v>5.958333333333333</v>
      </c>
      <c r="H95" s="169">
        <f>IF(D95&lt;=$N$12+1,'死亡率（標準生命表）'!M75,0)</f>
        <v>7.7525258783550655E-4</v>
      </c>
      <c r="I95" s="170">
        <f>IF(D95&lt;$N$12+1,'死亡率（標準生命表）'!N76,IF(D95=$N$12+1,I94,0))</f>
        <v>0.95374366190933502</v>
      </c>
      <c r="J95" s="171">
        <f>IF(E95="",0,CalcPut($G$10,$G$14,$G$11,$G$12,$G$13,G95))</f>
        <v>52.871446515430961</v>
      </c>
      <c r="M95" s="130">
        <f t="shared" si="26"/>
        <v>52.871446515430961</v>
      </c>
      <c r="N95" s="234">
        <f t="shared" si="27"/>
        <v>7.7525258783550655E-4</v>
      </c>
      <c r="O95" s="203">
        <f t="shared" si="28"/>
        <v>4.0988725733694428E-2</v>
      </c>
      <c r="P95"/>
      <c r="R95"/>
      <c r="S95"/>
      <c r="T95"/>
      <c r="U95"/>
      <c r="Y95" s="180">
        <f t="shared" si="29"/>
        <v>0</v>
      </c>
      <c r="Z95" s="181">
        <f t="shared" si="30"/>
        <v>7.7525258783550655E-4</v>
      </c>
      <c r="AA95" s="196" t="str">
        <f t="shared" si="31"/>
        <v/>
      </c>
      <c r="AB95" s="204">
        <f t="shared" si="32"/>
        <v>0</v>
      </c>
      <c r="AI95" s="21"/>
      <c r="AK95" s="183" t="str">
        <f t="shared" si="20"/>
        <v/>
      </c>
      <c r="AL95" s="184" t="str">
        <f t="shared" si="21"/>
        <v/>
      </c>
      <c r="AM95" s="185" t="str">
        <f t="shared" si="22"/>
        <v/>
      </c>
    </row>
    <row r="96" spans="2:39" ht="18" x14ac:dyDescent="0.45">
      <c r="B96" s="22"/>
      <c r="C96" s="224">
        <f t="shared" si="19"/>
        <v>66.041666666666671</v>
      </c>
      <c r="D96" s="120">
        <v>73</v>
      </c>
      <c r="E96" s="167">
        <f t="shared" si="23"/>
        <v>66</v>
      </c>
      <c r="F96" s="168">
        <f t="shared" si="24"/>
        <v>0.5</v>
      </c>
      <c r="G96" s="192">
        <f t="shared" si="25"/>
        <v>6.041666666666667</v>
      </c>
      <c r="H96" s="169">
        <f>IF(D96&lt;=$N$12+1,'死亡率（標準生命表）'!M76,0)</f>
        <v>8.3452570417075211E-4</v>
      </c>
      <c r="I96" s="170">
        <f>IF(D96&lt;$N$12+1,'死亡率（標準生命表）'!N77,IF(D96=$N$12+1,I95,0))</f>
        <v>0.95290913620516426</v>
      </c>
      <c r="J96" s="171">
        <f>IF(E96="",0,CalcPut($G$10,$G$14,$G$11,$G$12,$G$13,G96))</f>
        <v>53.243663390035508</v>
      </c>
      <c r="M96" s="130">
        <f t="shared" si="26"/>
        <v>53.243663390035508</v>
      </c>
      <c r="N96" s="234">
        <f t="shared" si="27"/>
        <v>8.3452570417075211E-4</v>
      </c>
      <c r="O96" s="203">
        <f t="shared" si="28"/>
        <v>4.4433205683199875E-2</v>
      </c>
      <c r="P96"/>
      <c r="R96"/>
      <c r="S96"/>
      <c r="T96"/>
      <c r="U96"/>
      <c r="Y96" s="180">
        <f t="shared" si="29"/>
        <v>0</v>
      </c>
      <c r="Z96" s="181">
        <f t="shared" si="30"/>
        <v>8.3452570417075211E-4</v>
      </c>
      <c r="AA96" s="196" t="str">
        <f t="shared" si="31"/>
        <v/>
      </c>
      <c r="AB96" s="204">
        <f t="shared" si="32"/>
        <v>0</v>
      </c>
      <c r="AI96" s="21"/>
      <c r="AK96" s="183" t="str">
        <f t="shared" si="20"/>
        <v/>
      </c>
      <c r="AL96" s="184" t="str">
        <f t="shared" si="21"/>
        <v/>
      </c>
      <c r="AM96" s="185" t="str">
        <f t="shared" si="22"/>
        <v/>
      </c>
    </row>
    <row r="97" spans="2:39" ht="18" x14ac:dyDescent="0.45">
      <c r="B97" s="22"/>
      <c r="C97" s="224">
        <f t="shared" si="19"/>
        <v>66.125</v>
      </c>
      <c r="D97" s="120">
        <v>74</v>
      </c>
      <c r="E97" s="167">
        <f t="shared" si="23"/>
        <v>66</v>
      </c>
      <c r="F97" s="168">
        <f t="shared" si="24"/>
        <v>1.5</v>
      </c>
      <c r="G97" s="192">
        <f t="shared" si="25"/>
        <v>6.125</v>
      </c>
      <c r="H97" s="169">
        <f>IF(D97&lt;=$N$12+1,'死亡率（標準生命表）'!M77,0)</f>
        <v>8.3452570417064109E-4</v>
      </c>
      <c r="I97" s="170">
        <f>IF(D97&lt;$N$12+1,'死亡率（標準生命表）'!N78,IF(D97=$N$12+1,I96,0))</f>
        <v>0.95207461050099362</v>
      </c>
      <c r="J97" s="171">
        <f>IF(E97="",0,CalcPut($G$10,$G$14,$G$11,$G$12,$G$13,G97))</f>
        <v>53.61300512765974</v>
      </c>
      <c r="M97" s="130">
        <f t="shared" si="26"/>
        <v>53.61300512765974</v>
      </c>
      <c r="N97" s="234">
        <f t="shared" si="27"/>
        <v>8.3452570417064109E-4</v>
      </c>
      <c r="O97" s="203">
        <f t="shared" si="28"/>
        <v>4.4741430856864439E-2</v>
      </c>
      <c r="P97"/>
      <c r="R97"/>
      <c r="S97"/>
      <c r="T97"/>
      <c r="U97"/>
      <c r="Y97" s="180">
        <f t="shared" si="29"/>
        <v>0</v>
      </c>
      <c r="Z97" s="181">
        <f t="shared" si="30"/>
        <v>8.3452570417064109E-4</v>
      </c>
      <c r="AA97" s="196" t="str">
        <f t="shared" si="31"/>
        <v/>
      </c>
      <c r="AB97" s="204">
        <f t="shared" si="32"/>
        <v>0</v>
      </c>
      <c r="AI97" s="21"/>
      <c r="AK97" s="183" t="str">
        <f t="shared" si="20"/>
        <v/>
      </c>
      <c r="AL97" s="184" t="str">
        <f t="shared" si="21"/>
        <v/>
      </c>
      <c r="AM97" s="185" t="str">
        <f t="shared" si="22"/>
        <v/>
      </c>
    </row>
    <row r="98" spans="2:39" ht="18" x14ac:dyDescent="0.45">
      <c r="B98" s="22"/>
      <c r="C98" s="224">
        <f t="shared" si="19"/>
        <v>66.208333333333329</v>
      </c>
      <c r="D98" s="120">
        <v>75</v>
      </c>
      <c r="E98" s="167">
        <f t="shared" si="23"/>
        <v>66</v>
      </c>
      <c r="F98" s="168">
        <f t="shared" si="24"/>
        <v>2.5</v>
      </c>
      <c r="G98" s="192">
        <f t="shared" si="25"/>
        <v>6.208333333333333</v>
      </c>
      <c r="H98" s="169">
        <f>IF(D98&lt;=$N$12+1,'死亡率（標準生命表）'!M78,0)</f>
        <v>8.3452570417064109E-4</v>
      </c>
      <c r="I98" s="170">
        <f>IF(D98&lt;$N$12+1,'死亡率（標準生命表）'!N79,IF(D98=$N$12+1,I97,0))</f>
        <v>0.95124008479682298</v>
      </c>
      <c r="J98" s="171">
        <f>IF(E98="",0,CalcPut($G$10,$G$14,$G$11,$G$12,$G$13,G98))</f>
        <v>53.979522713239284</v>
      </c>
      <c r="M98" s="130">
        <f t="shared" si="26"/>
        <v>53.979522713239284</v>
      </c>
      <c r="N98" s="234">
        <f t="shared" si="27"/>
        <v>8.3452570417064109E-4</v>
      </c>
      <c r="O98" s="203">
        <f t="shared" si="28"/>
        <v>4.5047299203061129E-2</v>
      </c>
      <c r="P98"/>
      <c r="R98"/>
      <c r="S98"/>
      <c r="T98"/>
      <c r="U98"/>
      <c r="Y98" s="180">
        <f t="shared" si="29"/>
        <v>0</v>
      </c>
      <c r="Z98" s="181">
        <f t="shared" si="30"/>
        <v>8.3452570417064109E-4</v>
      </c>
      <c r="AA98" s="196" t="str">
        <f t="shared" si="31"/>
        <v/>
      </c>
      <c r="AB98" s="204">
        <f t="shared" si="32"/>
        <v>0</v>
      </c>
      <c r="AI98" s="21"/>
      <c r="AK98" s="183" t="str">
        <f t="shared" si="20"/>
        <v/>
      </c>
      <c r="AL98" s="184" t="str">
        <f t="shared" si="21"/>
        <v/>
      </c>
      <c r="AM98" s="185" t="str">
        <f t="shared" si="22"/>
        <v/>
      </c>
    </row>
    <row r="99" spans="2:39" ht="18" x14ac:dyDescent="0.45">
      <c r="B99" s="22"/>
      <c r="C99" s="224">
        <f t="shared" si="19"/>
        <v>66.291666666666671</v>
      </c>
      <c r="D99" s="120">
        <v>76</v>
      </c>
      <c r="E99" s="167">
        <f t="shared" si="23"/>
        <v>66</v>
      </c>
      <c r="F99" s="168">
        <f t="shared" si="24"/>
        <v>3.5</v>
      </c>
      <c r="G99" s="192">
        <f t="shared" si="25"/>
        <v>6.291666666666667</v>
      </c>
      <c r="H99" s="169">
        <f>IF(D99&lt;=$N$12+1,'死亡率（標準生命表）'!M79,0)</f>
        <v>8.3452570417064109E-4</v>
      </c>
      <c r="I99" s="170">
        <f>IF(D99&lt;$N$12+1,'死亡率（標準生命表）'!N80,IF(D99=$N$12+1,I98,0))</f>
        <v>0.95040555909265234</v>
      </c>
      <c r="J99" s="171">
        <f>IF(E99="",0,CalcPut($G$10,$G$14,$G$11,$G$12,$G$13,G99))</f>
        <v>54.343265482586389</v>
      </c>
      <c r="M99" s="130">
        <f t="shared" si="26"/>
        <v>54.343265482586389</v>
      </c>
      <c r="N99" s="234">
        <f t="shared" si="27"/>
        <v>8.3452570417064109E-4</v>
      </c>
      <c r="O99" s="203">
        <f t="shared" si="28"/>
        <v>4.53508518937875E-2</v>
      </c>
      <c r="P99"/>
      <c r="R99"/>
      <c r="S99"/>
      <c r="T99"/>
      <c r="U99"/>
      <c r="Y99" s="180">
        <f t="shared" si="29"/>
        <v>0</v>
      </c>
      <c r="Z99" s="181">
        <f t="shared" si="30"/>
        <v>8.3452570417064109E-4</v>
      </c>
      <c r="AA99" s="196" t="str">
        <f t="shared" si="31"/>
        <v/>
      </c>
      <c r="AB99" s="204">
        <f t="shared" si="32"/>
        <v>0</v>
      </c>
      <c r="AI99" s="21"/>
      <c r="AK99" s="183" t="str">
        <f t="shared" si="20"/>
        <v/>
      </c>
      <c r="AL99" s="184" t="str">
        <f t="shared" si="21"/>
        <v/>
      </c>
      <c r="AM99" s="185" t="str">
        <f t="shared" si="22"/>
        <v/>
      </c>
    </row>
    <row r="100" spans="2:39" ht="18" x14ac:dyDescent="0.45">
      <c r="B100" s="22"/>
      <c r="C100" s="224">
        <f t="shared" si="19"/>
        <v>66.375</v>
      </c>
      <c r="D100" s="120">
        <v>77</v>
      </c>
      <c r="E100" s="167">
        <f t="shared" si="23"/>
        <v>66</v>
      </c>
      <c r="F100" s="168">
        <f t="shared" si="24"/>
        <v>4.5</v>
      </c>
      <c r="G100" s="192">
        <f t="shared" si="25"/>
        <v>6.375</v>
      </c>
      <c r="H100" s="169">
        <f>IF(D100&lt;=$N$12+1,'死亡率（標準生命表）'!M80,0)</f>
        <v>8.3452570417075211E-4</v>
      </c>
      <c r="I100" s="170">
        <f>IF(D100&lt;$N$12+1,'死亡率（標準生命表）'!N81,IF(D100=$N$12+1,I99,0))</f>
        <v>0.94957103338848159</v>
      </c>
      <c r="J100" s="171">
        <f>IF(E100="",0,CalcPut($G$10,$G$14,$G$11,$G$12,$G$13,G100))</f>
        <v>54.704281197724612</v>
      </c>
      <c r="M100" s="130">
        <f t="shared" si="26"/>
        <v>54.704281197724612</v>
      </c>
      <c r="N100" s="234">
        <f t="shared" si="27"/>
        <v>8.3452570417075211E-4</v>
      </c>
      <c r="O100" s="203">
        <f t="shared" si="28"/>
        <v>4.5652128787685965E-2</v>
      </c>
      <c r="P100"/>
      <c r="R100"/>
      <c r="S100"/>
      <c r="T100"/>
      <c r="U100"/>
      <c r="Y100" s="180">
        <f t="shared" si="29"/>
        <v>0</v>
      </c>
      <c r="Z100" s="181">
        <f t="shared" si="30"/>
        <v>8.3452570417075211E-4</v>
      </c>
      <c r="AA100" s="196" t="str">
        <f t="shared" si="31"/>
        <v/>
      </c>
      <c r="AB100" s="204">
        <f t="shared" si="32"/>
        <v>0</v>
      </c>
      <c r="AI100" s="21"/>
      <c r="AK100" s="183" t="str">
        <f t="shared" si="20"/>
        <v/>
      </c>
      <c r="AL100" s="184" t="str">
        <f t="shared" si="21"/>
        <v/>
      </c>
      <c r="AM100" s="185" t="str">
        <f t="shared" si="22"/>
        <v/>
      </c>
    </row>
    <row r="101" spans="2:39" ht="18" x14ac:dyDescent="0.45">
      <c r="B101" s="22"/>
      <c r="C101" s="224">
        <f t="shared" si="19"/>
        <v>66.458333333333329</v>
      </c>
      <c r="D101" s="120">
        <v>78</v>
      </c>
      <c r="E101" s="167">
        <f t="shared" si="23"/>
        <v>66</v>
      </c>
      <c r="F101" s="168">
        <f t="shared" si="24"/>
        <v>5.5</v>
      </c>
      <c r="G101" s="192">
        <f t="shared" si="25"/>
        <v>6.458333333333333</v>
      </c>
      <c r="H101" s="169">
        <f>IF(D101&lt;=$N$12+1,'死亡率（標準生命表）'!M81,0)</f>
        <v>8.3452570417053007E-4</v>
      </c>
      <c r="I101" s="170">
        <f>IF(D101&lt;$N$12+1,'死亡率（標準生命表）'!N82,IF(D101=$N$12+1,I100,0))</f>
        <v>0.94873650768431106</v>
      </c>
      <c r="J101" s="171">
        <f>IF(E101="",0,CalcPut($G$10,$G$14,$G$11,$G$12,$G$13,G101))</f>
        <v>55.062616117831496</v>
      </c>
      <c r="M101" s="130">
        <f t="shared" si="26"/>
        <v>55.062616117831496</v>
      </c>
      <c r="N101" s="234">
        <f t="shared" si="27"/>
        <v>8.3452570417053007E-4</v>
      </c>
      <c r="O101" s="203">
        <f t="shared" si="28"/>
        <v>4.5951168489204906E-2</v>
      </c>
      <c r="P101"/>
      <c r="R101"/>
      <c r="S101"/>
      <c r="T101"/>
      <c r="U101"/>
      <c r="Y101" s="180">
        <f t="shared" si="29"/>
        <v>0</v>
      </c>
      <c r="Z101" s="181">
        <f t="shared" si="30"/>
        <v>8.3452570417053007E-4</v>
      </c>
      <c r="AA101" s="196" t="str">
        <f t="shared" si="31"/>
        <v/>
      </c>
      <c r="AB101" s="204">
        <f t="shared" si="32"/>
        <v>0</v>
      </c>
      <c r="AI101" s="21"/>
      <c r="AK101" s="183" t="str">
        <f t="shared" si="20"/>
        <v/>
      </c>
      <c r="AL101" s="184" t="str">
        <f t="shared" si="21"/>
        <v/>
      </c>
      <c r="AM101" s="185" t="str">
        <f t="shared" si="22"/>
        <v/>
      </c>
    </row>
    <row r="102" spans="2:39" ht="18" x14ac:dyDescent="0.45">
      <c r="B102" s="22"/>
      <c r="C102" s="224">
        <f t="shared" si="19"/>
        <v>66.541666666666671</v>
      </c>
      <c r="D102" s="120">
        <v>79</v>
      </c>
      <c r="E102" s="167">
        <f t="shared" si="23"/>
        <v>66</v>
      </c>
      <c r="F102" s="168">
        <f t="shared" si="24"/>
        <v>6.5</v>
      </c>
      <c r="G102" s="192">
        <f t="shared" si="25"/>
        <v>6.541666666666667</v>
      </c>
      <c r="H102" s="169">
        <f>IF(D102&lt;=$N$12+1,'死亡率（標準生命表）'!M82,0)</f>
        <v>8.3452570417064109E-4</v>
      </c>
      <c r="I102" s="170">
        <f>IF(D102&lt;$N$12+1,'死亡率（標準生命表）'!N83,IF(D102=$N$12+1,I101,0))</f>
        <v>0.94790198198014042</v>
      </c>
      <c r="J102" s="171">
        <f>IF(E102="",0,CalcPut($G$10,$G$14,$G$11,$G$12,$G$13,G102))</f>
        <v>55.418315066100988</v>
      </c>
      <c r="M102" s="130">
        <f t="shared" si="26"/>
        <v>55.418315066100988</v>
      </c>
      <c r="N102" s="234">
        <f t="shared" si="27"/>
        <v>8.3452570417064109E-4</v>
      </c>
      <c r="O102" s="203">
        <f t="shared" si="28"/>
        <v>4.6248008404488374E-2</v>
      </c>
      <c r="P102"/>
      <c r="R102"/>
      <c r="S102"/>
      <c r="T102"/>
      <c r="U102"/>
      <c r="Y102" s="180">
        <f t="shared" si="29"/>
        <v>0</v>
      </c>
      <c r="Z102" s="181">
        <f t="shared" si="30"/>
        <v>8.3452570417064109E-4</v>
      </c>
      <c r="AA102" s="196" t="str">
        <f t="shared" si="31"/>
        <v/>
      </c>
      <c r="AB102" s="204">
        <f t="shared" si="32"/>
        <v>0</v>
      </c>
      <c r="AI102" s="21"/>
      <c r="AK102" s="183" t="str">
        <f t="shared" si="20"/>
        <v/>
      </c>
      <c r="AL102" s="184" t="str">
        <f t="shared" si="21"/>
        <v/>
      </c>
      <c r="AM102" s="185" t="str">
        <f t="shared" si="22"/>
        <v/>
      </c>
    </row>
    <row r="103" spans="2:39" ht="18" x14ac:dyDescent="0.45">
      <c r="B103" s="22"/>
      <c r="C103" s="224">
        <f t="shared" si="19"/>
        <v>66.625</v>
      </c>
      <c r="D103" s="120">
        <v>80</v>
      </c>
      <c r="E103" s="167">
        <f t="shared" si="23"/>
        <v>66</v>
      </c>
      <c r="F103" s="168">
        <f t="shared" si="24"/>
        <v>7.5</v>
      </c>
      <c r="G103" s="192">
        <f t="shared" si="25"/>
        <v>6.625</v>
      </c>
      <c r="H103" s="169">
        <f>IF(D103&lt;=$N$12+1,'死亡率（標準生命表）'!M83,0)</f>
        <v>8.3452570417086314E-4</v>
      </c>
      <c r="I103" s="170">
        <f>IF(D103&lt;$N$12+1,'死亡率（標準生命表）'!N84,IF(D103=$N$12+1,I102,0))</f>
        <v>0.94706745627596955</v>
      </c>
      <c r="J103" s="171">
        <f>IF(E103="",0,CalcPut($G$10,$G$14,$G$11,$G$12,$G$13,G103))</f>
        <v>55.771421492807072</v>
      </c>
      <c r="M103" s="130">
        <f t="shared" si="26"/>
        <v>55.771421492807072</v>
      </c>
      <c r="N103" s="234">
        <f t="shared" si="27"/>
        <v>8.3452570417086314E-4</v>
      </c>
      <c r="O103" s="203">
        <f t="shared" si="28"/>
        <v>4.6542684793894833E-2</v>
      </c>
      <c r="P103"/>
      <c r="R103"/>
      <c r="S103"/>
      <c r="T103"/>
      <c r="U103"/>
      <c r="Y103" s="180">
        <f t="shared" si="29"/>
        <v>0</v>
      </c>
      <c r="Z103" s="181">
        <f t="shared" si="30"/>
        <v>8.3452570417086314E-4</v>
      </c>
      <c r="AA103" s="196" t="str">
        <f t="shared" si="31"/>
        <v/>
      </c>
      <c r="AB103" s="204">
        <f t="shared" si="32"/>
        <v>0</v>
      </c>
      <c r="AI103" s="21"/>
      <c r="AK103" s="183" t="str">
        <f t="shared" si="20"/>
        <v/>
      </c>
      <c r="AL103" s="184" t="str">
        <f t="shared" si="21"/>
        <v/>
      </c>
      <c r="AM103" s="185" t="str">
        <f t="shared" si="22"/>
        <v/>
      </c>
    </row>
    <row r="104" spans="2:39" ht="18" x14ac:dyDescent="0.45">
      <c r="B104" s="22"/>
      <c r="C104" s="224">
        <f t="shared" si="19"/>
        <v>66.708333333333329</v>
      </c>
      <c r="D104" s="120">
        <v>81</v>
      </c>
      <c r="E104" s="167">
        <f t="shared" si="23"/>
        <v>66</v>
      </c>
      <c r="F104" s="168">
        <f t="shared" si="24"/>
        <v>8.5</v>
      </c>
      <c r="G104" s="192">
        <f t="shared" si="25"/>
        <v>6.708333333333333</v>
      </c>
      <c r="H104" s="169">
        <f>IF(D104&lt;=$N$12+1,'死亡率（標準生命表）'!M84,0)</f>
        <v>8.3452570417053007E-4</v>
      </c>
      <c r="I104" s="170">
        <f>IF(D104&lt;$N$12+1,'死亡率（標準生命表）'!N85,IF(D104=$N$12+1,I103,0))</f>
        <v>0.94623293057179902</v>
      </c>
      <c r="J104" s="171">
        <f>IF(E104="",0,CalcPut($G$10,$G$14,$G$11,$G$12,$G$13,G104))</f>
        <v>56.121977534832311</v>
      </c>
      <c r="M104" s="130">
        <f t="shared" si="26"/>
        <v>56.121977534832311</v>
      </c>
      <c r="N104" s="234">
        <f t="shared" si="27"/>
        <v>8.3452570417053007E-4</v>
      </c>
      <c r="O104" s="203">
        <f t="shared" si="28"/>
        <v>4.6835232821698602E-2</v>
      </c>
      <c r="P104"/>
      <c r="R104"/>
      <c r="S104"/>
      <c r="T104"/>
      <c r="U104"/>
      <c r="Y104" s="180">
        <f t="shared" si="29"/>
        <v>0</v>
      </c>
      <c r="Z104" s="181">
        <f t="shared" si="30"/>
        <v>8.3452570417053007E-4</v>
      </c>
      <c r="AA104" s="196" t="str">
        <f t="shared" si="31"/>
        <v/>
      </c>
      <c r="AB104" s="204">
        <f t="shared" si="32"/>
        <v>0</v>
      </c>
      <c r="AI104" s="21"/>
      <c r="AK104" s="183" t="str">
        <f t="shared" si="20"/>
        <v/>
      </c>
      <c r="AL104" s="184" t="str">
        <f t="shared" si="21"/>
        <v/>
      </c>
      <c r="AM104" s="185" t="str">
        <f t="shared" si="22"/>
        <v/>
      </c>
    </row>
    <row r="105" spans="2:39" ht="18" x14ac:dyDescent="0.45">
      <c r="B105" s="22"/>
      <c r="C105" s="224">
        <f t="shared" si="19"/>
        <v>66.791666666666671</v>
      </c>
      <c r="D105" s="120">
        <v>82</v>
      </c>
      <c r="E105" s="167">
        <f t="shared" si="23"/>
        <v>66</v>
      </c>
      <c r="F105" s="168">
        <f t="shared" si="24"/>
        <v>9.5</v>
      </c>
      <c r="G105" s="192">
        <f t="shared" si="25"/>
        <v>6.791666666666667</v>
      </c>
      <c r="H105" s="169">
        <f>IF(D105&lt;=$N$12+1,'死亡率（標準生命表）'!M85,0)</f>
        <v>8.3452570417064109E-4</v>
      </c>
      <c r="I105" s="170">
        <f>IF(D105&lt;$N$12+1,'死亡率（標準生命表）'!N86,IF(D105=$N$12+1,I104,0))</f>
        <v>0.94539840486762838</v>
      </c>
      <c r="J105" s="171">
        <f>IF(E105="",0,CalcPut($G$10,$G$14,$G$11,$G$12,$G$13,G105))</f>
        <v>56.47002407189845</v>
      </c>
      <c r="M105" s="130">
        <f t="shared" si="26"/>
        <v>56.47002407189845</v>
      </c>
      <c r="N105" s="234">
        <f t="shared" si="27"/>
        <v>8.3452570417064109E-4</v>
      </c>
      <c r="O105" s="203">
        <f t="shared" si="28"/>
        <v>4.7125686603134105E-2</v>
      </c>
      <c r="P105"/>
      <c r="R105"/>
      <c r="S105"/>
      <c r="T105"/>
      <c r="U105"/>
      <c r="Y105" s="180">
        <f t="shared" si="29"/>
        <v>0</v>
      </c>
      <c r="Z105" s="181">
        <f t="shared" si="30"/>
        <v>8.3452570417064109E-4</v>
      </c>
      <c r="AA105" s="196" t="str">
        <f t="shared" si="31"/>
        <v/>
      </c>
      <c r="AB105" s="204">
        <f t="shared" si="32"/>
        <v>0</v>
      </c>
      <c r="AI105" s="21"/>
      <c r="AK105" s="183" t="str">
        <f t="shared" si="20"/>
        <v/>
      </c>
      <c r="AL105" s="184" t="str">
        <f t="shared" si="21"/>
        <v/>
      </c>
      <c r="AM105" s="185" t="str">
        <f t="shared" si="22"/>
        <v/>
      </c>
    </row>
    <row r="106" spans="2:39" ht="18" x14ac:dyDescent="0.45">
      <c r="B106" s="22"/>
      <c r="C106" s="224">
        <f t="shared" si="19"/>
        <v>66.875</v>
      </c>
      <c r="D106" s="120">
        <v>83</v>
      </c>
      <c r="E106" s="167">
        <f t="shared" si="23"/>
        <v>66</v>
      </c>
      <c r="F106" s="168">
        <f t="shared" si="24"/>
        <v>10.5</v>
      </c>
      <c r="G106" s="192">
        <f t="shared" si="25"/>
        <v>6.875</v>
      </c>
      <c r="H106" s="169">
        <f>IF(D106&lt;=$N$12+1,'死亡率（標準生命表）'!M86,0)</f>
        <v>8.3452570417075211E-4</v>
      </c>
      <c r="I106" s="170">
        <f>IF(D106&lt;$N$12+1,'死亡率（標準生命表）'!N87,IF(D106=$N$12+1,I105,0))</f>
        <v>0.94456387916345763</v>
      </c>
      <c r="J106" s="171">
        <f>IF(E106="",0,CalcPut($G$10,$G$14,$G$11,$G$12,$G$13,G106))</f>
        <v>56.81560077972194</v>
      </c>
      <c r="M106" s="130">
        <f t="shared" si="26"/>
        <v>56.81560077972194</v>
      </c>
      <c r="N106" s="234">
        <f t="shared" si="27"/>
        <v>8.3452570417075211E-4</v>
      </c>
      <c r="O106" s="203">
        <f t="shared" si="28"/>
        <v>4.7414079248581785E-2</v>
      </c>
      <c r="P106"/>
      <c r="R106"/>
      <c r="S106"/>
      <c r="T106"/>
      <c r="U106"/>
      <c r="Y106" s="180">
        <f t="shared" si="29"/>
        <v>0</v>
      </c>
      <c r="Z106" s="181">
        <f t="shared" si="30"/>
        <v>8.3452570417075211E-4</v>
      </c>
      <c r="AA106" s="196" t="str">
        <f t="shared" si="31"/>
        <v/>
      </c>
      <c r="AB106" s="204">
        <f t="shared" si="32"/>
        <v>0</v>
      </c>
      <c r="AI106" s="21"/>
      <c r="AK106" s="183" t="str">
        <f t="shared" si="20"/>
        <v/>
      </c>
      <c r="AL106" s="184" t="str">
        <f t="shared" si="21"/>
        <v/>
      </c>
      <c r="AM106" s="185" t="str">
        <f t="shared" si="22"/>
        <v/>
      </c>
    </row>
    <row r="107" spans="2:39" ht="18" x14ac:dyDescent="0.45">
      <c r="B107" s="22"/>
      <c r="C107" s="224">
        <f t="shared" si="19"/>
        <v>66.958333333333329</v>
      </c>
      <c r="D107" s="120">
        <v>84</v>
      </c>
      <c r="E107" s="167">
        <f t="shared" si="23"/>
        <v>66</v>
      </c>
      <c r="F107" s="168">
        <f t="shared" si="24"/>
        <v>11.5</v>
      </c>
      <c r="G107" s="192">
        <f t="shared" si="25"/>
        <v>6.958333333333333</v>
      </c>
      <c r="H107" s="169">
        <f>IF(D107&lt;=$N$12+1,'死亡率（標準生命表）'!M87,0)</f>
        <v>8.3452570417064109E-4</v>
      </c>
      <c r="I107" s="170">
        <f>IF(D107&lt;$N$12+1,'死亡率（標準生命表）'!N88,IF(D107=$N$12+1,I106,0))</f>
        <v>0.94372935345928699</v>
      </c>
      <c r="J107" s="171">
        <f>IF(E107="",0,CalcPut($G$10,$G$14,$G$11,$G$12,$G$13,G107))</f>
        <v>57.158746180297946</v>
      </c>
      <c r="M107" s="130">
        <f t="shared" si="26"/>
        <v>57.158746180297946</v>
      </c>
      <c r="N107" s="234">
        <f t="shared" si="27"/>
        <v>8.3452570417064109E-4</v>
      </c>
      <c r="O107" s="203">
        <f t="shared" si="28"/>
        <v>4.7700442905624085E-2</v>
      </c>
      <c r="P107"/>
      <c r="R107"/>
      <c r="S107"/>
      <c r="T107"/>
      <c r="U107"/>
      <c r="Y107" s="180">
        <f t="shared" si="29"/>
        <v>0</v>
      </c>
      <c r="Z107" s="181">
        <f t="shared" si="30"/>
        <v>8.3452570417064109E-4</v>
      </c>
      <c r="AA107" s="196" t="str">
        <f t="shared" si="31"/>
        <v/>
      </c>
      <c r="AB107" s="204">
        <f t="shared" si="32"/>
        <v>0</v>
      </c>
      <c r="AI107" s="21"/>
      <c r="AK107" s="183" t="str">
        <f t="shared" si="20"/>
        <v/>
      </c>
      <c r="AL107" s="184" t="str">
        <f t="shared" si="21"/>
        <v/>
      </c>
      <c r="AM107" s="185" t="str">
        <f t="shared" si="22"/>
        <v/>
      </c>
    </row>
    <row r="108" spans="2:39" ht="18" x14ac:dyDescent="0.45">
      <c r="B108" s="22"/>
      <c r="C108" s="224">
        <f t="shared" si="19"/>
        <v>67.041666666666671</v>
      </c>
      <c r="D108" s="120">
        <v>85</v>
      </c>
      <c r="E108" s="167">
        <f t="shared" si="23"/>
        <v>67</v>
      </c>
      <c r="F108" s="168">
        <f t="shared" si="24"/>
        <v>0.5</v>
      </c>
      <c r="G108" s="192">
        <f t="shared" si="25"/>
        <v>7.041666666666667</v>
      </c>
      <c r="H108" s="169">
        <f>IF(D108&lt;=$N$12+1,'死亡率（標準生命表）'!M88,0)</f>
        <v>8.9654288578644437E-4</v>
      </c>
      <c r="I108" s="170">
        <f>IF(D108&lt;$N$12+1,'死亡率（標準生命表）'!N89,IF(D108=$N$12+1,I107,0))</f>
        <v>0.94283281057350055</v>
      </c>
      <c r="J108" s="171">
        <f>IF(E108="",0,CalcPut($G$10,$G$14,$G$11,$G$12,$G$13,G108))</f>
        <v>57.499497689499265</v>
      </c>
      <c r="M108" s="130">
        <f t="shared" si="26"/>
        <v>57.499497689499265</v>
      </c>
      <c r="N108" s="234">
        <f t="shared" si="27"/>
        <v>8.9654288578644437E-4</v>
      </c>
      <c r="O108" s="203">
        <f t="shared" si="28"/>
        <v>5.1550765589814661E-2</v>
      </c>
      <c r="P108"/>
      <c r="R108"/>
      <c r="S108"/>
      <c r="T108"/>
      <c r="U108"/>
      <c r="Y108" s="180">
        <f t="shared" si="29"/>
        <v>0</v>
      </c>
      <c r="Z108" s="181">
        <f t="shared" si="30"/>
        <v>8.9654288578644437E-4</v>
      </c>
      <c r="AA108" s="196" t="str">
        <f t="shared" si="31"/>
        <v/>
      </c>
      <c r="AB108" s="204">
        <f t="shared" si="32"/>
        <v>0</v>
      </c>
      <c r="AI108" s="21"/>
      <c r="AK108" s="183" t="str">
        <f t="shared" si="20"/>
        <v/>
      </c>
      <c r="AL108" s="184" t="str">
        <f t="shared" si="21"/>
        <v/>
      </c>
      <c r="AM108" s="185" t="str">
        <f t="shared" si="22"/>
        <v/>
      </c>
    </row>
    <row r="109" spans="2:39" ht="18" x14ac:dyDescent="0.45">
      <c r="B109" s="22"/>
      <c r="C109" s="224">
        <f t="shared" si="19"/>
        <v>67.125</v>
      </c>
      <c r="D109" s="120">
        <v>86</v>
      </c>
      <c r="E109" s="167">
        <f t="shared" si="23"/>
        <v>67</v>
      </c>
      <c r="F109" s="168">
        <f t="shared" si="24"/>
        <v>1.5</v>
      </c>
      <c r="G109" s="192">
        <f t="shared" si="25"/>
        <v>7.125</v>
      </c>
      <c r="H109" s="169">
        <f>IF(D109&lt;=$N$12+1,'死亡率（標準生命表）'!M89,0)</f>
        <v>8.965428857861113E-4</v>
      </c>
      <c r="I109" s="170">
        <f>IF(D109&lt;$N$12+1,'死亡率（標準生命表）'!N90,IF(D109=$N$12+1,I108,0))</f>
        <v>0.94193626768771443</v>
      </c>
      <c r="J109" s="171">
        <f>IF(E109="",0,CalcPut($G$10,$G$14,$G$11,$G$12,$G$13,G109))</f>
        <v>57.837891662165084</v>
      </c>
      <c r="M109" s="130">
        <f t="shared" si="26"/>
        <v>57.837891662165084</v>
      </c>
      <c r="N109" s="234">
        <f t="shared" si="27"/>
        <v>8.965428857861113E-4</v>
      </c>
      <c r="O109" s="203">
        <f t="shared" si="28"/>
        <v>5.1854150298581952E-2</v>
      </c>
      <c r="P109"/>
      <c r="R109"/>
      <c r="S109"/>
      <c r="T109"/>
      <c r="U109"/>
      <c r="Y109" s="180">
        <f t="shared" si="29"/>
        <v>0</v>
      </c>
      <c r="Z109" s="181">
        <f t="shared" si="30"/>
        <v>8.965428857861113E-4</v>
      </c>
      <c r="AA109" s="196" t="str">
        <f t="shared" si="31"/>
        <v/>
      </c>
      <c r="AB109" s="204">
        <f t="shared" si="32"/>
        <v>0</v>
      </c>
      <c r="AI109" s="21"/>
      <c r="AK109" s="183" t="str">
        <f t="shared" si="20"/>
        <v/>
      </c>
      <c r="AL109" s="184" t="str">
        <f t="shared" si="21"/>
        <v/>
      </c>
      <c r="AM109" s="185" t="str">
        <f t="shared" si="22"/>
        <v/>
      </c>
    </row>
    <row r="110" spans="2:39" ht="18" x14ac:dyDescent="0.45">
      <c r="B110" s="22"/>
      <c r="C110" s="224">
        <f t="shared" si="19"/>
        <v>67.208333333333329</v>
      </c>
      <c r="D110" s="120">
        <v>87</v>
      </c>
      <c r="E110" s="167">
        <f t="shared" si="23"/>
        <v>67</v>
      </c>
      <c r="F110" s="168">
        <f t="shared" si="24"/>
        <v>2.5</v>
      </c>
      <c r="G110" s="192">
        <f t="shared" si="25"/>
        <v>7.208333333333333</v>
      </c>
      <c r="H110" s="169">
        <f>IF(D110&lt;=$N$12+1,'死亡率（標準生命表）'!M90,0)</f>
        <v>8.9654288578644437E-4</v>
      </c>
      <c r="I110" s="170">
        <f>IF(D110&lt;$N$12+1,'死亡率（標準生命表）'!N91,IF(D110=$N$12+1,I109,0))</f>
        <v>0.94103972480192799</v>
      </c>
      <c r="J110" s="171">
        <f>IF(E110="",0,CalcPut($G$10,$G$14,$G$11,$G$12,$G$13,G110))</f>
        <v>58.1739634348395</v>
      </c>
      <c r="M110" s="130">
        <f t="shared" si="26"/>
        <v>58.1739634348395</v>
      </c>
      <c r="N110" s="234">
        <f t="shared" si="27"/>
        <v>8.9654288578644437E-4</v>
      </c>
      <c r="O110" s="203">
        <f t="shared" si="28"/>
        <v>5.2155453055506104E-2</v>
      </c>
      <c r="P110"/>
      <c r="R110"/>
      <c r="S110"/>
      <c r="T110"/>
      <c r="U110"/>
      <c r="Y110" s="180">
        <f t="shared" si="29"/>
        <v>0</v>
      </c>
      <c r="Z110" s="181">
        <f t="shared" si="30"/>
        <v>8.9654288578644437E-4</v>
      </c>
      <c r="AA110" s="196" t="str">
        <f t="shared" si="31"/>
        <v/>
      </c>
      <c r="AB110" s="204">
        <f t="shared" si="32"/>
        <v>0</v>
      </c>
      <c r="AI110" s="21"/>
      <c r="AK110" s="183" t="str">
        <f t="shared" si="20"/>
        <v/>
      </c>
      <c r="AL110" s="184" t="str">
        <f t="shared" si="21"/>
        <v/>
      </c>
      <c r="AM110" s="185" t="str">
        <f t="shared" si="22"/>
        <v/>
      </c>
    </row>
    <row r="111" spans="2:39" ht="18" x14ac:dyDescent="0.45">
      <c r="B111" s="22"/>
      <c r="C111" s="224">
        <f t="shared" si="19"/>
        <v>67.291666666666671</v>
      </c>
      <c r="D111" s="120">
        <v>88</v>
      </c>
      <c r="E111" s="167">
        <f t="shared" si="23"/>
        <v>67</v>
      </c>
      <c r="F111" s="168">
        <f t="shared" si="24"/>
        <v>3.5</v>
      </c>
      <c r="G111" s="192">
        <f t="shared" si="25"/>
        <v>7.291666666666667</v>
      </c>
      <c r="H111" s="169">
        <f>IF(D111&lt;=$N$12+1,'死亡率（標準生命表）'!M91,0)</f>
        <v>8.9654288578633334E-4</v>
      </c>
      <c r="I111" s="170">
        <f>IF(D111&lt;$N$12+1,'死亡率（標準生命表）'!N92,IF(D111=$N$12+1,I110,0))</f>
        <v>0.94014318191614166</v>
      </c>
      <c r="J111" s="171">
        <f>IF(E111="",0,CalcPut($G$10,$G$14,$G$11,$G$12,$G$13,G111))</f>
        <v>58.507747366307861</v>
      </c>
      <c r="M111" s="130">
        <f t="shared" si="26"/>
        <v>58.507747366307861</v>
      </c>
      <c r="N111" s="234">
        <f t="shared" si="27"/>
        <v>8.9654288578633334E-4</v>
      </c>
      <c r="O111" s="203">
        <f t="shared" si="28"/>
        <v>5.2454704664647391E-2</v>
      </c>
      <c r="P111"/>
      <c r="R111"/>
      <c r="S111"/>
      <c r="T111"/>
      <c r="U111"/>
      <c r="Y111" s="180">
        <f t="shared" si="29"/>
        <v>0</v>
      </c>
      <c r="Z111" s="181">
        <f t="shared" si="30"/>
        <v>8.9654288578633334E-4</v>
      </c>
      <c r="AA111" s="196" t="str">
        <f t="shared" si="31"/>
        <v/>
      </c>
      <c r="AB111" s="204">
        <f t="shared" si="32"/>
        <v>0</v>
      </c>
      <c r="AI111" s="21"/>
      <c r="AK111" s="183" t="str">
        <f t="shared" si="20"/>
        <v/>
      </c>
      <c r="AL111" s="184" t="str">
        <f t="shared" si="21"/>
        <v/>
      </c>
      <c r="AM111" s="185" t="str">
        <f t="shared" si="22"/>
        <v/>
      </c>
    </row>
    <row r="112" spans="2:39" ht="18" x14ac:dyDescent="0.45">
      <c r="B112" s="22"/>
      <c r="C112" s="224">
        <f t="shared" si="19"/>
        <v>67.375</v>
      </c>
      <c r="D112" s="120">
        <v>89</v>
      </c>
      <c r="E112" s="167">
        <f t="shared" si="23"/>
        <v>67</v>
      </c>
      <c r="F112" s="168">
        <f t="shared" si="24"/>
        <v>4.5</v>
      </c>
      <c r="G112" s="192">
        <f t="shared" si="25"/>
        <v>7.375</v>
      </c>
      <c r="H112" s="169">
        <f>IF(D112&lt;=$N$12+1,'死亡率（標準生命表）'!M92,0)</f>
        <v>8.9654288578633334E-4</v>
      </c>
      <c r="I112" s="170">
        <f>IF(D112&lt;$N$12+1,'死亡率（標準生命表）'!N93,IF(D112=$N$12+1,I111,0))</f>
        <v>0.93924663903035532</v>
      </c>
      <c r="J112" s="171">
        <f>IF(E112="",0,CalcPut($G$10,$G$14,$G$11,$G$12,$G$13,G112))</f>
        <v>58.839276876068915</v>
      </c>
      <c r="M112" s="130">
        <f t="shared" si="26"/>
        <v>58.839276876068915</v>
      </c>
      <c r="N112" s="234">
        <f t="shared" si="27"/>
        <v>8.9654288578633334E-4</v>
      </c>
      <c r="O112" s="203">
        <f t="shared" si="28"/>
        <v>5.2751935088051899E-2</v>
      </c>
      <c r="P112"/>
      <c r="R112"/>
      <c r="S112"/>
      <c r="T112"/>
      <c r="U112"/>
      <c r="Y112" s="180">
        <f t="shared" si="29"/>
        <v>0</v>
      </c>
      <c r="Z112" s="181">
        <f t="shared" si="30"/>
        <v>8.9654288578633334E-4</v>
      </c>
      <c r="AA112" s="196" t="str">
        <f t="shared" si="31"/>
        <v/>
      </c>
      <c r="AB112" s="204">
        <f t="shared" si="32"/>
        <v>0</v>
      </c>
      <c r="AI112" s="21"/>
      <c r="AK112" s="183" t="str">
        <f t="shared" si="20"/>
        <v/>
      </c>
      <c r="AL112" s="184" t="str">
        <f t="shared" si="21"/>
        <v/>
      </c>
      <c r="AM112" s="185" t="str">
        <f t="shared" si="22"/>
        <v/>
      </c>
    </row>
    <row r="113" spans="2:39" ht="18" x14ac:dyDescent="0.45">
      <c r="B113" s="22"/>
      <c r="C113" s="224">
        <f t="shared" si="19"/>
        <v>67.458333333333329</v>
      </c>
      <c r="D113" s="120">
        <v>90</v>
      </c>
      <c r="E113" s="167">
        <f t="shared" si="23"/>
        <v>67</v>
      </c>
      <c r="F113" s="168">
        <f t="shared" si="24"/>
        <v>5.5</v>
      </c>
      <c r="G113" s="192">
        <f t="shared" si="25"/>
        <v>7.458333333333333</v>
      </c>
      <c r="H113" s="169">
        <f>IF(D113&lt;=$N$12+1,'死亡率（標準生命表）'!M93,0)</f>
        <v>8.9654288578633334E-4</v>
      </c>
      <c r="I113" s="170">
        <f>IF(D113&lt;$N$12+1,'死亡率（標準生命表）'!N94,IF(D113=$N$12+1,I112,0))</f>
        <v>0.93835009614456899</v>
      </c>
      <c r="J113" s="171">
        <f>IF(E113="",0,CalcPut($G$10,$G$14,$G$11,$G$12,$G$13,G113))</f>
        <v>59.1685844808691</v>
      </c>
      <c r="M113" s="130">
        <f t="shared" si="26"/>
        <v>59.1685844808691</v>
      </c>
      <c r="N113" s="234">
        <f t="shared" si="27"/>
        <v>8.9654288578633334E-4</v>
      </c>
      <c r="O113" s="203">
        <f t="shared" si="28"/>
        <v>5.3047173478370839E-2</v>
      </c>
      <c r="P113"/>
      <c r="R113"/>
      <c r="S113"/>
      <c r="T113"/>
      <c r="U113"/>
      <c r="Y113" s="180">
        <f t="shared" si="29"/>
        <v>0</v>
      </c>
      <c r="Z113" s="181">
        <f t="shared" si="30"/>
        <v>8.9654288578633334E-4</v>
      </c>
      <c r="AA113" s="196" t="str">
        <f t="shared" si="31"/>
        <v/>
      </c>
      <c r="AB113" s="204">
        <f t="shared" si="32"/>
        <v>0</v>
      </c>
      <c r="AI113" s="21"/>
      <c r="AK113" s="183" t="str">
        <f t="shared" si="20"/>
        <v/>
      </c>
      <c r="AL113" s="184" t="str">
        <f t="shared" si="21"/>
        <v/>
      </c>
      <c r="AM113" s="185" t="str">
        <f t="shared" si="22"/>
        <v/>
      </c>
    </row>
    <row r="114" spans="2:39" ht="18" x14ac:dyDescent="0.45">
      <c r="B114" s="22"/>
      <c r="C114" s="224">
        <f t="shared" si="19"/>
        <v>67.541666666666671</v>
      </c>
      <c r="D114" s="120">
        <v>91</v>
      </c>
      <c r="E114" s="167">
        <f t="shared" si="23"/>
        <v>67</v>
      </c>
      <c r="F114" s="168">
        <f t="shared" si="24"/>
        <v>6.5</v>
      </c>
      <c r="G114" s="192">
        <f t="shared" si="25"/>
        <v>7.541666666666667</v>
      </c>
      <c r="H114" s="169">
        <f>IF(D114&lt;=$N$12+1,'死亡率（標準生命表）'!M94,0)</f>
        <v>8.9654288578633334E-4</v>
      </c>
      <c r="I114" s="170">
        <f>IF(D114&lt;$N$12+1,'死亡率（標準生命表）'!N95,IF(D114=$N$12+1,I113,0))</f>
        <v>0.93745355325878266</v>
      </c>
      <c r="J114" s="171">
        <f>IF(E114="",0,CalcPut($G$10,$G$14,$G$11,$G$12,$G$13,G114))</f>
        <v>59.495701829419559</v>
      </c>
      <c r="M114" s="130">
        <f t="shared" si="26"/>
        <v>59.495701829419559</v>
      </c>
      <c r="N114" s="234">
        <f t="shared" si="27"/>
        <v>8.9654288578633334E-4</v>
      </c>
      <c r="O114" s="203">
        <f t="shared" si="28"/>
        <v>5.3340448210031047E-2</v>
      </c>
      <c r="P114"/>
      <c r="R114"/>
      <c r="S114"/>
      <c r="T114"/>
      <c r="U114"/>
      <c r="Y114" s="180">
        <f t="shared" si="29"/>
        <v>0</v>
      </c>
      <c r="Z114" s="181">
        <f t="shared" si="30"/>
        <v>8.9654288578633334E-4</v>
      </c>
      <c r="AA114" s="196" t="str">
        <f t="shared" si="31"/>
        <v/>
      </c>
      <c r="AB114" s="204">
        <f t="shared" si="32"/>
        <v>0</v>
      </c>
      <c r="AI114" s="21"/>
      <c r="AK114" s="183" t="str">
        <f t="shared" si="20"/>
        <v/>
      </c>
      <c r="AL114" s="184" t="str">
        <f t="shared" si="21"/>
        <v/>
      </c>
      <c r="AM114" s="185" t="str">
        <f t="shared" si="22"/>
        <v/>
      </c>
    </row>
    <row r="115" spans="2:39" ht="18" x14ac:dyDescent="0.45">
      <c r="B115" s="22"/>
      <c r="C115" s="224">
        <f t="shared" si="19"/>
        <v>67.625</v>
      </c>
      <c r="D115" s="120">
        <v>92</v>
      </c>
      <c r="E115" s="167">
        <f t="shared" si="23"/>
        <v>67</v>
      </c>
      <c r="F115" s="168">
        <f t="shared" si="24"/>
        <v>7.5</v>
      </c>
      <c r="G115" s="192">
        <f t="shared" si="25"/>
        <v>7.625</v>
      </c>
      <c r="H115" s="169">
        <f>IF(D115&lt;=$N$12+1,'死亡率（標準生命表）'!M95,0)</f>
        <v>8.9654288578633334E-4</v>
      </c>
      <c r="I115" s="170">
        <f>IF(D115&lt;$N$12+1,'死亡率（標準生命表）'!N96,IF(D115=$N$12+1,I114,0))</f>
        <v>0.93655701037299632</v>
      </c>
      <c r="J115" s="171">
        <f>IF(E115="",0,CalcPut($G$10,$G$14,$G$11,$G$12,$G$13,G115))</f>
        <v>59.820659735401897</v>
      </c>
      <c r="M115" s="130">
        <f t="shared" si="26"/>
        <v>59.820659735401897</v>
      </c>
      <c r="N115" s="234">
        <f t="shared" si="27"/>
        <v>8.9654288578633334E-4</v>
      </c>
      <c r="O115" s="203">
        <f t="shared" si="28"/>
        <v>5.3631786908819534E-2</v>
      </c>
      <c r="P115"/>
      <c r="R115"/>
      <c r="S115"/>
      <c r="T115"/>
      <c r="U115"/>
      <c r="Y115" s="180">
        <f t="shared" si="29"/>
        <v>0</v>
      </c>
      <c r="Z115" s="181">
        <f t="shared" si="30"/>
        <v>8.9654288578633334E-4</v>
      </c>
      <c r="AA115" s="196" t="str">
        <f t="shared" si="31"/>
        <v/>
      </c>
      <c r="AB115" s="204">
        <f t="shared" si="32"/>
        <v>0</v>
      </c>
      <c r="AI115" s="21"/>
      <c r="AK115" s="183" t="str">
        <f t="shared" si="20"/>
        <v/>
      </c>
      <c r="AL115" s="184" t="str">
        <f t="shared" si="21"/>
        <v/>
      </c>
      <c r="AM115" s="185" t="str">
        <f t="shared" si="22"/>
        <v/>
      </c>
    </row>
    <row r="116" spans="2:39" ht="18" x14ac:dyDescent="0.45">
      <c r="B116" s="22"/>
      <c r="C116" s="224">
        <f t="shared" si="19"/>
        <v>67.708333333333329</v>
      </c>
      <c r="D116" s="120">
        <v>93</v>
      </c>
      <c r="E116" s="167">
        <f t="shared" si="23"/>
        <v>67</v>
      </c>
      <c r="F116" s="168">
        <f t="shared" si="24"/>
        <v>8.5</v>
      </c>
      <c r="G116" s="192">
        <f t="shared" si="25"/>
        <v>7.708333333333333</v>
      </c>
      <c r="H116" s="169">
        <f>IF(D116&lt;=$N$12+1,'死亡率（標準生命表）'!M96,0)</f>
        <v>8.9654288578622232E-4</v>
      </c>
      <c r="I116" s="170">
        <f>IF(D116&lt;$N$12+1,'死亡率（標準生命表）'!N97,IF(D116=$N$12+1,I115,0))</f>
        <v>0.9356604674872101</v>
      </c>
      <c r="J116" s="171">
        <f>IF(E116="",0,CalcPut($G$10,$G$14,$G$11,$G$12,$G$13,G116))</f>
        <v>60.14348820886908</v>
      </c>
      <c r="M116" s="130">
        <f t="shared" si="26"/>
        <v>60.14348820886908</v>
      </c>
      <c r="N116" s="234">
        <f t="shared" si="27"/>
        <v>8.9654288578622232E-4</v>
      </c>
      <c r="O116" s="203">
        <f t="shared" si="28"/>
        <v>5.3921216480029122E-2</v>
      </c>
      <c r="P116"/>
      <c r="R116"/>
      <c r="S116"/>
      <c r="T116"/>
      <c r="U116"/>
      <c r="Y116" s="180">
        <f t="shared" si="29"/>
        <v>0</v>
      </c>
      <c r="Z116" s="181">
        <f t="shared" si="30"/>
        <v>8.9654288578622232E-4</v>
      </c>
      <c r="AA116" s="196" t="str">
        <f t="shared" si="31"/>
        <v/>
      </c>
      <c r="AB116" s="204">
        <f t="shared" si="32"/>
        <v>0</v>
      </c>
      <c r="AI116" s="21"/>
      <c r="AK116" s="183" t="str">
        <f t="shared" si="20"/>
        <v/>
      </c>
      <c r="AL116" s="184" t="str">
        <f t="shared" si="21"/>
        <v/>
      </c>
      <c r="AM116" s="185" t="str">
        <f t="shared" si="22"/>
        <v/>
      </c>
    </row>
    <row r="117" spans="2:39" ht="18" x14ac:dyDescent="0.45">
      <c r="B117" s="22"/>
      <c r="C117" s="224">
        <f t="shared" si="19"/>
        <v>67.791666666666671</v>
      </c>
      <c r="D117" s="120">
        <v>94</v>
      </c>
      <c r="E117" s="167">
        <f t="shared" si="23"/>
        <v>67</v>
      </c>
      <c r="F117" s="168">
        <f t="shared" si="24"/>
        <v>9.5</v>
      </c>
      <c r="G117" s="192">
        <f t="shared" si="25"/>
        <v>7.791666666666667</v>
      </c>
      <c r="H117" s="169">
        <f>IF(D117&lt;=$N$12+1,'死亡率（標準生命表）'!M97,0)</f>
        <v>8.9654288578644437E-4</v>
      </c>
      <c r="I117" s="170">
        <f>IF(D117&lt;$N$12+1,'死亡率（標準生命表）'!N98,IF(D117=$N$12+1,I116,0))</f>
        <v>0.93476392460142366</v>
      </c>
      <c r="J117" s="171">
        <f>IF(E117="",0,CalcPut($G$10,$G$14,$G$11,$G$12,$G$13,G117))</f>
        <v>60.464216486131839</v>
      </c>
      <c r="M117" s="130">
        <f t="shared" si="26"/>
        <v>60.464216486131839</v>
      </c>
      <c r="N117" s="234">
        <f t="shared" si="27"/>
        <v>8.9654288578644437E-4</v>
      </c>
      <c r="O117" s="203">
        <f t="shared" si="28"/>
        <v>5.4208763135292944E-2</v>
      </c>
      <c r="P117"/>
      <c r="R117"/>
      <c r="S117"/>
      <c r="T117"/>
      <c r="U117"/>
      <c r="Y117" s="180">
        <f t="shared" si="29"/>
        <v>0</v>
      </c>
      <c r="Z117" s="181">
        <f t="shared" si="30"/>
        <v>8.9654288578644437E-4</v>
      </c>
      <c r="AA117" s="196" t="str">
        <f t="shared" si="31"/>
        <v/>
      </c>
      <c r="AB117" s="204">
        <f t="shared" si="32"/>
        <v>0</v>
      </c>
      <c r="AI117" s="21"/>
      <c r="AK117" s="183" t="str">
        <f t="shared" si="20"/>
        <v/>
      </c>
      <c r="AL117" s="184" t="str">
        <f t="shared" si="21"/>
        <v/>
      </c>
      <c r="AM117" s="185" t="str">
        <f t="shared" si="22"/>
        <v/>
      </c>
    </row>
    <row r="118" spans="2:39" ht="18" x14ac:dyDescent="0.45">
      <c r="B118" s="22"/>
      <c r="C118" s="224">
        <f t="shared" si="19"/>
        <v>67.875</v>
      </c>
      <c r="D118" s="120">
        <v>95</v>
      </c>
      <c r="E118" s="167">
        <f t="shared" si="23"/>
        <v>67</v>
      </c>
      <c r="F118" s="168">
        <f t="shared" si="24"/>
        <v>10.5</v>
      </c>
      <c r="G118" s="192">
        <f t="shared" si="25"/>
        <v>7.875</v>
      </c>
      <c r="H118" s="169">
        <f>IF(D118&lt;=$N$12+1,'死亡率（標準生命表）'!M98,0)</f>
        <v>8.9654288578622232E-4</v>
      </c>
      <c r="I118" s="170">
        <f>IF(D118&lt;$N$12+1,'死亡率（標準生命表）'!N99,IF(D118=$N$12+1,I117,0))</f>
        <v>0.93386738171563743</v>
      </c>
      <c r="J118" s="171">
        <f>IF(E118="",0,CalcPut($G$10,$G$14,$G$11,$G$12,$G$13,G118))</f>
        <v>60.782873058223139</v>
      </c>
      <c r="M118" s="130">
        <f t="shared" si="26"/>
        <v>60.782873058223139</v>
      </c>
      <c r="N118" s="234">
        <f t="shared" si="27"/>
        <v>8.9654288578622232E-4</v>
      </c>
      <c r="O118" s="203">
        <f t="shared" si="28"/>
        <v>5.4494452417996997E-2</v>
      </c>
      <c r="P118"/>
      <c r="R118"/>
      <c r="S118"/>
      <c r="T118"/>
      <c r="U118"/>
      <c r="Y118" s="180">
        <f t="shared" si="29"/>
        <v>0</v>
      </c>
      <c r="Z118" s="181">
        <f t="shared" si="30"/>
        <v>8.9654288578622232E-4</v>
      </c>
      <c r="AA118" s="196" t="str">
        <f t="shared" si="31"/>
        <v/>
      </c>
      <c r="AB118" s="204">
        <f t="shared" si="32"/>
        <v>0</v>
      </c>
      <c r="AI118" s="21"/>
      <c r="AK118" s="183" t="str">
        <f t="shared" si="20"/>
        <v/>
      </c>
      <c r="AL118" s="184" t="str">
        <f t="shared" si="21"/>
        <v/>
      </c>
      <c r="AM118" s="185" t="str">
        <f t="shared" si="22"/>
        <v/>
      </c>
    </row>
    <row r="119" spans="2:39" ht="18" x14ac:dyDescent="0.45">
      <c r="B119" s="22"/>
      <c r="C119" s="224">
        <f t="shared" si="19"/>
        <v>67.958333333333329</v>
      </c>
      <c r="D119" s="120">
        <v>96</v>
      </c>
      <c r="E119" s="167">
        <f t="shared" si="23"/>
        <v>67</v>
      </c>
      <c r="F119" s="168">
        <f t="shared" si="24"/>
        <v>11.5</v>
      </c>
      <c r="G119" s="192">
        <f t="shared" si="25"/>
        <v>7.958333333333333</v>
      </c>
      <c r="H119" s="169">
        <f>IF(D119&lt;=$N$12+1,'死亡率（標準生命表）'!M99,0)</f>
        <v>8.9654288578633334E-4</v>
      </c>
      <c r="I119" s="170">
        <f>IF(D119&lt;$N$12+1,'死亡率（標準生命表）'!N100,IF(D119=$N$12+1,I118,0))</f>
        <v>0.9329708388298511</v>
      </c>
      <c r="J119" s="171">
        <f>IF(E119="",0,CalcPut($G$10,$G$14,$G$11,$G$12,$G$13,G119))</f>
        <v>61.099485698019421</v>
      </c>
      <c r="M119" s="130">
        <f t="shared" si="26"/>
        <v>61.099485698019421</v>
      </c>
      <c r="N119" s="234">
        <f t="shared" si="27"/>
        <v>8.9654288578633334E-4</v>
      </c>
      <c r="O119" s="203">
        <f t="shared" si="28"/>
        <v>5.4778309227763132E-2</v>
      </c>
      <c r="P119"/>
      <c r="R119"/>
      <c r="S119"/>
      <c r="T119"/>
      <c r="U119"/>
      <c r="Y119" s="180">
        <f t="shared" si="29"/>
        <v>0</v>
      </c>
      <c r="Z119" s="181">
        <f t="shared" si="30"/>
        <v>8.9654288578633334E-4</v>
      </c>
      <c r="AA119" s="196" t="str">
        <f t="shared" si="31"/>
        <v/>
      </c>
      <c r="AB119" s="204">
        <f t="shared" si="32"/>
        <v>0</v>
      </c>
      <c r="AI119" s="21"/>
      <c r="AK119" s="183" t="str">
        <f t="shared" si="20"/>
        <v/>
      </c>
      <c r="AL119" s="184" t="str">
        <f t="shared" si="21"/>
        <v/>
      </c>
      <c r="AM119" s="185" t="str">
        <f t="shared" si="22"/>
        <v/>
      </c>
    </row>
    <row r="120" spans="2:39" ht="18" x14ac:dyDescent="0.45">
      <c r="B120" s="22"/>
      <c r="C120" s="224">
        <f t="shared" si="19"/>
        <v>68.041666666666671</v>
      </c>
      <c r="D120" s="120">
        <v>97</v>
      </c>
      <c r="E120" s="167">
        <f t="shared" si="23"/>
        <v>68</v>
      </c>
      <c r="F120" s="168">
        <f t="shared" si="24"/>
        <v>0.5</v>
      </c>
      <c r="G120" s="192">
        <f t="shared" si="25"/>
        <v>8.0416666666666661</v>
      </c>
      <c r="H120" s="169">
        <f>IF(D120&lt;=$N$12+1,'死亡率（標準生命表）'!M100,0)</f>
        <v>9.3685821732503172E-4</v>
      </c>
      <c r="I120" s="170">
        <f>IF(D120&lt;$N$12+1,'死亡率（標準生命表）'!N101,IF(D120=$N$12+1,I119,0))</f>
        <v>0.93203398061252607</v>
      </c>
      <c r="J120" s="171">
        <f>IF(E120="",0,CalcPut($G$10,$G$14,$G$11,$G$12,$G$13,G120))</f>
        <v>61.414081486097395</v>
      </c>
      <c r="M120" s="130">
        <f t="shared" si="26"/>
        <v>61.414081486097395</v>
      </c>
      <c r="N120" s="234">
        <f t="shared" si="27"/>
        <v>9.3685821732503172E-4</v>
      </c>
      <c r="O120" s="203">
        <f t="shared" si="28"/>
        <v>5.7536286899719437E-2</v>
      </c>
      <c r="P120"/>
      <c r="R120"/>
      <c r="S120"/>
      <c r="T120"/>
      <c r="U120"/>
      <c r="Y120" s="180">
        <f t="shared" si="29"/>
        <v>0</v>
      </c>
      <c r="Z120" s="181">
        <f t="shared" si="30"/>
        <v>9.3685821732503172E-4</v>
      </c>
      <c r="AA120" s="196" t="str">
        <f t="shared" si="31"/>
        <v/>
      </c>
      <c r="AB120" s="204">
        <f t="shared" si="32"/>
        <v>0</v>
      </c>
      <c r="AI120" s="21"/>
      <c r="AK120" s="183" t="str">
        <f t="shared" ref="AK120:AK144" si="33">IF($D120=$N$12+1,$R$23,"")</f>
        <v/>
      </c>
      <c r="AL120" s="184" t="str">
        <f t="shared" ref="AL120:AL144" si="34">IF($D120=$N$12+1,$S$23,"")</f>
        <v/>
      </c>
      <c r="AM120" s="185" t="str">
        <f t="shared" ref="AM120:AM144" si="35">IF($D120=$N$12+1,$T$23,"")</f>
        <v/>
      </c>
    </row>
    <row r="121" spans="2:39" ht="18" x14ac:dyDescent="0.45">
      <c r="B121" s="22"/>
      <c r="C121" s="224">
        <f t="shared" si="19"/>
        <v>68.125</v>
      </c>
      <c r="D121" s="120">
        <v>98</v>
      </c>
      <c r="E121" s="167">
        <f t="shared" ref="E121:E144" si="36">IF(D121&lt;=$N$12,IF(F121=0.5,E120+1,E120),IF(D121=$N$12+1,E120+1,""))</f>
        <v>68</v>
      </c>
      <c r="F121" s="168">
        <f t="shared" ref="F121:F144" si="37">IF(D121&lt;=$N$12,IF(F120=11.5,0.5,F120+1),IF(D121=$N$12+1,0,""))</f>
        <v>1.5</v>
      </c>
      <c r="G121" s="192">
        <f t="shared" si="25"/>
        <v>8.125</v>
      </c>
      <c r="H121" s="169">
        <f>IF(D121&lt;=$N$12+1,'死亡率（標準生命表）'!M101,0)</f>
        <v>9.3685821732492069E-4</v>
      </c>
      <c r="I121" s="170">
        <f>IF(D121&lt;$N$12+1,'死亡率（標準生命表）'!N102,IF(D121=$N$12+1,I120,0))</f>
        <v>0.93109712239520115</v>
      </c>
      <c r="J121" s="171">
        <f>IF(E121="",0,CalcPut($G$10,$G$14,$G$11,$G$12,$G$13,G121))</f>
        <v>61.726686835398318</v>
      </c>
      <c r="M121" s="130">
        <f t="shared" si="26"/>
        <v>61.726686835398318</v>
      </c>
      <c r="N121" s="234">
        <f t="shared" si="27"/>
        <v>9.3685821732492069E-4</v>
      </c>
      <c r="O121" s="203">
        <f t="shared" si="28"/>
        <v>5.7829153789984919E-2</v>
      </c>
      <c r="P121"/>
      <c r="R121"/>
      <c r="S121"/>
      <c r="T121"/>
      <c r="U121"/>
      <c r="Y121" s="180">
        <f t="shared" si="29"/>
        <v>0</v>
      </c>
      <c r="Z121" s="181">
        <f t="shared" si="30"/>
        <v>9.3685821732492069E-4</v>
      </c>
      <c r="AA121" s="196" t="str">
        <f t="shared" si="31"/>
        <v/>
      </c>
      <c r="AB121" s="204">
        <f t="shared" si="32"/>
        <v>0</v>
      </c>
      <c r="AI121" s="21"/>
      <c r="AK121" s="183" t="str">
        <f t="shared" si="33"/>
        <v/>
      </c>
      <c r="AL121" s="184" t="str">
        <f t="shared" si="34"/>
        <v/>
      </c>
      <c r="AM121" s="185" t="str">
        <f t="shared" si="35"/>
        <v/>
      </c>
    </row>
    <row r="122" spans="2:39" ht="18" x14ac:dyDescent="0.45">
      <c r="B122" s="22"/>
      <c r="C122" s="224">
        <f t="shared" si="19"/>
        <v>68.208333333333329</v>
      </c>
      <c r="D122" s="120">
        <v>99</v>
      </c>
      <c r="E122" s="167">
        <f t="shared" si="36"/>
        <v>68</v>
      </c>
      <c r="F122" s="168">
        <f t="shared" si="37"/>
        <v>2.5</v>
      </c>
      <c r="G122" s="192">
        <f t="shared" si="25"/>
        <v>8.2083333333333339</v>
      </c>
      <c r="H122" s="169">
        <f>IF(D122&lt;=$N$12+1,'死亡率（標準生命表）'!M102,0)</f>
        <v>9.3685821732492069E-4</v>
      </c>
      <c r="I122" s="170">
        <f>IF(D122&lt;$N$12+1,'死亡率（標準生命表）'!N103,IF(D122=$N$12+1,I121,0))</f>
        <v>0.93016026417787623</v>
      </c>
      <c r="J122" s="171">
        <f>IF(E122="",0,CalcPut($G$10,$G$14,$G$11,$G$12,$G$13,G122))</f>
        <v>62.0373275147643</v>
      </c>
      <c r="M122" s="130">
        <f t="shared" si="26"/>
        <v>62.0373275147643</v>
      </c>
      <c r="N122" s="234">
        <f t="shared" si="27"/>
        <v>9.3685821732492069E-4</v>
      </c>
      <c r="O122" s="203">
        <f t="shared" si="28"/>
        <v>5.8120180063084337E-2</v>
      </c>
      <c r="P122"/>
      <c r="R122"/>
      <c r="S122"/>
      <c r="T122"/>
      <c r="U122"/>
      <c r="Y122" s="180">
        <f t="shared" si="29"/>
        <v>0</v>
      </c>
      <c r="Z122" s="181">
        <f t="shared" si="30"/>
        <v>9.3685821732492069E-4</v>
      </c>
      <c r="AA122" s="196" t="str">
        <f t="shared" si="31"/>
        <v/>
      </c>
      <c r="AB122" s="204">
        <f t="shared" si="32"/>
        <v>0</v>
      </c>
      <c r="AI122" s="21"/>
      <c r="AK122" s="183" t="str">
        <f t="shared" si="33"/>
        <v/>
      </c>
      <c r="AL122" s="184" t="str">
        <f t="shared" si="34"/>
        <v/>
      </c>
      <c r="AM122" s="185" t="str">
        <f t="shared" si="35"/>
        <v/>
      </c>
    </row>
    <row r="123" spans="2:39" ht="18" x14ac:dyDescent="0.45">
      <c r="B123" s="22"/>
      <c r="C123" s="224">
        <f t="shared" si="19"/>
        <v>68.291666666666671</v>
      </c>
      <c r="D123" s="120">
        <v>100</v>
      </c>
      <c r="E123" s="167">
        <f t="shared" si="36"/>
        <v>68</v>
      </c>
      <c r="F123" s="168">
        <f t="shared" si="37"/>
        <v>3.5</v>
      </c>
      <c r="G123" s="192">
        <f t="shared" si="25"/>
        <v>8.2916666666666661</v>
      </c>
      <c r="H123" s="169">
        <f>IF(D123&lt;=$N$12+1,'死亡率（標準生命表）'!M103,0)</f>
        <v>9.3685821732492069E-4</v>
      </c>
      <c r="I123" s="170">
        <f>IF(D123&lt;$N$12+1,'死亡率（標準生命表）'!N104,IF(D123=$N$12+1,I122,0))</f>
        <v>0.92922340596055131</v>
      </c>
      <c r="J123" s="171">
        <f>IF(E123="",0,CalcPut($G$10,$G$14,$G$11,$G$12,$G$13,G123))</f>
        <v>62.346028671411851</v>
      </c>
      <c r="M123" s="130">
        <f t="shared" si="26"/>
        <v>62.346028671411851</v>
      </c>
      <c r="N123" s="234">
        <f t="shared" si="27"/>
        <v>9.3685821732492069E-4</v>
      </c>
      <c r="O123" s="203">
        <f t="shared" si="28"/>
        <v>5.8409389278387298E-2</v>
      </c>
      <c r="P123"/>
      <c r="R123"/>
      <c r="S123"/>
      <c r="T123"/>
      <c r="U123"/>
      <c r="Y123" s="180">
        <f t="shared" si="29"/>
        <v>0</v>
      </c>
      <c r="Z123" s="181">
        <f t="shared" si="30"/>
        <v>9.3685821732492069E-4</v>
      </c>
      <c r="AA123" s="196" t="str">
        <f t="shared" si="31"/>
        <v/>
      </c>
      <c r="AB123" s="204">
        <f t="shared" si="32"/>
        <v>0</v>
      </c>
      <c r="AI123" s="21"/>
      <c r="AK123" s="183" t="str">
        <f t="shared" si="33"/>
        <v/>
      </c>
      <c r="AL123" s="184" t="str">
        <f t="shared" si="34"/>
        <v/>
      </c>
      <c r="AM123" s="185" t="str">
        <f t="shared" si="35"/>
        <v/>
      </c>
    </row>
    <row r="124" spans="2:39" ht="18" x14ac:dyDescent="0.45">
      <c r="B124" s="22"/>
      <c r="C124" s="224">
        <f t="shared" si="19"/>
        <v>68.375</v>
      </c>
      <c r="D124" s="120">
        <v>101</v>
      </c>
      <c r="E124" s="167">
        <f t="shared" si="36"/>
        <v>68</v>
      </c>
      <c r="F124" s="168">
        <f t="shared" si="37"/>
        <v>4.5</v>
      </c>
      <c r="G124" s="192">
        <f t="shared" si="25"/>
        <v>8.375</v>
      </c>
      <c r="H124" s="169">
        <f>IF(D124&lt;=$N$12+1,'死亡率（標準生命表）'!M104,0)</f>
        <v>9.3685821732525376E-4</v>
      </c>
      <c r="I124" s="170">
        <f>IF(D124&lt;$N$12+1,'死亡率（標準生命表）'!N105,IF(D124=$N$12+1,I123,0))</f>
        <v>0.92828654774322605</v>
      </c>
      <c r="J124" s="171">
        <f>IF(E124="",0,CalcPut($G$10,$G$14,$G$11,$G$12,$G$13,G124))</f>
        <v>62.652814852397498</v>
      </c>
      <c r="M124" s="130">
        <f t="shared" si="26"/>
        <v>62.652814852397498</v>
      </c>
      <c r="N124" s="234">
        <f t="shared" si="27"/>
        <v>9.3685821732525376E-4</v>
      </c>
      <c r="O124" s="203">
        <f t="shared" si="28"/>
        <v>5.8696804433026301E-2</v>
      </c>
      <c r="P124"/>
      <c r="R124"/>
      <c r="S124"/>
      <c r="T124"/>
      <c r="U124"/>
      <c r="Y124" s="180">
        <f t="shared" si="29"/>
        <v>0</v>
      </c>
      <c r="Z124" s="181">
        <f t="shared" si="30"/>
        <v>9.3685821732525376E-4</v>
      </c>
      <c r="AA124" s="196" t="str">
        <f t="shared" si="31"/>
        <v/>
      </c>
      <c r="AB124" s="204">
        <f t="shared" si="32"/>
        <v>0</v>
      </c>
      <c r="AI124" s="21"/>
      <c r="AK124" s="183" t="str">
        <f t="shared" si="33"/>
        <v/>
      </c>
      <c r="AL124" s="184" t="str">
        <f t="shared" si="34"/>
        <v/>
      </c>
      <c r="AM124" s="185" t="str">
        <f t="shared" si="35"/>
        <v/>
      </c>
    </row>
    <row r="125" spans="2:39" ht="18" x14ac:dyDescent="0.45">
      <c r="B125" s="22"/>
      <c r="C125" s="224">
        <f t="shared" si="19"/>
        <v>68.458333333333329</v>
      </c>
      <c r="D125" s="120">
        <v>102</v>
      </c>
      <c r="E125" s="167">
        <f t="shared" si="36"/>
        <v>68</v>
      </c>
      <c r="F125" s="168">
        <f t="shared" si="37"/>
        <v>5.5</v>
      </c>
      <c r="G125" s="192">
        <f t="shared" si="25"/>
        <v>8.4583333333333339</v>
      </c>
      <c r="H125" s="169">
        <f>IF(D125&lt;=$N$12+1,'死亡率（標準生命表）'!M105,0)</f>
        <v>9.3685821732480967E-4</v>
      </c>
      <c r="I125" s="170">
        <f>IF(D125&lt;$N$12+1,'死亡率（標準生命表）'!N106,IF(D125=$N$12+1,I124,0))</f>
        <v>0.92734968952590124</v>
      </c>
      <c r="J125" s="171">
        <f>IF(E125="",0,CalcPut($G$10,$G$14,$G$11,$G$12,$G$13,G125))</f>
        <v>62.957710025135867</v>
      </c>
      <c r="M125" s="130">
        <f t="shared" si="26"/>
        <v>62.957710025135867</v>
      </c>
      <c r="N125" s="234">
        <f t="shared" si="27"/>
        <v>9.3685821732480967E-4</v>
      </c>
      <c r="O125" s="203">
        <f t="shared" si="28"/>
        <v>5.8982447981001086E-2</v>
      </c>
      <c r="P125"/>
      <c r="R125"/>
      <c r="S125"/>
      <c r="T125"/>
      <c r="U125"/>
      <c r="Y125" s="180">
        <f t="shared" si="29"/>
        <v>0</v>
      </c>
      <c r="Z125" s="181">
        <f t="shared" si="30"/>
        <v>9.3685821732480967E-4</v>
      </c>
      <c r="AA125" s="196" t="str">
        <f t="shared" si="31"/>
        <v/>
      </c>
      <c r="AB125" s="204">
        <f t="shared" si="32"/>
        <v>0</v>
      </c>
      <c r="AI125" s="21"/>
      <c r="AK125" s="183" t="str">
        <f t="shared" si="33"/>
        <v/>
      </c>
      <c r="AL125" s="184" t="str">
        <f t="shared" si="34"/>
        <v/>
      </c>
      <c r="AM125" s="185" t="str">
        <f t="shared" si="35"/>
        <v/>
      </c>
    </row>
    <row r="126" spans="2:39" ht="18" x14ac:dyDescent="0.45">
      <c r="B126" s="22"/>
      <c r="C126" s="224">
        <f t="shared" si="19"/>
        <v>68.541666666666671</v>
      </c>
      <c r="D126" s="120">
        <v>103</v>
      </c>
      <c r="E126" s="167">
        <f t="shared" si="36"/>
        <v>68</v>
      </c>
      <c r="F126" s="168">
        <f t="shared" si="37"/>
        <v>6.5</v>
      </c>
      <c r="G126" s="192">
        <f t="shared" si="25"/>
        <v>8.5416666666666661</v>
      </c>
      <c r="H126" s="169">
        <f>IF(D126&lt;=$N$12+1,'死亡率（標準生命表）'!M106,0)</f>
        <v>9.3685821732492069E-4</v>
      </c>
      <c r="I126" s="170">
        <f>IF(D126&lt;$N$12+1,'死亡率（標準生命表）'!N107,IF(D126=$N$12+1,I125,0))</f>
        <v>0.92641283130857632</v>
      </c>
      <c r="J126" s="171">
        <f>IF(E126="",0,CalcPut($G$10,$G$14,$G$11,$G$12,$G$13,G126))</f>
        <v>63.260737597014085</v>
      </c>
      <c r="M126" s="130">
        <f t="shared" si="26"/>
        <v>63.260737597014085</v>
      </c>
      <c r="N126" s="234">
        <f t="shared" si="27"/>
        <v>9.3685821732492069E-4</v>
      </c>
      <c r="O126" s="203">
        <f t="shared" si="28"/>
        <v>5.9266341851798202E-2</v>
      </c>
      <c r="P126"/>
      <c r="R126"/>
      <c r="S126"/>
      <c r="T126"/>
      <c r="U126"/>
      <c r="Y126" s="180">
        <f t="shared" si="29"/>
        <v>0</v>
      </c>
      <c r="Z126" s="181">
        <f t="shared" si="30"/>
        <v>9.3685821732492069E-4</v>
      </c>
      <c r="AA126" s="196" t="str">
        <f t="shared" si="31"/>
        <v/>
      </c>
      <c r="AB126" s="204">
        <f t="shared" si="32"/>
        <v>0</v>
      </c>
      <c r="AI126" s="21"/>
      <c r="AK126" s="183" t="str">
        <f t="shared" si="33"/>
        <v/>
      </c>
      <c r="AL126" s="184" t="str">
        <f t="shared" si="34"/>
        <v/>
      </c>
      <c r="AM126" s="185" t="str">
        <f t="shared" si="35"/>
        <v/>
      </c>
    </row>
    <row r="127" spans="2:39" ht="18" x14ac:dyDescent="0.45">
      <c r="B127" s="22"/>
      <c r="C127" s="224">
        <f t="shared" si="19"/>
        <v>68.625</v>
      </c>
      <c r="D127" s="120">
        <v>104</v>
      </c>
      <c r="E127" s="167">
        <f t="shared" si="36"/>
        <v>68</v>
      </c>
      <c r="F127" s="168">
        <f t="shared" si="37"/>
        <v>7.5</v>
      </c>
      <c r="G127" s="192">
        <f t="shared" si="25"/>
        <v>8.625</v>
      </c>
      <c r="H127" s="169">
        <f>IF(D127&lt;=$N$12+1,'死亡率（標準生命表）'!M107,0)</f>
        <v>9.3685821732503172E-4</v>
      </c>
      <c r="I127" s="170">
        <f>IF(D127&lt;$N$12+1,'死亡率（標準生命表）'!N108,IF(D127=$N$12+1,I126,0))</f>
        <v>0.92547597309125129</v>
      </c>
      <c r="J127" s="171">
        <f>IF(E127="",0,CalcPut($G$10,$G$14,$G$11,$G$12,$G$13,G127))</f>
        <v>63.561920434156903</v>
      </c>
      <c r="M127" s="130">
        <f t="shared" si="26"/>
        <v>63.561920434156903</v>
      </c>
      <c r="N127" s="234">
        <f t="shared" si="27"/>
        <v>9.3685821732503172E-4</v>
      </c>
      <c r="O127" s="203">
        <f t="shared" si="28"/>
        <v>5.9548507467699741E-2</v>
      </c>
      <c r="P127"/>
      <c r="R127"/>
      <c r="S127"/>
      <c r="T127"/>
      <c r="U127"/>
      <c r="Y127" s="180">
        <f t="shared" si="29"/>
        <v>0</v>
      </c>
      <c r="Z127" s="181">
        <f t="shared" si="30"/>
        <v>9.3685821732503172E-4</v>
      </c>
      <c r="AA127" s="196" t="str">
        <f t="shared" si="31"/>
        <v/>
      </c>
      <c r="AB127" s="204">
        <f t="shared" si="32"/>
        <v>0</v>
      </c>
      <c r="AI127" s="21"/>
      <c r="AK127" s="183" t="str">
        <f t="shared" si="33"/>
        <v/>
      </c>
      <c r="AL127" s="184" t="str">
        <f t="shared" si="34"/>
        <v/>
      </c>
      <c r="AM127" s="185" t="str">
        <f t="shared" si="35"/>
        <v/>
      </c>
    </row>
    <row r="128" spans="2:39" ht="18" x14ac:dyDescent="0.45">
      <c r="B128" s="22"/>
      <c r="C128" s="224">
        <f t="shared" si="19"/>
        <v>68.708333333333329</v>
      </c>
      <c r="D128" s="120">
        <v>105</v>
      </c>
      <c r="E128" s="167">
        <f t="shared" si="36"/>
        <v>68</v>
      </c>
      <c r="F128" s="168">
        <f t="shared" si="37"/>
        <v>8.5</v>
      </c>
      <c r="G128" s="192">
        <f t="shared" si="25"/>
        <v>8.7083333333333339</v>
      </c>
      <c r="H128" s="169">
        <f>IF(D128&lt;=$N$12+1,'死亡率（標準生命表）'!M108,0)</f>
        <v>9.3685821732503172E-4</v>
      </c>
      <c r="I128" s="170">
        <f>IF(D128&lt;$N$12+1,'死亡率（標準生命表）'!N109,IF(D128=$N$12+1,I127,0))</f>
        <v>0.92453911487392626</v>
      </c>
      <c r="J128" s="171">
        <f>IF(E128="",0,CalcPut($G$10,$G$14,$G$11,$G$12,$G$13,G128))</f>
        <v>63.861280879382996</v>
      </c>
      <c r="M128" s="130">
        <f t="shared" si="26"/>
        <v>63.861280879382996</v>
      </c>
      <c r="N128" s="234">
        <f t="shared" si="27"/>
        <v>9.3685821732503172E-4</v>
      </c>
      <c r="O128" s="203">
        <f t="shared" si="28"/>
        <v>5.982896576075189E-2</v>
      </c>
      <c r="P128"/>
      <c r="R128"/>
      <c r="S128"/>
      <c r="T128"/>
      <c r="U128"/>
      <c r="Y128" s="180">
        <f t="shared" si="29"/>
        <v>0</v>
      </c>
      <c r="Z128" s="181">
        <f t="shared" si="30"/>
        <v>9.3685821732503172E-4</v>
      </c>
      <c r="AA128" s="196" t="str">
        <f t="shared" si="31"/>
        <v/>
      </c>
      <c r="AB128" s="204">
        <f t="shared" si="32"/>
        <v>0</v>
      </c>
      <c r="AI128" s="21"/>
      <c r="AK128" s="183" t="str">
        <f t="shared" si="33"/>
        <v/>
      </c>
      <c r="AL128" s="184" t="str">
        <f t="shared" si="34"/>
        <v/>
      </c>
      <c r="AM128" s="185" t="str">
        <f t="shared" si="35"/>
        <v/>
      </c>
    </row>
    <row r="129" spans="2:39" ht="18" x14ac:dyDescent="0.45">
      <c r="B129" s="22"/>
      <c r="C129" s="224">
        <f t="shared" si="19"/>
        <v>68.791666666666671</v>
      </c>
      <c r="D129" s="120">
        <v>106</v>
      </c>
      <c r="E129" s="167">
        <f t="shared" si="36"/>
        <v>68</v>
      </c>
      <c r="F129" s="168">
        <f t="shared" si="37"/>
        <v>9.5</v>
      </c>
      <c r="G129" s="192">
        <f t="shared" si="25"/>
        <v>8.7916666666666661</v>
      </c>
      <c r="H129" s="169">
        <f>IF(D129&lt;=$N$12+1,'死亡率（標準生命表）'!M109,0)</f>
        <v>9.3685821732492069E-4</v>
      </c>
      <c r="I129" s="170">
        <f>IF(D129&lt;$N$12+1,'死亡率（標準生命表）'!N110,IF(D129=$N$12+1,I128,0))</f>
        <v>0.92360225665660134</v>
      </c>
      <c r="J129" s="171">
        <f>IF(E129="",0,CalcPut($G$10,$G$14,$G$11,$G$12,$G$13,G129))</f>
        <v>64.158840769397386</v>
      </c>
      <c r="M129" s="130">
        <f t="shared" si="26"/>
        <v>64.158840769397386</v>
      </c>
      <c r="N129" s="234">
        <f t="shared" si="27"/>
        <v>9.3685821732492069E-4</v>
      </c>
      <c r="O129" s="203">
        <f t="shared" si="28"/>
        <v>6.0107737188851082E-2</v>
      </c>
      <c r="P129"/>
      <c r="R129"/>
      <c r="S129"/>
      <c r="T129"/>
      <c r="U129"/>
      <c r="Y129" s="180">
        <f t="shared" si="29"/>
        <v>0</v>
      </c>
      <c r="Z129" s="181">
        <f t="shared" si="30"/>
        <v>9.3685821732492069E-4</v>
      </c>
      <c r="AA129" s="196" t="str">
        <f t="shared" si="31"/>
        <v/>
      </c>
      <c r="AB129" s="204">
        <f t="shared" si="32"/>
        <v>0</v>
      </c>
      <c r="AI129" s="21"/>
      <c r="AK129" s="183" t="str">
        <f t="shared" si="33"/>
        <v/>
      </c>
      <c r="AL129" s="184" t="str">
        <f t="shared" si="34"/>
        <v/>
      </c>
      <c r="AM129" s="185" t="str">
        <f t="shared" si="35"/>
        <v/>
      </c>
    </row>
    <row r="130" spans="2:39" ht="18" x14ac:dyDescent="0.45">
      <c r="B130" s="22"/>
      <c r="C130" s="224">
        <f t="shared" si="19"/>
        <v>68.875</v>
      </c>
      <c r="D130" s="120">
        <v>107</v>
      </c>
      <c r="E130" s="167">
        <f t="shared" si="36"/>
        <v>68</v>
      </c>
      <c r="F130" s="168">
        <f t="shared" si="37"/>
        <v>10.5</v>
      </c>
      <c r="G130" s="192">
        <f t="shared" si="25"/>
        <v>8.875</v>
      </c>
      <c r="H130" s="169">
        <f>IF(D130&lt;=$N$12+1,'死亡率（標準生命表）'!M110,0)</f>
        <v>9.3685821732492069E-4</v>
      </c>
      <c r="I130" s="170">
        <f>IF(D130&lt;$N$12+1,'死亡率（標準生命表）'!N111,IF(D130=$N$12+1,I129,0))</f>
        <v>0.92266539843927642</v>
      </c>
      <c r="J130" s="171">
        <f>IF(E130="",0,CalcPut($G$10,$G$14,$G$11,$G$12,$G$13,G130))</f>
        <v>64.45462145125795</v>
      </c>
      <c r="M130" s="130">
        <f t="shared" si="26"/>
        <v>64.45462145125795</v>
      </c>
      <c r="N130" s="234">
        <f t="shared" si="27"/>
        <v>9.3685821732492069E-4</v>
      </c>
      <c r="O130" s="203">
        <f t="shared" si="28"/>
        <v>6.0384841751178114E-2</v>
      </c>
      <c r="P130"/>
      <c r="R130"/>
      <c r="S130"/>
      <c r="T130"/>
      <c r="U130"/>
      <c r="Y130" s="180">
        <f t="shared" si="29"/>
        <v>0</v>
      </c>
      <c r="Z130" s="181">
        <f t="shared" si="30"/>
        <v>9.3685821732492069E-4</v>
      </c>
      <c r="AA130" s="196" t="str">
        <f t="shared" si="31"/>
        <v/>
      </c>
      <c r="AB130" s="204">
        <f t="shared" si="32"/>
        <v>0</v>
      </c>
      <c r="AI130" s="21"/>
      <c r="AK130" s="183" t="str">
        <f t="shared" si="33"/>
        <v/>
      </c>
      <c r="AL130" s="184" t="str">
        <f t="shared" si="34"/>
        <v/>
      </c>
      <c r="AM130" s="185" t="str">
        <f t="shared" si="35"/>
        <v/>
      </c>
    </row>
    <row r="131" spans="2:39" ht="18" x14ac:dyDescent="0.45">
      <c r="B131" s="22"/>
      <c r="C131" s="224">
        <f t="shared" si="19"/>
        <v>68.958333333333329</v>
      </c>
      <c r="D131" s="120">
        <v>108</v>
      </c>
      <c r="E131" s="167">
        <f t="shared" si="36"/>
        <v>68</v>
      </c>
      <c r="F131" s="168">
        <f t="shared" si="37"/>
        <v>11.5</v>
      </c>
      <c r="G131" s="192">
        <f t="shared" si="25"/>
        <v>8.9583333333333339</v>
      </c>
      <c r="H131" s="169">
        <f>IF(D131&lt;=$N$12+1,'死亡率（標準生命表）'!M111,0)</f>
        <v>9.3685821732503172E-4</v>
      </c>
      <c r="I131" s="170">
        <f>IF(D131&lt;$N$12+1,'死亡率（標準生命表）'!N112,IF(D131=$N$12+1,I130,0))</f>
        <v>0.92172854022195139</v>
      </c>
      <c r="J131" s="171">
        <f>IF(E131="",0,CalcPut($G$10,$G$14,$G$11,$G$12,$G$13,G131))</f>
        <v>64.748643798154276</v>
      </c>
      <c r="M131" s="130">
        <f t="shared" si="26"/>
        <v>64.748643798154276</v>
      </c>
      <c r="N131" s="234">
        <f t="shared" si="27"/>
        <v>9.3685821732503172E-4</v>
      </c>
      <c r="O131" s="203">
        <f t="shared" si="28"/>
        <v>6.0660299002952285E-2</v>
      </c>
      <c r="P131"/>
      <c r="R131"/>
      <c r="S131"/>
      <c r="T131"/>
      <c r="U131"/>
      <c r="Y131" s="180">
        <f t="shared" si="29"/>
        <v>0</v>
      </c>
      <c r="Z131" s="181">
        <f t="shared" si="30"/>
        <v>9.3685821732503172E-4</v>
      </c>
      <c r="AA131" s="196" t="str">
        <f t="shared" si="31"/>
        <v/>
      </c>
      <c r="AB131" s="204">
        <f t="shared" si="32"/>
        <v>0</v>
      </c>
      <c r="AI131" s="21"/>
      <c r="AK131" s="183" t="str">
        <f t="shared" si="33"/>
        <v/>
      </c>
      <c r="AL131" s="184" t="str">
        <f t="shared" si="34"/>
        <v/>
      </c>
      <c r="AM131" s="185" t="str">
        <f t="shared" si="35"/>
        <v/>
      </c>
    </row>
    <row r="132" spans="2:39" ht="18" x14ac:dyDescent="0.45">
      <c r="B132" s="22"/>
      <c r="C132" s="224">
        <f t="shared" si="19"/>
        <v>69.041666666666671</v>
      </c>
      <c r="D132" s="120">
        <v>109</v>
      </c>
      <c r="E132" s="167">
        <f t="shared" si="36"/>
        <v>69</v>
      </c>
      <c r="F132" s="168">
        <f t="shared" si="37"/>
        <v>0.5</v>
      </c>
      <c r="G132" s="192">
        <f t="shared" si="25"/>
        <v>9.0416666666666661</v>
      </c>
      <c r="H132" s="169">
        <f>IF(D132&lt;=$N$12+1,'死亡率（標準生命表）'!M112,0)</f>
        <v>1.0031478946082029E-3</v>
      </c>
      <c r="I132" s="170">
        <f>IF(D132&lt;$N$12+1,'死亡率（標準生命表）'!N113,IF(D132=$N$12+1,I131,0))</f>
        <v>0.92072539232734318</v>
      </c>
      <c r="J132" s="171">
        <f>IF(E132="",0,CalcPut($G$10,$G$14,$G$11,$G$12,$G$13,G132))</f>
        <v>65.040928224532635</v>
      </c>
      <c r="M132" s="130">
        <f t="shared" si="26"/>
        <v>65.040928224532635</v>
      </c>
      <c r="N132" s="234">
        <f t="shared" si="27"/>
        <v>1.0031478946082029E-3</v>
      </c>
      <c r="O132" s="203">
        <f t="shared" si="28"/>
        <v>6.524567021180315E-2</v>
      </c>
      <c r="P132"/>
      <c r="R132"/>
      <c r="S132"/>
      <c r="T132"/>
      <c r="U132"/>
      <c r="Y132" s="180">
        <f t="shared" si="29"/>
        <v>0</v>
      </c>
      <c r="Z132" s="181">
        <f t="shared" si="30"/>
        <v>1.0031478946082029E-3</v>
      </c>
      <c r="AA132" s="196" t="str">
        <f t="shared" si="31"/>
        <v/>
      </c>
      <c r="AB132" s="204">
        <f t="shared" si="32"/>
        <v>0</v>
      </c>
      <c r="AI132" s="21"/>
      <c r="AK132" s="183" t="str">
        <f t="shared" si="33"/>
        <v/>
      </c>
      <c r="AL132" s="184" t="str">
        <f t="shared" si="34"/>
        <v/>
      </c>
      <c r="AM132" s="185" t="str">
        <f t="shared" si="35"/>
        <v/>
      </c>
    </row>
    <row r="133" spans="2:39" ht="18" x14ac:dyDescent="0.45">
      <c r="B133" s="22"/>
      <c r="C133" s="224">
        <f t="shared" si="19"/>
        <v>69.125</v>
      </c>
      <c r="D133" s="120">
        <v>110</v>
      </c>
      <c r="E133" s="167">
        <f t="shared" si="36"/>
        <v>69</v>
      </c>
      <c r="F133" s="168">
        <f t="shared" si="37"/>
        <v>1.5</v>
      </c>
      <c r="G133" s="192">
        <f t="shared" si="25"/>
        <v>9.125</v>
      </c>
      <c r="H133" s="169">
        <f>IF(D133&lt;=$N$12+1,'死亡率（標準生命表）'!M113,0)</f>
        <v>1.0031478946083139E-3</v>
      </c>
      <c r="I133" s="170">
        <f>IF(D133&lt;$N$12+1,'死亡率（標準生命表）'!N114,IF(D133=$N$12+1,I132,0))</f>
        <v>0.91972224443273487</v>
      </c>
      <c r="J133" s="171">
        <f>IF(E133="",0,CalcPut($G$10,$G$14,$G$11,$G$12,$G$13,G133))</f>
        <v>65.331494700600658</v>
      </c>
      <c r="M133" s="130">
        <f t="shared" si="26"/>
        <v>65.331494700600658</v>
      </c>
      <c r="N133" s="234">
        <f t="shared" si="27"/>
        <v>1.0031478946083139E-3</v>
      </c>
      <c r="O133" s="203">
        <f t="shared" si="28"/>
        <v>6.5537151360521767E-2</v>
      </c>
      <c r="P133"/>
      <c r="R133"/>
      <c r="S133"/>
      <c r="T133"/>
      <c r="U133"/>
      <c r="Y133" s="180">
        <f t="shared" si="29"/>
        <v>0</v>
      </c>
      <c r="Z133" s="181">
        <f t="shared" si="30"/>
        <v>1.0031478946083139E-3</v>
      </c>
      <c r="AA133" s="196" t="str">
        <f t="shared" si="31"/>
        <v/>
      </c>
      <c r="AB133" s="204">
        <f t="shared" si="32"/>
        <v>0</v>
      </c>
      <c r="AI133" s="21"/>
      <c r="AK133" s="183" t="str">
        <f t="shared" si="33"/>
        <v/>
      </c>
      <c r="AL133" s="184" t="str">
        <f t="shared" si="34"/>
        <v/>
      </c>
      <c r="AM133" s="185" t="str">
        <f t="shared" si="35"/>
        <v/>
      </c>
    </row>
    <row r="134" spans="2:39" ht="18" x14ac:dyDescent="0.45">
      <c r="B134" s="22"/>
      <c r="C134" s="224">
        <f t="shared" si="19"/>
        <v>69.208333333333329</v>
      </c>
      <c r="D134" s="120">
        <v>111</v>
      </c>
      <c r="E134" s="167">
        <f t="shared" si="36"/>
        <v>69</v>
      </c>
      <c r="F134" s="168">
        <f t="shared" si="37"/>
        <v>2.5</v>
      </c>
      <c r="G134" s="192">
        <f t="shared" si="25"/>
        <v>9.2083333333333339</v>
      </c>
      <c r="H134" s="169">
        <f>IF(D134&lt;=$N$12+1,'死亡率（標準生命表）'!M114,0)</f>
        <v>1.0031478946082029E-3</v>
      </c>
      <c r="I134" s="170">
        <f>IF(D134&lt;$N$12+1,'死亡率（標準生命表）'!N115,IF(D134=$N$12+1,I133,0))</f>
        <v>0.91871909653812667</v>
      </c>
      <c r="J134" s="171">
        <f>IF(E134="",0,CalcPut($G$10,$G$14,$G$11,$G$12,$G$13,G134))</f>
        <v>65.620362766244455</v>
      </c>
      <c r="M134" s="130">
        <f t="shared" si="26"/>
        <v>65.620362766244455</v>
      </c>
      <c r="N134" s="234">
        <f t="shared" si="27"/>
        <v>1.0031478946082029E-3</v>
      </c>
      <c r="O134" s="203">
        <f t="shared" si="28"/>
        <v>6.5826928752384634E-2</v>
      </c>
      <c r="P134"/>
      <c r="R134"/>
      <c r="S134"/>
      <c r="T134"/>
      <c r="U134"/>
      <c r="Y134" s="180">
        <f t="shared" si="29"/>
        <v>0</v>
      </c>
      <c r="Z134" s="181">
        <f t="shared" si="30"/>
        <v>1.0031478946082029E-3</v>
      </c>
      <c r="AA134" s="196" t="str">
        <f t="shared" si="31"/>
        <v/>
      </c>
      <c r="AB134" s="204">
        <f t="shared" si="32"/>
        <v>0</v>
      </c>
      <c r="AI134" s="21"/>
      <c r="AK134" s="183" t="str">
        <f t="shared" si="33"/>
        <v/>
      </c>
      <c r="AL134" s="184" t="str">
        <f t="shared" si="34"/>
        <v/>
      </c>
      <c r="AM134" s="185" t="str">
        <f t="shared" si="35"/>
        <v/>
      </c>
    </row>
    <row r="135" spans="2:39" ht="18" x14ac:dyDescent="0.45">
      <c r="B135" s="22"/>
      <c r="C135" s="224">
        <f t="shared" si="19"/>
        <v>69.291666666666671</v>
      </c>
      <c r="D135" s="120">
        <v>112</v>
      </c>
      <c r="E135" s="167">
        <f t="shared" si="36"/>
        <v>69</v>
      </c>
      <c r="F135" s="168">
        <f t="shared" si="37"/>
        <v>3.5</v>
      </c>
      <c r="G135" s="192">
        <f t="shared" si="25"/>
        <v>9.2916666666666661</v>
      </c>
      <c r="H135" s="169">
        <f>IF(D135&lt;=$N$12+1,'死亡率（標準生命表）'!M115,0)</f>
        <v>1.0031478946080918E-3</v>
      </c>
      <c r="I135" s="170">
        <f>IF(D135&lt;$N$12+1,'死亡率（標準生命表）'!N116,IF(D135=$N$12+1,I134,0))</f>
        <v>0.91771594864351858</v>
      </c>
      <c r="J135" s="171">
        <f>IF(E135="",0,CalcPut($G$10,$G$14,$G$11,$G$12,$G$13,G135))</f>
        <v>65.907551544381221</v>
      </c>
      <c r="M135" s="130">
        <f t="shared" si="26"/>
        <v>65.907551544381221</v>
      </c>
      <c r="N135" s="234">
        <f t="shared" si="27"/>
        <v>1.0031478946080918E-3</v>
      </c>
      <c r="O135" s="203">
        <f t="shared" si="28"/>
        <v>6.6115021570520308E-2</v>
      </c>
      <c r="P135"/>
      <c r="R135"/>
      <c r="S135"/>
      <c r="T135"/>
      <c r="U135"/>
      <c r="Y135" s="180">
        <f t="shared" si="29"/>
        <v>0</v>
      </c>
      <c r="Z135" s="181">
        <f t="shared" si="30"/>
        <v>1.0031478946080918E-3</v>
      </c>
      <c r="AA135" s="196" t="str">
        <f t="shared" si="31"/>
        <v/>
      </c>
      <c r="AB135" s="204">
        <f t="shared" si="32"/>
        <v>0</v>
      </c>
      <c r="AI135" s="21"/>
      <c r="AK135" s="183" t="str">
        <f t="shared" si="33"/>
        <v/>
      </c>
      <c r="AL135" s="184" t="str">
        <f t="shared" si="34"/>
        <v/>
      </c>
      <c r="AM135" s="185" t="str">
        <f t="shared" si="35"/>
        <v/>
      </c>
    </row>
    <row r="136" spans="2:39" ht="18" x14ac:dyDescent="0.45">
      <c r="B136" s="22"/>
      <c r="C136" s="224">
        <f t="shared" si="19"/>
        <v>69.375</v>
      </c>
      <c r="D136" s="120">
        <v>113</v>
      </c>
      <c r="E136" s="167">
        <f t="shared" si="36"/>
        <v>69</v>
      </c>
      <c r="F136" s="168">
        <f t="shared" si="37"/>
        <v>4.5</v>
      </c>
      <c r="G136" s="192">
        <f t="shared" si="25"/>
        <v>9.375</v>
      </c>
      <c r="H136" s="169">
        <f>IF(D136&lt;=$N$12+1,'死亡率（標準生命表）'!M116,0)</f>
        <v>1.0031478946083139E-3</v>
      </c>
      <c r="I136" s="170">
        <f>IF(D136&lt;$N$12+1,'死亡率（標準生命表）'!N117,IF(D136=$N$12+1,I135,0))</f>
        <v>0.91671280074891026</v>
      </c>
      <c r="J136" s="171">
        <f>IF(E136="",0,CalcPut($G$10,$G$14,$G$11,$G$12,$G$13,G136))</f>
        <v>66.193079753783422</v>
      </c>
      <c r="M136" s="130">
        <f t="shared" si="26"/>
        <v>66.193079753783422</v>
      </c>
      <c r="N136" s="234">
        <f t="shared" si="27"/>
        <v>1.0031478946083139E-3</v>
      </c>
      <c r="O136" s="203">
        <f t="shared" si="28"/>
        <v>6.6401448592648044E-2</v>
      </c>
      <c r="P136"/>
      <c r="R136"/>
      <c r="S136"/>
      <c r="T136"/>
      <c r="U136"/>
      <c r="Y136" s="180">
        <f t="shared" si="29"/>
        <v>0</v>
      </c>
      <c r="Z136" s="181">
        <f t="shared" si="30"/>
        <v>1.0031478946083139E-3</v>
      </c>
      <c r="AA136" s="196" t="str">
        <f t="shared" si="31"/>
        <v/>
      </c>
      <c r="AB136" s="204">
        <f t="shared" si="32"/>
        <v>0</v>
      </c>
      <c r="AI136" s="21"/>
      <c r="AK136" s="183" t="str">
        <f t="shared" si="33"/>
        <v/>
      </c>
      <c r="AL136" s="184" t="str">
        <f t="shared" si="34"/>
        <v/>
      </c>
      <c r="AM136" s="185" t="str">
        <f t="shared" si="35"/>
        <v/>
      </c>
    </row>
    <row r="137" spans="2:39" ht="18" x14ac:dyDescent="0.45">
      <c r="B137" s="22"/>
      <c r="C137" s="224">
        <f t="shared" si="19"/>
        <v>69.458333333333329</v>
      </c>
      <c r="D137" s="120">
        <v>114</v>
      </c>
      <c r="E137" s="167">
        <f t="shared" si="36"/>
        <v>69</v>
      </c>
      <c r="F137" s="168">
        <f t="shared" si="37"/>
        <v>5.5</v>
      </c>
      <c r="G137" s="192">
        <f t="shared" si="25"/>
        <v>9.4583333333333339</v>
      </c>
      <c r="H137" s="169">
        <f>IF(D137&lt;=$N$12+1,'死亡率（標準生命表）'!M117,0)</f>
        <v>1.0031478946082029E-3</v>
      </c>
      <c r="I137" s="170">
        <f>IF(D137&lt;$N$12+1,'死亡率（標準生命表）'!N118,IF(D137=$N$12+1,I136,0))</f>
        <v>0.91570965285430206</v>
      </c>
      <c r="J137" s="171">
        <f>IF(E137="",0,CalcPut($G$10,$G$14,$G$11,$G$12,$G$13,G137))</f>
        <v>66.476965721393384</v>
      </c>
      <c r="M137" s="130">
        <f t="shared" si="26"/>
        <v>66.476965721393384</v>
      </c>
      <c r="N137" s="234">
        <f t="shared" si="27"/>
        <v>1.0031478946082029E-3</v>
      </c>
      <c r="O137" s="203">
        <f t="shared" si="28"/>
        <v>6.6686228203357442E-2</v>
      </c>
      <c r="P137"/>
      <c r="R137"/>
      <c r="S137"/>
      <c r="T137"/>
      <c r="U137"/>
      <c r="Y137" s="180">
        <f t="shared" si="29"/>
        <v>0</v>
      </c>
      <c r="Z137" s="181">
        <f t="shared" si="30"/>
        <v>1.0031478946082029E-3</v>
      </c>
      <c r="AA137" s="196" t="str">
        <f t="shared" si="31"/>
        <v/>
      </c>
      <c r="AB137" s="204">
        <f t="shared" si="32"/>
        <v>0</v>
      </c>
      <c r="AI137" s="21"/>
      <c r="AK137" s="183" t="str">
        <f t="shared" si="33"/>
        <v/>
      </c>
      <c r="AL137" s="184" t="str">
        <f t="shared" si="34"/>
        <v/>
      </c>
      <c r="AM137" s="185" t="str">
        <f t="shared" si="35"/>
        <v/>
      </c>
    </row>
    <row r="138" spans="2:39" ht="18" x14ac:dyDescent="0.45">
      <c r="B138" s="22"/>
      <c r="C138" s="224">
        <f t="shared" si="19"/>
        <v>69.541666666666671</v>
      </c>
      <c r="D138" s="120">
        <v>115</v>
      </c>
      <c r="E138" s="167">
        <f t="shared" si="36"/>
        <v>69</v>
      </c>
      <c r="F138" s="168">
        <f t="shared" si="37"/>
        <v>6.5</v>
      </c>
      <c r="G138" s="192">
        <f t="shared" si="25"/>
        <v>9.5416666666666661</v>
      </c>
      <c r="H138" s="169">
        <f>IF(D138&lt;=$N$12+1,'死亡率（標準生命表）'!M118,0)</f>
        <v>1.0031478946082029E-3</v>
      </c>
      <c r="I138" s="170">
        <f>IF(D138&lt;$N$12+1,'死亡率（標準生命表）'!N119,IF(D138=$N$12+1,I137,0))</f>
        <v>0.91470650495969386</v>
      </c>
      <c r="J138" s="171">
        <f>IF(E138="",0,CalcPut($G$10,$G$14,$G$11,$G$12,$G$13,G138))</f>
        <v>66.759227394156099</v>
      </c>
      <c r="M138" s="130">
        <f t="shared" si="26"/>
        <v>66.759227394156099</v>
      </c>
      <c r="N138" s="234">
        <f t="shared" si="27"/>
        <v>1.0031478946082029E-3</v>
      </c>
      <c r="O138" s="203">
        <f t="shared" si="28"/>
        <v>6.6969378406117955E-2</v>
      </c>
      <c r="P138"/>
      <c r="R138"/>
      <c r="S138"/>
      <c r="T138"/>
      <c r="U138"/>
      <c r="Y138" s="180">
        <f t="shared" si="29"/>
        <v>0</v>
      </c>
      <c r="Z138" s="181">
        <f t="shared" si="30"/>
        <v>1.0031478946082029E-3</v>
      </c>
      <c r="AA138" s="196" t="str">
        <f t="shared" si="31"/>
        <v/>
      </c>
      <c r="AB138" s="204">
        <f t="shared" si="32"/>
        <v>0</v>
      </c>
      <c r="AI138" s="21"/>
      <c r="AK138" s="183" t="str">
        <f t="shared" si="33"/>
        <v/>
      </c>
      <c r="AL138" s="184" t="str">
        <f t="shared" si="34"/>
        <v/>
      </c>
      <c r="AM138" s="185" t="str">
        <f t="shared" si="35"/>
        <v/>
      </c>
    </row>
    <row r="139" spans="2:39" ht="18" x14ac:dyDescent="0.45">
      <c r="B139" s="22"/>
      <c r="C139" s="224">
        <f t="shared" si="19"/>
        <v>69.625</v>
      </c>
      <c r="D139" s="120">
        <v>116</v>
      </c>
      <c r="E139" s="167">
        <f t="shared" si="36"/>
        <v>69</v>
      </c>
      <c r="F139" s="168">
        <f t="shared" si="37"/>
        <v>7.5</v>
      </c>
      <c r="G139" s="192">
        <f t="shared" si="25"/>
        <v>9.625</v>
      </c>
      <c r="H139" s="169">
        <f>IF(D139&lt;=$N$12+1,'死亡率（標準生命表）'!M119,0)</f>
        <v>1.0031478946082029E-3</v>
      </c>
      <c r="I139" s="170">
        <f>IF(D139&lt;$N$12+1,'死亡率（標準生命表）'!N120,IF(D139=$N$12+1,I138,0))</f>
        <v>0.91370335706508565</v>
      </c>
      <c r="J139" s="171">
        <f>IF(E139="",0,CalcPut($G$10,$G$14,$G$11,$G$12,$G$13,G139))</f>
        <v>67.039882350390712</v>
      </c>
      <c r="M139" s="130">
        <f t="shared" si="26"/>
        <v>67.039882350390712</v>
      </c>
      <c r="N139" s="234">
        <f t="shared" si="27"/>
        <v>1.0031478946082029E-3</v>
      </c>
      <c r="O139" s="203">
        <f t="shared" si="28"/>
        <v>6.7250916834576055E-2</v>
      </c>
      <c r="P139"/>
      <c r="R139"/>
      <c r="S139"/>
      <c r="T139"/>
      <c r="U139"/>
      <c r="Y139" s="180">
        <f t="shared" si="29"/>
        <v>0</v>
      </c>
      <c r="Z139" s="181">
        <f t="shared" si="30"/>
        <v>1.0031478946082029E-3</v>
      </c>
      <c r="AA139" s="196" t="str">
        <f t="shared" si="31"/>
        <v/>
      </c>
      <c r="AB139" s="204">
        <f t="shared" si="32"/>
        <v>0</v>
      </c>
      <c r="AI139" s="21"/>
      <c r="AK139" s="183" t="str">
        <f t="shared" si="33"/>
        <v/>
      </c>
      <c r="AL139" s="184" t="str">
        <f t="shared" si="34"/>
        <v/>
      </c>
      <c r="AM139" s="185" t="str">
        <f t="shared" si="35"/>
        <v/>
      </c>
    </row>
    <row r="140" spans="2:39" ht="18" x14ac:dyDescent="0.45">
      <c r="B140" s="22"/>
      <c r="C140" s="224">
        <f t="shared" si="19"/>
        <v>69.708333333333329</v>
      </c>
      <c r="D140" s="120">
        <v>117</v>
      </c>
      <c r="E140" s="167">
        <f t="shared" si="36"/>
        <v>69</v>
      </c>
      <c r="F140" s="168">
        <f t="shared" si="37"/>
        <v>8.5</v>
      </c>
      <c r="G140" s="192">
        <f t="shared" si="25"/>
        <v>9.7083333333333339</v>
      </c>
      <c r="H140" s="169">
        <f>IF(D140&lt;=$N$12+1,'死亡率（標準生命表）'!M120,0)</f>
        <v>1.0031478946082029E-3</v>
      </c>
      <c r="I140" s="170">
        <f>IF(D140&lt;$N$12+1,'死亡率（標準生命表）'!N121,IF(D140=$N$12+1,I139,0))</f>
        <v>0.91270020917047745</v>
      </c>
      <c r="J140" s="171">
        <f>IF(E140="",0,CalcPut($G$10,$G$14,$G$11,$G$12,$G$13,G140))</f>
        <v>67.318947810727323</v>
      </c>
      <c r="M140" s="130">
        <f t="shared" si="26"/>
        <v>67.318947810727323</v>
      </c>
      <c r="N140" s="234">
        <f t="shared" si="27"/>
        <v>1.0031478946082029E-3</v>
      </c>
      <c r="O140" s="203">
        <f t="shared" si="28"/>
        <v>6.7530860763570608E-2</v>
      </c>
      <c r="P140"/>
      <c r="R140"/>
      <c r="S140"/>
      <c r="T140"/>
      <c r="U140"/>
      <c r="Y140" s="180">
        <f t="shared" si="29"/>
        <v>0</v>
      </c>
      <c r="Z140" s="181">
        <f t="shared" si="30"/>
        <v>1.0031478946082029E-3</v>
      </c>
      <c r="AA140" s="196" t="str">
        <f t="shared" si="31"/>
        <v/>
      </c>
      <c r="AB140" s="204">
        <f t="shared" si="32"/>
        <v>0</v>
      </c>
      <c r="AI140" s="21"/>
      <c r="AK140" s="183" t="str">
        <f t="shared" si="33"/>
        <v/>
      </c>
      <c r="AL140" s="184" t="str">
        <f t="shared" si="34"/>
        <v/>
      </c>
      <c r="AM140" s="185" t="str">
        <f t="shared" si="35"/>
        <v/>
      </c>
    </row>
    <row r="141" spans="2:39" ht="18" x14ac:dyDescent="0.45">
      <c r="B141" s="22"/>
      <c r="C141" s="224">
        <f t="shared" si="19"/>
        <v>69.791666666666671</v>
      </c>
      <c r="D141" s="120">
        <v>118</v>
      </c>
      <c r="E141" s="167">
        <f t="shared" si="36"/>
        <v>69</v>
      </c>
      <c r="F141" s="168">
        <f t="shared" si="37"/>
        <v>9.5</v>
      </c>
      <c r="G141" s="192">
        <f t="shared" si="25"/>
        <v>9.7916666666666661</v>
      </c>
      <c r="H141" s="169">
        <f>IF(D141&lt;=$N$12+1,'死亡率（標準生命表）'!M121,0)</f>
        <v>1.0031478946082029E-3</v>
      </c>
      <c r="I141" s="170">
        <f>IF(D141&lt;$N$12+1,'死亡率（標準生命表）'!N122,IF(D141=$N$12+1,I140,0))</f>
        <v>0.91169706127586925</v>
      </c>
      <c r="J141" s="171">
        <f>IF(E141="",0,CalcPut($G$10,$G$14,$G$11,$G$12,$G$13,G141))</f>
        <v>67.596440648622831</v>
      </c>
      <c r="M141" s="130">
        <f t="shared" si="26"/>
        <v>67.596440648622831</v>
      </c>
      <c r="N141" s="234">
        <f t="shared" si="27"/>
        <v>1.0031478946082029E-3</v>
      </c>
      <c r="O141" s="203">
        <f t="shared" si="28"/>
        <v>6.780922711967434E-2</v>
      </c>
      <c r="P141"/>
      <c r="R141"/>
      <c r="S141"/>
      <c r="T141"/>
      <c r="U141"/>
      <c r="Y141" s="180">
        <f t="shared" si="29"/>
        <v>0</v>
      </c>
      <c r="Z141" s="181">
        <f t="shared" si="30"/>
        <v>1.0031478946082029E-3</v>
      </c>
      <c r="AA141" s="196" t="str">
        <f t="shared" si="31"/>
        <v/>
      </c>
      <c r="AB141" s="204">
        <f t="shared" si="32"/>
        <v>0</v>
      </c>
      <c r="AI141" s="21"/>
      <c r="AK141" s="183" t="str">
        <f t="shared" si="33"/>
        <v/>
      </c>
      <c r="AL141" s="184" t="str">
        <f t="shared" si="34"/>
        <v/>
      </c>
      <c r="AM141" s="185" t="str">
        <f t="shared" si="35"/>
        <v/>
      </c>
    </row>
    <row r="142" spans="2:39" ht="18" x14ac:dyDescent="0.45">
      <c r="B142" s="22"/>
      <c r="C142" s="224">
        <f t="shared" si="19"/>
        <v>69.875</v>
      </c>
      <c r="D142" s="120">
        <v>119</v>
      </c>
      <c r="E142" s="167">
        <f t="shared" si="36"/>
        <v>69</v>
      </c>
      <c r="F142" s="168">
        <f t="shared" si="37"/>
        <v>10.5</v>
      </c>
      <c r="G142" s="192">
        <f t="shared" si="25"/>
        <v>9.875</v>
      </c>
      <c r="H142" s="169">
        <f>IF(D142&lt;=$N$12+1,'死亡率（標準生命表）'!M122,0)</f>
        <v>1.0031478946083139E-3</v>
      </c>
      <c r="I142" s="170">
        <f>IF(D142&lt;$N$12+1,'死亡率（標準生命表）'!N123,IF(D142=$N$12+1,I141,0))</f>
        <v>0.91069391338126093</v>
      </c>
      <c r="J142" s="171">
        <f>IF(E142="",0,CalcPut($G$10,$G$14,$G$11,$G$12,$G$13,G142))</f>
        <v>67.872377400481341</v>
      </c>
      <c r="M142" s="130">
        <f t="shared" si="26"/>
        <v>67.872377400481341</v>
      </c>
      <c r="N142" s="234">
        <f t="shared" si="27"/>
        <v>1.0031478946083139E-3</v>
      </c>
      <c r="O142" s="203">
        <f t="shared" si="28"/>
        <v>6.8086032491353768E-2</v>
      </c>
      <c r="P142"/>
      <c r="R142"/>
      <c r="S142"/>
      <c r="T142"/>
      <c r="U142"/>
      <c r="Y142" s="180">
        <f t="shared" si="29"/>
        <v>0</v>
      </c>
      <c r="Z142" s="181">
        <f t="shared" si="30"/>
        <v>1.0031478946083139E-3</v>
      </c>
      <c r="AA142" s="196" t="str">
        <f t="shared" si="31"/>
        <v/>
      </c>
      <c r="AB142" s="204">
        <f t="shared" si="32"/>
        <v>0</v>
      </c>
      <c r="AI142" s="21"/>
      <c r="AK142" s="183" t="str">
        <f t="shared" si="33"/>
        <v/>
      </c>
      <c r="AL142" s="184" t="str">
        <f t="shared" si="34"/>
        <v/>
      </c>
      <c r="AM142" s="185" t="str">
        <f t="shared" si="35"/>
        <v/>
      </c>
    </row>
    <row r="143" spans="2:39" ht="18" x14ac:dyDescent="0.45">
      <c r="B143" s="22"/>
      <c r="C143" s="224">
        <f t="shared" si="19"/>
        <v>69.958333333333329</v>
      </c>
      <c r="D143" s="120">
        <v>120</v>
      </c>
      <c r="E143" s="167">
        <f t="shared" si="36"/>
        <v>69</v>
      </c>
      <c r="F143" s="168">
        <f t="shared" si="37"/>
        <v>11.5</v>
      </c>
      <c r="G143" s="192">
        <f t="shared" si="25"/>
        <v>9.9583333333333339</v>
      </c>
      <c r="H143" s="169">
        <f>IF(D143&lt;=$N$12+1,'死亡率（標準生命表）'!M123,0)</f>
        <v>1.0031478946082029E-3</v>
      </c>
      <c r="I143" s="170">
        <f>IF(D143&lt;$N$12+1,'死亡率（標準生命表）'!N124,IF(D143=$N$12+1,I142,0))</f>
        <v>0.90969076548665273</v>
      </c>
      <c r="J143" s="171">
        <f>IF(E143="",0,CalcPut($G$10,$G$14,$G$11,$G$12,$G$13,G143))</f>
        <v>68.14677427539273</v>
      </c>
      <c r="M143" s="130">
        <f t="shared" si="26"/>
        <v>68.14677427539273</v>
      </c>
      <c r="N143" s="234">
        <f t="shared" si="27"/>
        <v>1.0031478946082029E-3</v>
      </c>
      <c r="O143" s="203">
        <f t="shared" si="28"/>
        <v>6.8361293138700652E-2</v>
      </c>
      <c r="P143"/>
      <c r="Q143"/>
      <c r="R143"/>
      <c r="S143"/>
      <c r="T143"/>
      <c r="U143"/>
      <c r="V143"/>
      <c r="W143"/>
      <c r="X143"/>
      <c r="Y143" s="180">
        <f t="shared" si="29"/>
        <v>0</v>
      </c>
      <c r="Z143" s="181">
        <f t="shared" si="30"/>
        <v>1.0031478946082029E-3</v>
      </c>
      <c r="AA143" s="196" t="str">
        <f t="shared" si="31"/>
        <v/>
      </c>
      <c r="AB143" s="204">
        <f t="shared" si="32"/>
        <v>0</v>
      </c>
      <c r="AI143" s="21"/>
      <c r="AK143" s="183" t="str">
        <f t="shared" si="33"/>
        <v/>
      </c>
      <c r="AL143" s="184" t="str">
        <f t="shared" si="34"/>
        <v/>
      </c>
      <c r="AM143" s="185" t="str">
        <f t="shared" si="35"/>
        <v/>
      </c>
    </row>
    <row r="144" spans="2:39" ht="18" x14ac:dyDescent="0.45">
      <c r="B144" s="22"/>
      <c r="C144" s="224">
        <f t="shared" si="19"/>
        <v>70</v>
      </c>
      <c r="D144" s="121">
        <v>121</v>
      </c>
      <c r="E144" s="172">
        <f t="shared" si="36"/>
        <v>70</v>
      </c>
      <c r="F144" s="173">
        <f t="shared" si="37"/>
        <v>0</v>
      </c>
      <c r="G144" s="193">
        <f t="shared" si="25"/>
        <v>10</v>
      </c>
      <c r="H144" s="174">
        <f>IF(D144&lt;=$N$12+1,'死亡率（標準生命表）'!M124,0)</f>
        <v>0</v>
      </c>
      <c r="I144" s="175">
        <f>IF(D144&lt;$N$12+1,'死亡率（標準生命表）'!N125,IF(D144=$N$12+1,I143,0))</f>
        <v>0.90969076548665273</v>
      </c>
      <c r="J144" s="176">
        <f>IF(E144="",0,CalcPut($G$10,$G$14,$G$11,$G$12,$G$13,G144))</f>
        <v>68.283400237148911</v>
      </c>
      <c r="M144" s="230"/>
      <c r="N144" s="231"/>
      <c r="O144" s="232" t="str">
        <f t="shared" ref="O144" si="38">IF($D144&lt;=$N$12,M144*N144,"")</f>
        <v/>
      </c>
      <c r="P144"/>
      <c r="Q144"/>
      <c r="R144"/>
      <c r="S144"/>
      <c r="T144"/>
      <c r="U144"/>
      <c r="V144"/>
      <c r="W144"/>
      <c r="X144"/>
      <c r="Y144" s="177">
        <f t="shared" si="29"/>
        <v>0</v>
      </c>
      <c r="Z144" s="182" t="str">
        <f t="shared" si="30"/>
        <v/>
      </c>
      <c r="AA144" s="197">
        <f t="shared" si="31"/>
        <v>0.90969076548665273</v>
      </c>
      <c r="AB144" s="204">
        <f t="shared" si="32"/>
        <v>0</v>
      </c>
      <c r="AI144" s="21"/>
      <c r="AK144" s="186">
        <f t="shared" si="33"/>
        <v>68.283400237148911</v>
      </c>
      <c r="AL144" s="187">
        <f t="shared" si="34"/>
        <v>0.90969076548665273</v>
      </c>
      <c r="AM144" s="191">
        <f t="shared" si="35"/>
        <v>62.116778631763474</v>
      </c>
    </row>
    <row r="145" spans="2:35" ht="18.600000000000001" thickBot="1" x14ac:dyDescent="0.5">
      <c r="B145" s="27"/>
      <c r="C145" s="28"/>
      <c r="D145" s="28"/>
      <c r="E145" s="28"/>
      <c r="F145" s="28"/>
      <c r="G145" s="28"/>
      <c r="H145" s="28"/>
      <c r="I145" s="28"/>
      <c r="J145" s="28"/>
      <c r="K145" s="28"/>
      <c r="L145" s="28"/>
      <c r="M145" s="28"/>
      <c r="N145" s="28"/>
      <c r="O145" s="211"/>
      <c r="P145" s="141"/>
      <c r="Q145" s="141"/>
      <c r="R145" s="141"/>
      <c r="S145" s="141"/>
      <c r="T145" s="141"/>
      <c r="U145" s="141"/>
      <c r="V145" s="141"/>
      <c r="W145" s="141"/>
      <c r="X145" s="141"/>
      <c r="Y145" s="141"/>
      <c r="Z145" s="141"/>
      <c r="AA145" s="141"/>
      <c r="AB145" s="205"/>
      <c r="AC145" s="28"/>
      <c r="AD145" s="28"/>
      <c r="AE145" s="28"/>
      <c r="AF145" s="28"/>
      <c r="AG145" s="28"/>
      <c r="AH145" s="28"/>
      <c r="AI145" s="29"/>
    </row>
    <row r="146" spans="2:35" ht="18.75" customHeight="1" x14ac:dyDescent="0.45">
      <c r="P146"/>
      <c r="Q146"/>
      <c r="R146"/>
      <c r="S146"/>
      <c r="T146"/>
      <c r="U146"/>
      <c r="V146"/>
      <c r="W146"/>
      <c r="X146"/>
      <c r="Y146"/>
      <c r="Z146"/>
      <c r="AA146"/>
      <c r="AB146" s="206"/>
    </row>
    <row r="147" spans="2:35" ht="18.75" hidden="1" customHeight="1" x14ac:dyDescent="0.3"/>
    <row r="148" spans="2:35" ht="18.75" hidden="1" customHeight="1" x14ac:dyDescent="0.3"/>
    <row r="149" spans="2:35" ht="18.75" hidden="1" customHeight="1" x14ac:dyDescent="0.3"/>
    <row r="150" spans="2:35" ht="18.75" hidden="1" customHeight="1" x14ac:dyDescent="0.3"/>
    <row r="151" spans="2:35" ht="18.75" hidden="1" customHeight="1" x14ac:dyDescent="0.3"/>
    <row r="152" spans="2:35" ht="18.75" hidden="1" customHeight="1" x14ac:dyDescent="0.3"/>
  </sheetData>
  <phoneticPr fontId="5"/>
  <conditionalFormatting sqref="D14:G14">
    <cfRule type="expression" dxfId="3" priority="2">
      <formula>#REF!="ラダー"</formula>
    </cfRule>
  </conditionalFormatting>
  <conditionalFormatting sqref="D14:G14">
    <cfRule type="expression" dxfId="2" priority="1">
      <formula>#REF!="ルックバック"</formula>
    </cfRule>
  </conditionalFormatting>
  <conditionalFormatting sqref="AB144">
    <cfRule type="expression" dxfId="1" priority="14">
      <formula>$E144=""</formula>
    </cfRule>
    <cfRule type="expression" dxfId="0" priority="15">
      <formula>$E144&lt;$M$11+$M$12</formula>
    </cfRule>
  </conditionalFormatting>
  <dataValidations count="1">
    <dataValidation type="list" allowBlank="1" showInputMessage="1" showErrorMessage="1" sqref="M10" xr:uid="{00000000-0002-0000-0500-000000000000}">
      <formula1>"死亡+生存,死亡のみ,生存のみ,なし"</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0" tint="-0.499984740745262"/>
  </sheetPr>
  <dimension ref="A1:Y127"/>
  <sheetViews>
    <sheetView workbookViewId="0"/>
  </sheetViews>
  <sheetFormatPr defaultColWidth="0" defaultRowHeight="15" zeroHeight="1" x14ac:dyDescent="0.3"/>
  <cols>
    <col min="1" max="1" width="2.59765625" style="4" customWidth="1"/>
    <col min="2" max="2" width="9.09765625" style="4" bestFit="1" customWidth="1"/>
    <col min="3" max="3" width="9.8984375" style="4" bestFit="1" customWidth="1"/>
    <col min="4" max="4" width="9.09765625" style="4" bestFit="1" customWidth="1"/>
    <col min="5" max="8" width="9" style="4" customWidth="1"/>
    <col min="9" max="9" width="2.59765625" style="4" customWidth="1"/>
    <col min="10" max="15" width="9" style="4" customWidth="1"/>
    <col min="16" max="16" width="2.59765625" style="4" customWidth="1"/>
    <col min="17" max="25" width="0" style="4" hidden="1" customWidth="1"/>
    <col min="26" max="16384" width="9" style="4" hidden="1"/>
  </cols>
  <sheetData>
    <row r="1" spans="2:15" x14ac:dyDescent="0.3"/>
    <row r="2" spans="2:15" ht="15.6" thickBot="1" x14ac:dyDescent="0.35">
      <c r="B2" s="3" t="s">
        <v>129</v>
      </c>
      <c r="G2" s="3" t="s">
        <v>130</v>
      </c>
    </row>
    <row r="3" spans="2:15" ht="15.6" thickBot="1" x14ac:dyDescent="0.35">
      <c r="B3" s="46" t="s">
        <v>131</v>
      </c>
      <c r="C3" s="45"/>
      <c r="G3" s="55" t="s">
        <v>132</v>
      </c>
      <c r="H3" s="56">
        <f>'【演習2-1】 最低保証にかかる費用算出'!M11</f>
        <v>60</v>
      </c>
      <c r="J3" s="25" t="s">
        <v>133</v>
      </c>
      <c r="K3" s="43" t="s">
        <v>134</v>
      </c>
      <c r="L3" s="43" t="s">
        <v>135</v>
      </c>
      <c r="M3" s="43" t="s">
        <v>136</v>
      </c>
      <c r="N3" s="43" t="s">
        <v>137</v>
      </c>
      <c r="O3" s="26" t="s">
        <v>138</v>
      </c>
    </row>
    <row r="4" spans="2:15" x14ac:dyDescent="0.3">
      <c r="B4" s="49">
        <v>0</v>
      </c>
      <c r="C4" s="47">
        <v>5.8E-4</v>
      </c>
      <c r="J4" s="22">
        <f>H3</f>
        <v>60</v>
      </c>
      <c r="K4" s="4">
        <v>0</v>
      </c>
      <c r="L4" s="4">
        <v>0</v>
      </c>
      <c r="M4" s="39">
        <f>N4-N5</f>
        <v>5.350000000000632E-4</v>
      </c>
      <c r="N4" s="39">
        <v>1</v>
      </c>
      <c r="O4" s="51">
        <f>IF(J4="","",VLOOKUP(J4,$B$4:$D$126,2,0))</f>
        <v>6.4200000000000004E-3</v>
      </c>
    </row>
    <row r="5" spans="2:15" x14ac:dyDescent="0.3">
      <c r="B5" s="49">
        <v>1</v>
      </c>
      <c r="C5" s="47">
        <v>2.5999999999999998E-4</v>
      </c>
      <c r="J5" s="22"/>
      <c r="K5" s="4">
        <v>1</v>
      </c>
      <c r="L5" s="52">
        <f>K5/12</f>
        <v>8.3333333333333329E-2</v>
      </c>
      <c r="M5" s="39">
        <f>N5-N6</f>
        <v>5.3499999999984116E-4</v>
      </c>
      <c r="N5" s="39">
        <f>(1-L5)*$N$4+L5*$N$16</f>
        <v>0.99946499999999994</v>
      </c>
      <c r="O5" s="51" t="str">
        <f t="shared" ref="O5:O68" si="0">IF(J5="","",VLOOKUP(J5,$B$4:$D$126,2,0))</f>
        <v/>
      </c>
    </row>
    <row r="6" spans="2:15" x14ac:dyDescent="0.3">
      <c r="B6" s="49">
        <v>2</v>
      </c>
      <c r="C6" s="47">
        <v>2.0000000000000001E-4</v>
      </c>
      <c r="J6" s="22"/>
      <c r="K6" s="4">
        <v>2</v>
      </c>
      <c r="L6" s="52">
        <f t="shared" ref="L6:L69" si="1">K6/12</f>
        <v>0.16666666666666666</v>
      </c>
      <c r="M6" s="39">
        <f t="shared" ref="M6:M68" si="2">N6-N7</f>
        <v>5.350000000000632E-4</v>
      </c>
      <c r="N6" s="39">
        <f t="shared" ref="N6:N15" si="3">(1-L6)*$N$4+L6*$N$16</f>
        <v>0.9989300000000001</v>
      </c>
      <c r="O6" s="51" t="str">
        <f t="shared" si="0"/>
        <v/>
      </c>
    </row>
    <row r="7" spans="2:15" x14ac:dyDescent="0.3">
      <c r="B7" s="49">
        <v>3</v>
      </c>
      <c r="C7" s="47">
        <v>1.3999999999999999E-4</v>
      </c>
      <c r="J7" s="22"/>
      <c r="K7" s="4">
        <v>3</v>
      </c>
      <c r="L7" s="52">
        <f t="shared" si="1"/>
        <v>0.25</v>
      </c>
      <c r="M7" s="39">
        <f t="shared" si="2"/>
        <v>5.3499999999995218E-4</v>
      </c>
      <c r="N7" s="39">
        <f t="shared" si="3"/>
        <v>0.99839500000000003</v>
      </c>
      <c r="O7" s="51" t="str">
        <f t="shared" si="0"/>
        <v/>
      </c>
    </row>
    <row r="8" spans="2:15" x14ac:dyDescent="0.3">
      <c r="B8" s="49">
        <v>4</v>
      </c>
      <c r="C8" s="47">
        <v>1.1E-4</v>
      </c>
      <c r="J8" s="22"/>
      <c r="K8" s="4">
        <v>4</v>
      </c>
      <c r="L8" s="52">
        <f t="shared" si="1"/>
        <v>0.33333333333333331</v>
      </c>
      <c r="M8" s="39">
        <f t="shared" si="2"/>
        <v>5.350000000000632E-4</v>
      </c>
      <c r="N8" s="39">
        <f t="shared" si="3"/>
        <v>0.99786000000000008</v>
      </c>
      <c r="O8" s="51" t="str">
        <f t="shared" si="0"/>
        <v/>
      </c>
    </row>
    <row r="9" spans="2:15" x14ac:dyDescent="0.3">
      <c r="B9" s="49">
        <v>5</v>
      </c>
      <c r="C9" s="47">
        <v>9.0000000000000006E-5</v>
      </c>
      <c r="J9" s="22"/>
      <c r="K9" s="4">
        <v>5</v>
      </c>
      <c r="L9" s="52">
        <f t="shared" si="1"/>
        <v>0.41666666666666669</v>
      </c>
      <c r="M9" s="39">
        <f t="shared" si="2"/>
        <v>5.3499999999995218E-4</v>
      </c>
      <c r="N9" s="39">
        <f t="shared" si="3"/>
        <v>0.99732500000000002</v>
      </c>
      <c r="O9" s="51" t="str">
        <f t="shared" si="0"/>
        <v/>
      </c>
    </row>
    <row r="10" spans="2:15" x14ac:dyDescent="0.3">
      <c r="B10" s="49">
        <v>6</v>
      </c>
      <c r="C10" s="47">
        <v>9.0000000000000006E-5</v>
      </c>
      <c r="J10" s="22"/>
      <c r="K10" s="4">
        <v>6</v>
      </c>
      <c r="L10" s="52">
        <f t="shared" si="1"/>
        <v>0.5</v>
      </c>
      <c r="M10" s="39">
        <f t="shared" si="2"/>
        <v>5.350000000000632E-4</v>
      </c>
      <c r="N10" s="39">
        <f t="shared" si="3"/>
        <v>0.99679000000000006</v>
      </c>
      <c r="O10" s="51" t="str">
        <f t="shared" si="0"/>
        <v/>
      </c>
    </row>
    <row r="11" spans="2:15" x14ac:dyDescent="0.3">
      <c r="B11" s="49">
        <v>7</v>
      </c>
      <c r="C11" s="47">
        <v>6.9999999999999994E-5</v>
      </c>
      <c r="J11" s="22"/>
      <c r="K11" s="4">
        <v>7</v>
      </c>
      <c r="L11" s="52">
        <f t="shared" si="1"/>
        <v>0.58333333333333337</v>
      </c>
      <c r="M11" s="39">
        <f t="shared" si="2"/>
        <v>5.3499999999995218E-4</v>
      </c>
      <c r="N11" s="39">
        <f t="shared" si="3"/>
        <v>0.996255</v>
      </c>
      <c r="O11" s="51" t="str">
        <f t="shared" si="0"/>
        <v/>
      </c>
    </row>
    <row r="12" spans="2:15" x14ac:dyDescent="0.3">
      <c r="B12" s="49">
        <v>8</v>
      </c>
      <c r="C12" s="47">
        <v>6.0000000000000002E-5</v>
      </c>
      <c r="J12" s="22"/>
      <c r="K12" s="4">
        <v>8</v>
      </c>
      <c r="L12" s="52">
        <f t="shared" si="1"/>
        <v>0.66666666666666663</v>
      </c>
      <c r="M12" s="39">
        <f t="shared" si="2"/>
        <v>5.350000000000632E-4</v>
      </c>
      <c r="N12" s="39">
        <f t="shared" si="3"/>
        <v>0.99572000000000005</v>
      </c>
      <c r="O12" s="51" t="str">
        <f t="shared" si="0"/>
        <v/>
      </c>
    </row>
    <row r="13" spans="2:15" x14ac:dyDescent="0.3">
      <c r="B13" s="49">
        <v>9</v>
      </c>
      <c r="C13" s="47">
        <v>6.0000000000000002E-5</v>
      </c>
      <c r="J13" s="22"/>
      <c r="K13" s="4">
        <v>9</v>
      </c>
      <c r="L13" s="52">
        <f t="shared" si="1"/>
        <v>0.75</v>
      </c>
      <c r="M13" s="39">
        <f t="shared" si="2"/>
        <v>5.3499999999995218E-4</v>
      </c>
      <c r="N13" s="39">
        <f t="shared" si="3"/>
        <v>0.99518499999999999</v>
      </c>
      <c r="O13" s="51" t="str">
        <f t="shared" si="0"/>
        <v/>
      </c>
    </row>
    <row r="14" spans="2:15" x14ac:dyDescent="0.3">
      <c r="B14" s="49">
        <v>10</v>
      </c>
      <c r="C14" s="47">
        <v>5.0000000000000002E-5</v>
      </c>
      <c r="J14" s="22"/>
      <c r="K14" s="4">
        <v>10</v>
      </c>
      <c r="L14" s="52">
        <f t="shared" si="1"/>
        <v>0.83333333333333337</v>
      </c>
      <c r="M14" s="39">
        <f t="shared" si="2"/>
        <v>5.350000000000632E-4</v>
      </c>
      <c r="N14" s="39">
        <f t="shared" si="3"/>
        <v>0.99465000000000003</v>
      </c>
      <c r="O14" s="51" t="str">
        <f t="shared" si="0"/>
        <v/>
      </c>
    </row>
    <row r="15" spans="2:15" x14ac:dyDescent="0.3">
      <c r="B15" s="49">
        <v>11</v>
      </c>
      <c r="C15" s="47">
        <v>6.0000000000000002E-5</v>
      </c>
      <c r="J15" s="22"/>
      <c r="K15" s="4">
        <v>11</v>
      </c>
      <c r="L15" s="52">
        <f t="shared" si="1"/>
        <v>0.91666666666666663</v>
      </c>
      <c r="M15" s="39">
        <f t="shared" si="2"/>
        <v>5.3499999999995218E-4</v>
      </c>
      <c r="N15" s="39">
        <f t="shared" si="3"/>
        <v>0.99411499999999997</v>
      </c>
      <c r="O15" s="51" t="str">
        <f t="shared" si="0"/>
        <v/>
      </c>
    </row>
    <row r="16" spans="2:15" x14ac:dyDescent="0.3">
      <c r="B16" s="49">
        <v>12</v>
      </c>
      <c r="C16" s="47">
        <v>6.9999999999999994E-5</v>
      </c>
      <c r="J16" s="22">
        <f>J4+1</f>
        <v>61</v>
      </c>
      <c r="K16" s="4">
        <v>0</v>
      </c>
      <c r="L16" s="52">
        <f t="shared" si="1"/>
        <v>0</v>
      </c>
      <c r="M16" s="39">
        <f t="shared" si="2"/>
        <v>5.6137270000011785E-4</v>
      </c>
      <c r="N16" s="39">
        <f>N4*(1-O4)</f>
        <v>0.99358000000000002</v>
      </c>
      <c r="O16" s="51">
        <f t="shared" si="0"/>
        <v>6.7799999999999996E-3</v>
      </c>
    </row>
    <row r="17" spans="2:15" x14ac:dyDescent="0.3">
      <c r="B17" s="49">
        <v>13</v>
      </c>
      <c r="C17" s="47">
        <v>9.0000000000000006E-5</v>
      </c>
      <c r="J17" s="22"/>
      <c r="K17" s="4">
        <v>1</v>
      </c>
      <c r="L17" s="52">
        <f t="shared" si="1"/>
        <v>8.3333333333333329E-2</v>
      </c>
      <c r="M17" s="39">
        <f t="shared" si="2"/>
        <v>5.6137269999978479E-4</v>
      </c>
      <c r="N17" s="39">
        <f>(1-L17)*$N$16+L17*$N$28</f>
        <v>0.9930186272999999</v>
      </c>
      <c r="O17" s="51" t="str">
        <f t="shared" si="0"/>
        <v/>
      </c>
    </row>
    <row r="18" spans="2:15" x14ac:dyDescent="0.3">
      <c r="B18" s="49">
        <v>14</v>
      </c>
      <c r="C18" s="47">
        <v>1.1E-4</v>
      </c>
      <c r="J18" s="22"/>
      <c r="K18" s="4">
        <v>2</v>
      </c>
      <c r="L18" s="52">
        <f t="shared" si="1"/>
        <v>0.16666666666666666</v>
      </c>
      <c r="M18" s="39">
        <f t="shared" si="2"/>
        <v>5.6137270000011785E-4</v>
      </c>
      <c r="N18" s="39">
        <f t="shared" ref="N18:N27" si="4">(1-L18)*$N$16+L18*$N$28</f>
        <v>0.99245725460000012</v>
      </c>
      <c r="O18" s="51" t="str">
        <f t="shared" si="0"/>
        <v/>
      </c>
    </row>
    <row r="19" spans="2:15" x14ac:dyDescent="0.3">
      <c r="B19" s="49">
        <v>15</v>
      </c>
      <c r="C19" s="47">
        <v>1.3999999999999999E-4</v>
      </c>
      <c r="J19" s="22"/>
      <c r="K19" s="4">
        <v>3</v>
      </c>
      <c r="L19" s="52">
        <f t="shared" si="1"/>
        <v>0.25</v>
      </c>
      <c r="M19" s="39">
        <f t="shared" si="2"/>
        <v>5.6137269999989581E-4</v>
      </c>
      <c r="N19" s="39">
        <f t="shared" si="4"/>
        <v>0.9918958819</v>
      </c>
      <c r="O19" s="51" t="str">
        <f t="shared" si="0"/>
        <v/>
      </c>
    </row>
    <row r="20" spans="2:15" x14ac:dyDescent="0.3">
      <c r="B20" s="49">
        <v>16</v>
      </c>
      <c r="C20" s="47">
        <v>1.9000000000000001E-4</v>
      </c>
      <c r="J20" s="22"/>
      <c r="K20" s="4">
        <v>4</v>
      </c>
      <c r="L20" s="52">
        <f t="shared" si="1"/>
        <v>0.33333333333333331</v>
      </c>
      <c r="M20" s="39">
        <f t="shared" si="2"/>
        <v>5.6137270000011785E-4</v>
      </c>
      <c r="N20" s="39">
        <f t="shared" si="4"/>
        <v>0.9913345092000001</v>
      </c>
      <c r="O20" s="51" t="str">
        <f t="shared" si="0"/>
        <v/>
      </c>
    </row>
    <row r="21" spans="2:15" x14ac:dyDescent="0.3">
      <c r="B21" s="49">
        <v>17</v>
      </c>
      <c r="C21" s="47">
        <v>2.4000000000000001E-4</v>
      </c>
      <c r="J21" s="22"/>
      <c r="K21" s="4">
        <v>5</v>
      </c>
      <c r="L21" s="52">
        <f t="shared" si="1"/>
        <v>0.41666666666666669</v>
      </c>
      <c r="M21" s="39">
        <f t="shared" si="2"/>
        <v>5.6137269999989581E-4</v>
      </c>
      <c r="N21" s="39">
        <f t="shared" si="4"/>
        <v>0.99077313649999998</v>
      </c>
      <c r="O21" s="51" t="str">
        <f t="shared" si="0"/>
        <v/>
      </c>
    </row>
    <row r="22" spans="2:15" x14ac:dyDescent="0.3">
      <c r="B22" s="49">
        <v>18</v>
      </c>
      <c r="C22" s="47">
        <v>2.9999999999999997E-4</v>
      </c>
      <c r="J22" s="22"/>
      <c r="K22" s="4">
        <v>6</v>
      </c>
      <c r="L22" s="52">
        <f t="shared" si="1"/>
        <v>0.5</v>
      </c>
      <c r="M22" s="39">
        <f t="shared" si="2"/>
        <v>5.6137270000000683E-4</v>
      </c>
      <c r="N22" s="39">
        <f t="shared" si="4"/>
        <v>0.99021176380000009</v>
      </c>
      <c r="O22" s="51" t="str">
        <f t="shared" si="0"/>
        <v/>
      </c>
    </row>
    <row r="23" spans="2:15" x14ac:dyDescent="0.3">
      <c r="B23" s="49">
        <v>19</v>
      </c>
      <c r="C23" s="47">
        <v>3.4000000000000002E-4</v>
      </c>
      <c r="J23" s="22"/>
      <c r="K23" s="4">
        <v>7</v>
      </c>
      <c r="L23" s="52">
        <f t="shared" si="1"/>
        <v>0.58333333333333337</v>
      </c>
      <c r="M23" s="39">
        <f t="shared" si="2"/>
        <v>5.6137270000000683E-4</v>
      </c>
      <c r="N23" s="39">
        <f t="shared" si="4"/>
        <v>0.98965039110000008</v>
      </c>
      <c r="O23" s="51" t="str">
        <f t="shared" si="0"/>
        <v/>
      </c>
    </row>
    <row r="24" spans="2:15" x14ac:dyDescent="0.3">
      <c r="B24" s="49">
        <v>20</v>
      </c>
      <c r="C24" s="47">
        <v>3.6999999999999999E-4</v>
      </c>
      <c r="J24" s="22"/>
      <c r="K24" s="4">
        <v>8</v>
      </c>
      <c r="L24" s="52">
        <f t="shared" si="1"/>
        <v>0.66666666666666663</v>
      </c>
      <c r="M24" s="39">
        <f t="shared" si="2"/>
        <v>5.6137270000000683E-4</v>
      </c>
      <c r="N24" s="39">
        <f t="shared" si="4"/>
        <v>0.98908901840000008</v>
      </c>
      <c r="O24" s="51" t="str">
        <f t="shared" si="0"/>
        <v/>
      </c>
    </row>
    <row r="25" spans="2:15" x14ac:dyDescent="0.3">
      <c r="B25" s="49">
        <v>21</v>
      </c>
      <c r="C25" s="47">
        <v>4.0000000000000002E-4</v>
      </c>
      <c r="J25" s="22"/>
      <c r="K25" s="4">
        <v>9</v>
      </c>
      <c r="L25" s="52">
        <f t="shared" si="1"/>
        <v>0.75</v>
      </c>
      <c r="M25" s="39">
        <f t="shared" si="2"/>
        <v>5.6137270000000683E-4</v>
      </c>
      <c r="N25" s="39">
        <f t="shared" si="4"/>
        <v>0.98852764570000007</v>
      </c>
      <c r="O25" s="51" t="str">
        <f t="shared" si="0"/>
        <v/>
      </c>
    </row>
    <row r="26" spans="2:15" x14ac:dyDescent="0.3">
      <c r="B26" s="49">
        <v>22</v>
      </c>
      <c r="C26" s="47">
        <v>4.2999999999999999E-4</v>
      </c>
      <c r="J26" s="22"/>
      <c r="K26" s="4">
        <v>10</v>
      </c>
      <c r="L26" s="52">
        <f t="shared" si="1"/>
        <v>0.83333333333333337</v>
      </c>
      <c r="M26" s="39">
        <f t="shared" si="2"/>
        <v>5.6137270000000683E-4</v>
      </c>
      <c r="N26" s="39">
        <f>(1-L26)*$N$16+L26*$N$28</f>
        <v>0.98796627300000006</v>
      </c>
      <c r="O26" s="51" t="str">
        <f t="shared" si="0"/>
        <v/>
      </c>
    </row>
    <row r="27" spans="2:15" x14ac:dyDescent="0.3">
      <c r="B27" s="49">
        <v>23</v>
      </c>
      <c r="C27" s="47">
        <v>4.2999999999999999E-4</v>
      </c>
      <c r="J27" s="22"/>
      <c r="K27" s="4">
        <v>11</v>
      </c>
      <c r="L27" s="52">
        <f t="shared" si="1"/>
        <v>0.91666666666666663</v>
      </c>
      <c r="M27" s="39">
        <f t="shared" si="2"/>
        <v>5.6137270000000683E-4</v>
      </c>
      <c r="N27" s="39">
        <f t="shared" si="4"/>
        <v>0.98740490030000005</v>
      </c>
      <c r="O27" s="51" t="str">
        <f t="shared" si="0"/>
        <v/>
      </c>
    </row>
    <row r="28" spans="2:15" x14ac:dyDescent="0.3">
      <c r="B28" s="49">
        <v>24</v>
      </c>
      <c r="C28" s="47">
        <v>4.2999999999999999E-4</v>
      </c>
      <c r="J28" s="22">
        <f>J16+1</f>
        <v>62</v>
      </c>
      <c r="K28" s="4">
        <v>0</v>
      </c>
      <c r="L28" s="52">
        <f t="shared" si="1"/>
        <v>0</v>
      </c>
      <c r="M28" s="39">
        <f t="shared" si="2"/>
        <v>6.0608639986770019E-4</v>
      </c>
      <c r="N28" s="39">
        <f>N16*(1-O16)</f>
        <v>0.98684352760000005</v>
      </c>
      <c r="O28" s="51">
        <f t="shared" si="0"/>
        <v>7.3699999999999998E-3</v>
      </c>
    </row>
    <row r="29" spans="2:15" x14ac:dyDescent="0.3">
      <c r="B29" s="49">
        <v>25</v>
      </c>
      <c r="C29" s="47">
        <v>4.0999999999999999E-4</v>
      </c>
      <c r="J29" s="22"/>
      <c r="K29" s="4">
        <v>1</v>
      </c>
      <c r="L29" s="52">
        <f t="shared" si="1"/>
        <v>8.3333333333333329E-2</v>
      </c>
      <c r="M29" s="39">
        <f t="shared" si="2"/>
        <v>6.0608639986758917E-4</v>
      </c>
      <c r="N29" s="39">
        <f>(1-L29)*$N$28+L29*$N$40</f>
        <v>0.98623744120013235</v>
      </c>
      <c r="O29" s="51" t="str">
        <f t="shared" si="0"/>
        <v/>
      </c>
    </row>
    <row r="30" spans="2:15" x14ac:dyDescent="0.3">
      <c r="B30" s="49">
        <v>26</v>
      </c>
      <c r="C30" s="47">
        <v>3.8999999999999999E-4</v>
      </c>
      <c r="J30" s="22"/>
      <c r="K30" s="4">
        <v>2</v>
      </c>
      <c r="L30" s="52">
        <f t="shared" si="1"/>
        <v>0.16666666666666666</v>
      </c>
      <c r="M30" s="39">
        <f t="shared" si="2"/>
        <v>6.0608639986770019E-4</v>
      </c>
      <c r="N30" s="39">
        <f t="shared" ref="N30:N39" si="5">(1-L30)*$N$28+L30*$N$40</f>
        <v>0.98563135480026476</v>
      </c>
      <c r="O30" s="51" t="str">
        <f t="shared" si="0"/>
        <v/>
      </c>
    </row>
    <row r="31" spans="2:15" x14ac:dyDescent="0.3">
      <c r="B31" s="49">
        <v>27</v>
      </c>
      <c r="C31" s="47">
        <v>3.6999999999999999E-4</v>
      </c>
      <c r="J31" s="22"/>
      <c r="K31" s="4">
        <v>3</v>
      </c>
      <c r="L31" s="52">
        <f t="shared" si="1"/>
        <v>0.25</v>
      </c>
      <c r="M31" s="39">
        <f t="shared" si="2"/>
        <v>6.0608639986758917E-4</v>
      </c>
      <c r="N31" s="39">
        <f t="shared" si="5"/>
        <v>0.98502526840039706</v>
      </c>
      <c r="O31" s="51" t="str">
        <f t="shared" si="0"/>
        <v/>
      </c>
    </row>
    <row r="32" spans="2:15" x14ac:dyDescent="0.3">
      <c r="B32" s="49">
        <v>28</v>
      </c>
      <c r="C32" s="47">
        <v>4.0999999999999999E-4</v>
      </c>
      <c r="J32" s="22"/>
      <c r="K32" s="4">
        <v>4</v>
      </c>
      <c r="L32" s="52">
        <f t="shared" si="1"/>
        <v>0.33333333333333331</v>
      </c>
      <c r="M32" s="39">
        <f t="shared" si="2"/>
        <v>6.0608639986781121E-4</v>
      </c>
      <c r="N32" s="39">
        <f t="shared" si="5"/>
        <v>0.98441918200052947</v>
      </c>
      <c r="O32" s="51" t="str">
        <f t="shared" si="0"/>
        <v/>
      </c>
    </row>
    <row r="33" spans="2:15" x14ac:dyDescent="0.3">
      <c r="B33" s="49">
        <v>29</v>
      </c>
      <c r="C33" s="47">
        <v>4.2999999999999999E-4</v>
      </c>
      <c r="J33" s="22"/>
      <c r="K33" s="4">
        <v>5</v>
      </c>
      <c r="L33" s="52">
        <f t="shared" si="1"/>
        <v>0.41666666666666669</v>
      </c>
      <c r="M33" s="39">
        <f t="shared" si="2"/>
        <v>6.0608639986758917E-4</v>
      </c>
      <c r="N33" s="39">
        <f t="shared" si="5"/>
        <v>0.98381309560066166</v>
      </c>
      <c r="O33" s="51" t="str">
        <f t="shared" si="0"/>
        <v/>
      </c>
    </row>
    <row r="34" spans="2:15" x14ac:dyDescent="0.3">
      <c r="B34" s="49">
        <v>30</v>
      </c>
      <c r="C34" s="47">
        <v>4.8000000000000001E-4</v>
      </c>
      <c r="J34" s="22"/>
      <c r="K34" s="4">
        <v>6</v>
      </c>
      <c r="L34" s="52">
        <f t="shared" si="1"/>
        <v>0.5</v>
      </c>
      <c r="M34" s="39">
        <f t="shared" si="2"/>
        <v>6.0608639986758917E-4</v>
      </c>
      <c r="N34" s="39">
        <f t="shared" si="5"/>
        <v>0.98320700920079407</v>
      </c>
      <c r="O34" s="51" t="str">
        <f t="shared" si="0"/>
        <v/>
      </c>
    </row>
    <row r="35" spans="2:15" x14ac:dyDescent="0.3">
      <c r="B35" s="49">
        <v>31</v>
      </c>
      <c r="C35" s="47">
        <v>5.4000000000000001E-4</v>
      </c>
      <c r="J35" s="22"/>
      <c r="K35" s="4">
        <v>7</v>
      </c>
      <c r="L35" s="52">
        <f t="shared" si="1"/>
        <v>0.58333333333333337</v>
      </c>
      <c r="M35" s="39">
        <f t="shared" si="2"/>
        <v>6.0608639986781121E-4</v>
      </c>
      <c r="N35" s="39">
        <f t="shared" si="5"/>
        <v>0.98260092280092648</v>
      </c>
      <c r="O35" s="51" t="str">
        <f t="shared" si="0"/>
        <v/>
      </c>
    </row>
    <row r="36" spans="2:15" x14ac:dyDescent="0.3">
      <c r="B36" s="49">
        <v>32</v>
      </c>
      <c r="C36" s="47">
        <v>5.9000000000000003E-4</v>
      </c>
      <c r="J36" s="22"/>
      <c r="K36" s="4">
        <v>8</v>
      </c>
      <c r="L36" s="52">
        <f t="shared" si="1"/>
        <v>0.66666666666666663</v>
      </c>
      <c r="M36" s="39">
        <f t="shared" si="2"/>
        <v>6.0608639986758917E-4</v>
      </c>
      <c r="N36" s="39">
        <f t="shared" si="5"/>
        <v>0.98199483640105867</v>
      </c>
      <c r="O36" s="51" t="str">
        <f t="shared" si="0"/>
        <v/>
      </c>
    </row>
    <row r="37" spans="2:15" x14ac:dyDescent="0.3">
      <c r="B37" s="49">
        <v>33</v>
      </c>
      <c r="C37" s="47">
        <v>5.9999999999999995E-4</v>
      </c>
      <c r="J37" s="22"/>
      <c r="K37" s="4">
        <v>9</v>
      </c>
      <c r="L37" s="52">
        <f t="shared" si="1"/>
        <v>0.75</v>
      </c>
      <c r="M37" s="39">
        <f t="shared" si="2"/>
        <v>6.0608639986770019E-4</v>
      </c>
      <c r="N37" s="39">
        <f t="shared" si="5"/>
        <v>0.98138875000119108</v>
      </c>
      <c r="O37" s="51" t="str">
        <f t="shared" si="0"/>
        <v/>
      </c>
    </row>
    <row r="38" spans="2:15" x14ac:dyDescent="0.3">
      <c r="B38" s="49">
        <v>34</v>
      </c>
      <c r="C38" s="47">
        <v>6.2E-4</v>
      </c>
      <c r="J38" s="22"/>
      <c r="K38" s="4">
        <v>10</v>
      </c>
      <c r="L38" s="52">
        <f t="shared" si="1"/>
        <v>0.83333333333333337</v>
      </c>
      <c r="M38" s="39">
        <f t="shared" si="2"/>
        <v>6.0608639986758917E-4</v>
      </c>
      <c r="N38" s="39">
        <f t="shared" si="5"/>
        <v>0.98078266360132338</v>
      </c>
      <c r="O38" s="51" t="str">
        <f t="shared" si="0"/>
        <v/>
      </c>
    </row>
    <row r="39" spans="2:15" x14ac:dyDescent="0.3">
      <c r="B39" s="49">
        <v>35</v>
      </c>
      <c r="C39" s="47">
        <v>6.4000000000000005E-4</v>
      </c>
      <c r="J39" s="22"/>
      <c r="K39" s="4">
        <v>11</v>
      </c>
      <c r="L39" s="52">
        <f t="shared" si="1"/>
        <v>0.91666666666666663</v>
      </c>
      <c r="M39" s="39">
        <f t="shared" si="2"/>
        <v>6.0608639986770019E-4</v>
      </c>
      <c r="N39" s="39">
        <f t="shared" si="5"/>
        <v>0.98017657720145579</v>
      </c>
      <c r="O39" s="51" t="str">
        <f t="shared" si="0"/>
        <v/>
      </c>
    </row>
    <row r="40" spans="2:15" x14ac:dyDescent="0.3">
      <c r="B40" s="49">
        <v>36</v>
      </c>
      <c r="C40" s="47">
        <v>6.6E-4</v>
      </c>
      <c r="J40" s="22">
        <f>J28+1</f>
        <v>63</v>
      </c>
      <c r="K40" s="4">
        <v>0</v>
      </c>
      <c r="L40" s="52">
        <f t="shared" si="1"/>
        <v>0</v>
      </c>
      <c r="M40" s="39">
        <f t="shared" si="2"/>
        <v>6.5957746380640447E-4</v>
      </c>
      <c r="N40" s="39">
        <f>N28*(1-O28)</f>
        <v>0.97957049080158809</v>
      </c>
      <c r="O40" s="51">
        <f t="shared" si="0"/>
        <v>8.0800000000000004E-3</v>
      </c>
    </row>
    <row r="41" spans="2:15" x14ac:dyDescent="0.3">
      <c r="B41" s="49">
        <v>37</v>
      </c>
      <c r="C41" s="47">
        <v>7.1000000000000002E-4</v>
      </c>
      <c r="J41" s="22"/>
      <c r="K41" s="4">
        <v>1</v>
      </c>
      <c r="L41" s="52">
        <f t="shared" si="1"/>
        <v>8.3333333333333329E-2</v>
      </c>
      <c r="M41" s="39">
        <f t="shared" si="2"/>
        <v>6.5957746380640447E-4</v>
      </c>
      <c r="N41" s="39">
        <f>(1-L41)*$N$40+L41*$N$52</f>
        <v>0.97891091333778169</v>
      </c>
      <c r="O41" s="51" t="str">
        <f t="shared" si="0"/>
        <v/>
      </c>
    </row>
    <row r="42" spans="2:15" x14ac:dyDescent="0.3">
      <c r="B42" s="49">
        <v>38</v>
      </c>
      <c r="C42" s="47">
        <v>7.6999999999999996E-4</v>
      </c>
      <c r="J42" s="22"/>
      <c r="K42" s="4">
        <v>2</v>
      </c>
      <c r="L42" s="52">
        <f t="shared" si="1"/>
        <v>0.16666666666666666</v>
      </c>
      <c r="M42" s="39">
        <f t="shared" si="2"/>
        <v>6.5957746380640447E-4</v>
      </c>
      <c r="N42" s="39">
        <f t="shared" ref="N42:N51" si="6">(1-L42)*$N$40+L42*$N$52</f>
        <v>0.97825133587397528</v>
      </c>
      <c r="O42" s="51" t="str">
        <f t="shared" si="0"/>
        <v/>
      </c>
    </row>
    <row r="43" spans="2:15" x14ac:dyDescent="0.3">
      <c r="B43" s="49">
        <v>39</v>
      </c>
      <c r="C43" s="47">
        <v>8.4000000000000003E-4</v>
      </c>
      <c r="J43" s="22"/>
      <c r="K43" s="4">
        <v>3</v>
      </c>
      <c r="L43" s="52">
        <f t="shared" si="1"/>
        <v>0.25</v>
      </c>
      <c r="M43" s="39">
        <f t="shared" si="2"/>
        <v>6.5957746380640447E-4</v>
      </c>
      <c r="N43" s="39">
        <f t="shared" si="6"/>
        <v>0.97759175841016888</v>
      </c>
      <c r="O43" s="51" t="str">
        <f t="shared" si="0"/>
        <v/>
      </c>
    </row>
    <row r="44" spans="2:15" x14ac:dyDescent="0.3">
      <c r="B44" s="49">
        <v>40</v>
      </c>
      <c r="C44" s="47">
        <v>8.9999999999999998E-4</v>
      </c>
      <c r="J44" s="22"/>
      <c r="K44" s="4">
        <v>4</v>
      </c>
      <c r="L44" s="52">
        <f t="shared" si="1"/>
        <v>0.33333333333333331</v>
      </c>
      <c r="M44" s="39">
        <f t="shared" si="2"/>
        <v>6.595774638065155E-4</v>
      </c>
      <c r="N44" s="39">
        <f t="shared" si="6"/>
        <v>0.97693218094636247</v>
      </c>
      <c r="O44" s="51" t="str">
        <f t="shared" si="0"/>
        <v/>
      </c>
    </row>
    <row r="45" spans="2:15" x14ac:dyDescent="0.3">
      <c r="B45" s="49">
        <v>41</v>
      </c>
      <c r="C45" s="47">
        <v>9.7999999999999997E-4</v>
      </c>
      <c r="J45" s="22"/>
      <c r="K45" s="4">
        <v>5</v>
      </c>
      <c r="L45" s="52">
        <f t="shared" si="1"/>
        <v>0.41666666666666669</v>
      </c>
      <c r="M45" s="39">
        <f t="shared" si="2"/>
        <v>6.5957746380629345E-4</v>
      </c>
      <c r="N45" s="39">
        <f t="shared" si="6"/>
        <v>0.97627260348255596</v>
      </c>
      <c r="O45" s="51" t="str">
        <f t="shared" si="0"/>
        <v/>
      </c>
    </row>
    <row r="46" spans="2:15" x14ac:dyDescent="0.3">
      <c r="B46" s="49">
        <v>42</v>
      </c>
      <c r="C46" s="47">
        <v>1.06E-3</v>
      </c>
      <c r="J46" s="22"/>
      <c r="K46" s="4">
        <v>6</v>
      </c>
      <c r="L46" s="52">
        <f t="shared" si="1"/>
        <v>0.5</v>
      </c>
      <c r="M46" s="39">
        <f t="shared" si="2"/>
        <v>6.5957746380640447E-4</v>
      </c>
      <c r="N46" s="39">
        <f t="shared" si="6"/>
        <v>0.97561302601874966</v>
      </c>
      <c r="O46" s="51" t="str">
        <f t="shared" si="0"/>
        <v/>
      </c>
    </row>
    <row r="47" spans="2:15" x14ac:dyDescent="0.3">
      <c r="B47" s="49">
        <v>43</v>
      </c>
      <c r="C47" s="47">
        <v>1.15E-3</v>
      </c>
      <c r="J47" s="22"/>
      <c r="K47" s="4">
        <v>7</v>
      </c>
      <c r="L47" s="52">
        <f t="shared" si="1"/>
        <v>0.58333333333333337</v>
      </c>
      <c r="M47" s="39">
        <f t="shared" si="2"/>
        <v>6.5957746380640447E-4</v>
      </c>
      <c r="N47" s="39">
        <f t="shared" si="6"/>
        <v>0.97495344855494326</v>
      </c>
      <c r="O47" s="51" t="str">
        <f t="shared" si="0"/>
        <v/>
      </c>
    </row>
    <row r="48" spans="2:15" x14ac:dyDescent="0.3">
      <c r="B48" s="49">
        <v>44</v>
      </c>
      <c r="C48" s="47">
        <v>1.2700000000000001E-3</v>
      </c>
      <c r="J48" s="22"/>
      <c r="K48" s="4">
        <v>8</v>
      </c>
      <c r="L48" s="52">
        <f t="shared" si="1"/>
        <v>0.66666666666666663</v>
      </c>
      <c r="M48" s="39">
        <f t="shared" si="2"/>
        <v>6.5957746380640447E-4</v>
      </c>
      <c r="N48" s="39">
        <f t="shared" si="6"/>
        <v>0.97429387109113685</v>
      </c>
      <c r="O48" s="51" t="str">
        <f t="shared" si="0"/>
        <v/>
      </c>
    </row>
    <row r="49" spans="2:15" x14ac:dyDescent="0.3">
      <c r="B49" s="49">
        <v>45</v>
      </c>
      <c r="C49" s="47">
        <v>1.4E-3</v>
      </c>
      <c r="J49" s="22"/>
      <c r="K49" s="4">
        <v>9</v>
      </c>
      <c r="L49" s="52">
        <f t="shared" si="1"/>
        <v>0.75</v>
      </c>
      <c r="M49" s="39">
        <f t="shared" si="2"/>
        <v>6.5957746380640447E-4</v>
      </c>
      <c r="N49" s="39">
        <f t="shared" si="6"/>
        <v>0.97363429362733045</v>
      </c>
      <c r="O49" s="51" t="str">
        <f t="shared" si="0"/>
        <v/>
      </c>
    </row>
    <row r="50" spans="2:15" x14ac:dyDescent="0.3">
      <c r="B50" s="49">
        <v>46</v>
      </c>
      <c r="C50" s="47">
        <v>1.56E-3</v>
      </c>
      <c r="J50" s="22"/>
      <c r="K50" s="4">
        <v>10</v>
      </c>
      <c r="L50" s="52">
        <f t="shared" si="1"/>
        <v>0.83333333333333337</v>
      </c>
      <c r="M50" s="39">
        <f t="shared" si="2"/>
        <v>6.5957746380640447E-4</v>
      </c>
      <c r="N50" s="39">
        <f t="shared" si="6"/>
        <v>0.97297471616352404</v>
      </c>
      <c r="O50" s="51" t="str">
        <f t="shared" si="0"/>
        <v/>
      </c>
    </row>
    <row r="51" spans="2:15" x14ac:dyDescent="0.3">
      <c r="B51" s="49">
        <v>47</v>
      </c>
      <c r="C51" s="47">
        <v>1.73E-3</v>
      </c>
      <c r="J51" s="22"/>
      <c r="K51" s="4">
        <v>11</v>
      </c>
      <c r="L51" s="52">
        <f t="shared" si="1"/>
        <v>0.91666666666666663</v>
      </c>
      <c r="M51" s="39">
        <f t="shared" si="2"/>
        <v>6.5957746380640447E-4</v>
      </c>
      <c r="N51" s="39">
        <f t="shared" si="6"/>
        <v>0.97231513869971764</v>
      </c>
      <c r="O51" s="51" t="str">
        <f t="shared" si="0"/>
        <v/>
      </c>
    </row>
    <row r="52" spans="2:15" x14ac:dyDescent="0.3">
      <c r="B52" s="49">
        <v>48</v>
      </c>
      <c r="C52" s="47">
        <v>1.92E-3</v>
      </c>
      <c r="J52" s="22">
        <f>J40+1</f>
        <v>64</v>
      </c>
      <c r="K52" s="4">
        <v>0</v>
      </c>
      <c r="L52" s="52">
        <f t="shared" si="1"/>
        <v>0</v>
      </c>
      <c r="M52" s="39">
        <f t="shared" si="2"/>
        <v>7.1740568937928018E-4</v>
      </c>
      <c r="N52" s="39">
        <f>N40*(1-O40)</f>
        <v>0.97165556123591124</v>
      </c>
      <c r="O52" s="51">
        <f t="shared" si="0"/>
        <v>8.8599999999999998E-3</v>
      </c>
    </row>
    <row r="53" spans="2:15" x14ac:dyDescent="0.3">
      <c r="B53" s="49">
        <v>49</v>
      </c>
      <c r="C53" s="47">
        <v>2.1700000000000001E-3</v>
      </c>
      <c r="J53" s="22"/>
      <c r="K53" s="4">
        <v>1</v>
      </c>
      <c r="L53" s="52">
        <f t="shared" si="1"/>
        <v>8.3333333333333329E-2</v>
      </c>
      <c r="M53" s="39">
        <f t="shared" si="2"/>
        <v>7.1740568937905813E-4</v>
      </c>
      <c r="N53" s="39">
        <f>(1-L53)*$N$52+L53*$N$64</f>
        <v>0.97093815554653196</v>
      </c>
      <c r="O53" s="51" t="str">
        <f t="shared" si="0"/>
        <v/>
      </c>
    </row>
    <row r="54" spans="2:15" x14ac:dyDescent="0.3">
      <c r="B54" s="49">
        <v>50</v>
      </c>
      <c r="C54" s="47">
        <v>2.4099999999999998E-3</v>
      </c>
      <c r="J54" s="22"/>
      <c r="K54" s="4">
        <v>2</v>
      </c>
      <c r="L54" s="52">
        <f t="shared" si="1"/>
        <v>0.16666666666666666</v>
      </c>
      <c r="M54" s="39">
        <f t="shared" si="2"/>
        <v>7.1740568937916915E-4</v>
      </c>
      <c r="N54" s="39">
        <f t="shared" ref="N54:N63" si="7">(1-L54)*$N$52+L54*$N$64</f>
        <v>0.9702207498571529</v>
      </c>
      <c r="O54" s="51" t="str">
        <f t="shared" si="0"/>
        <v/>
      </c>
    </row>
    <row r="55" spans="2:15" x14ac:dyDescent="0.3">
      <c r="B55" s="49">
        <v>51</v>
      </c>
      <c r="C55" s="47">
        <v>2.6800000000000001E-3</v>
      </c>
      <c r="J55" s="22"/>
      <c r="K55" s="4">
        <v>3</v>
      </c>
      <c r="L55" s="52">
        <f t="shared" si="1"/>
        <v>0.25</v>
      </c>
      <c r="M55" s="39">
        <f t="shared" si="2"/>
        <v>7.1740568937916915E-4</v>
      </c>
      <c r="N55" s="39">
        <f t="shared" si="7"/>
        <v>0.96950334416777373</v>
      </c>
      <c r="O55" s="51" t="str">
        <f t="shared" si="0"/>
        <v/>
      </c>
    </row>
    <row r="56" spans="2:15" x14ac:dyDescent="0.3">
      <c r="B56" s="49">
        <v>52</v>
      </c>
      <c r="C56" s="47">
        <v>2.96E-3</v>
      </c>
      <c r="J56" s="22"/>
      <c r="K56" s="4">
        <v>4</v>
      </c>
      <c r="L56" s="52">
        <f t="shared" si="1"/>
        <v>0.33333333333333331</v>
      </c>
      <c r="M56" s="39">
        <f t="shared" si="2"/>
        <v>7.1740568937928018E-4</v>
      </c>
      <c r="N56" s="39">
        <f t="shared" si="7"/>
        <v>0.96878593847839456</v>
      </c>
      <c r="O56" s="51" t="str">
        <f t="shared" si="0"/>
        <v/>
      </c>
    </row>
    <row r="57" spans="2:15" x14ac:dyDescent="0.3">
      <c r="B57" s="49">
        <v>53</v>
      </c>
      <c r="C57" s="47">
        <v>3.2499999999999999E-3</v>
      </c>
      <c r="J57" s="22"/>
      <c r="K57" s="4">
        <v>5</v>
      </c>
      <c r="L57" s="52">
        <f t="shared" si="1"/>
        <v>0.41666666666666669</v>
      </c>
      <c r="M57" s="39">
        <f t="shared" si="2"/>
        <v>7.1740568937905813E-4</v>
      </c>
      <c r="N57" s="39">
        <f t="shared" si="7"/>
        <v>0.96806853278901528</v>
      </c>
      <c r="O57" s="51" t="str">
        <f t="shared" si="0"/>
        <v/>
      </c>
    </row>
    <row r="58" spans="2:15" x14ac:dyDescent="0.3">
      <c r="B58" s="49">
        <v>54</v>
      </c>
      <c r="C58" s="47">
        <v>3.6900000000000001E-3</v>
      </c>
      <c r="J58" s="22"/>
      <c r="K58" s="4">
        <v>6</v>
      </c>
      <c r="L58" s="52">
        <f t="shared" si="1"/>
        <v>0.5</v>
      </c>
      <c r="M58" s="39">
        <f t="shared" si="2"/>
        <v>7.1740568937928018E-4</v>
      </c>
      <c r="N58" s="39">
        <f t="shared" si="7"/>
        <v>0.96735112709963622</v>
      </c>
      <c r="O58" s="51" t="str">
        <f t="shared" si="0"/>
        <v/>
      </c>
    </row>
    <row r="59" spans="2:15" x14ac:dyDescent="0.3">
      <c r="B59" s="49">
        <v>55</v>
      </c>
      <c r="C59" s="47">
        <v>4.1700000000000001E-3</v>
      </c>
      <c r="J59" s="22"/>
      <c r="K59" s="4">
        <v>7</v>
      </c>
      <c r="L59" s="52">
        <f t="shared" si="1"/>
        <v>0.58333333333333337</v>
      </c>
      <c r="M59" s="39">
        <f t="shared" si="2"/>
        <v>7.1740568937916915E-4</v>
      </c>
      <c r="N59" s="39">
        <f t="shared" si="7"/>
        <v>0.96663372141025694</v>
      </c>
      <c r="O59" s="51" t="str">
        <f t="shared" si="0"/>
        <v/>
      </c>
    </row>
    <row r="60" spans="2:15" x14ac:dyDescent="0.3">
      <c r="B60" s="49">
        <v>56</v>
      </c>
      <c r="C60" s="47">
        <v>4.7200000000000002E-3</v>
      </c>
      <c r="J60" s="22"/>
      <c r="K60" s="4">
        <v>8</v>
      </c>
      <c r="L60" s="52">
        <f t="shared" si="1"/>
        <v>0.66666666666666663</v>
      </c>
      <c r="M60" s="39">
        <f t="shared" si="2"/>
        <v>7.1740568937916915E-4</v>
      </c>
      <c r="N60" s="39">
        <f t="shared" si="7"/>
        <v>0.96591631572087777</v>
      </c>
      <c r="O60" s="51" t="str">
        <f t="shared" si="0"/>
        <v/>
      </c>
    </row>
    <row r="61" spans="2:15" x14ac:dyDescent="0.3">
      <c r="B61" s="49">
        <v>57</v>
      </c>
      <c r="C61" s="47">
        <v>5.2300000000000003E-3</v>
      </c>
      <c r="J61" s="22"/>
      <c r="K61" s="4">
        <v>9</v>
      </c>
      <c r="L61" s="52">
        <f t="shared" si="1"/>
        <v>0.75</v>
      </c>
      <c r="M61" s="39">
        <f t="shared" si="2"/>
        <v>7.1740568937916915E-4</v>
      </c>
      <c r="N61" s="39">
        <f t="shared" si="7"/>
        <v>0.9651989100314986</v>
      </c>
      <c r="O61" s="51" t="str">
        <f t="shared" si="0"/>
        <v/>
      </c>
    </row>
    <row r="62" spans="2:15" x14ac:dyDescent="0.3">
      <c r="B62" s="49">
        <v>58</v>
      </c>
      <c r="C62" s="47">
        <v>5.64E-3</v>
      </c>
      <c r="J62" s="22"/>
      <c r="K62" s="4">
        <v>10</v>
      </c>
      <c r="L62" s="52">
        <f t="shared" si="1"/>
        <v>0.83333333333333337</v>
      </c>
      <c r="M62" s="39">
        <f t="shared" si="2"/>
        <v>7.1740568937916915E-4</v>
      </c>
      <c r="N62" s="39">
        <f t="shared" si="7"/>
        <v>0.96448150434211943</v>
      </c>
      <c r="O62" s="51" t="str">
        <f t="shared" si="0"/>
        <v/>
      </c>
    </row>
    <row r="63" spans="2:15" x14ac:dyDescent="0.3">
      <c r="B63" s="49">
        <v>59</v>
      </c>
      <c r="C63" s="47">
        <v>5.9300000000000004E-3</v>
      </c>
      <c r="J63" s="22"/>
      <c r="K63" s="4">
        <v>11</v>
      </c>
      <c r="L63" s="52">
        <f t="shared" si="1"/>
        <v>0.91666666666666663</v>
      </c>
      <c r="M63" s="39">
        <f t="shared" si="2"/>
        <v>7.1740568937916915E-4</v>
      </c>
      <c r="N63" s="39">
        <f t="shared" si="7"/>
        <v>0.96376409865274026</v>
      </c>
      <c r="O63" s="51" t="str">
        <f t="shared" si="0"/>
        <v/>
      </c>
    </row>
    <row r="64" spans="2:15" x14ac:dyDescent="0.3">
      <c r="B64" s="49">
        <v>60</v>
      </c>
      <c r="C64" s="47">
        <v>6.4200000000000004E-3</v>
      </c>
      <c r="J64" s="22">
        <f>J52+1</f>
        <v>65</v>
      </c>
      <c r="K64" s="4">
        <v>0</v>
      </c>
      <c r="L64" s="52">
        <f t="shared" si="1"/>
        <v>0</v>
      </c>
      <c r="M64" s="39">
        <f t="shared" si="2"/>
        <v>7.7525258783561757E-4</v>
      </c>
      <c r="N64" s="39">
        <f>N52*(1-O52)</f>
        <v>0.9630466929633611</v>
      </c>
      <c r="O64" s="51">
        <f t="shared" si="0"/>
        <v>9.6600000000000002E-3</v>
      </c>
    </row>
    <row r="65" spans="2:15" x14ac:dyDescent="0.3">
      <c r="B65" s="49">
        <v>61</v>
      </c>
      <c r="C65" s="47">
        <v>6.7799999999999996E-3</v>
      </c>
      <c r="J65" s="22"/>
      <c r="K65" s="4">
        <v>1</v>
      </c>
      <c r="L65" s="52">
        <f t="shared" si="1"/>
        <v>8.3333333333333329E-2</v>
      </c>
      <c r="M65" s="39">
        <f t="shared" si="2"/>
        <v>7.7525258783539552E-4</v>
      </c>
      <c r="N65" s="39">
        <f>(1-L65)*$N$64+L65*$N$76</f>
        <v>0.96227144037552548</v>
      </c>
      <c r="O65" s="51" t="str">
        <f t="shared" si="0"/>
        <v/>
      </c>
    </row>
    <row r="66" spans="2:15" x14ac:dyDescent="0.3">
      <c r="B66" s="49">
        <v>62</v>
      </c>
      <c r="C66" s="47">
        <v>7.3699999999999998E-3</v>
      </c>
      <c r="J66" s="22"/>
      <c r="K66" s="4">
        <v>2</v>
      </c>
      <c r="L66" s="52">
        <f t="shared" si="1"/>
        <v>0.16666666666666666</v>
      </c>
      <c r="M66" s="39">
        <f t="shared" si="2"/>
        <v>7.7525258783550655E-4</v>
      </c>
      <c r="N66" s="39">
        <f t="shared" ref="N66:N75" si="8">(1-L66)*$N$64+L66*$N$76</f>
        <v>0.96149618778769008</v>
      </c>
      <c r="O66" s="51" t="str">
        <f t="shared" si="0"/>
        <v/>
      </c>
    </row>
    <row r="67" spans="2:15" x14ac:dyDescent="0.3">
      <c r="B67" s="49">
        <v>63</v>
      </c>
      <c r="C67" s="47">
        <v>8.0800000000000004E-3</v>
      </c>
      <c r="J67" s="22"/>
      <c r="K67" s="4">
        <v>3</v>
      </c>
      <c r="L67" s="52">
        <f t="shared" si="1"/>
        <v>0.25</v>
      </c>
      <c r="M67" s="39">
        <f t="shared" si="2"/>
        <v>7.7525258783550655E-4</v>
      </c>
      <c r="N67" s="39">
        <f t="shared" si="8"/>
        <v>0.96072093519985458</v>
      </c>
      <c r="O67" s="51" t="str">
        <f t="shared" si="0"/>
        <v/>
      </c>
    </row>
    <row r="68" spans="2:15" x14ac:dyDescent="0.3">
      <c r="B68" s="49">
        <v>64</v>
      </c>
      <c r="C68" s="47">
        <v>8.8599999999999998E-3</v>
      </c>
      <c r="J68" s="22"/>
      <c r="K68" s="4">
        <v>4</v>
      </c>
      <c r="L68" s="52">
        <f t="shared" si="1"/>
        <v>0.33333333333333331</v>
      </c>
      <c r="M68" s="39">
        <f t="shared" si="2"/>
        <v>7.7525258783561757E-4</v>
      </c>
      <c r="N68" s="39">
        <f t="shared" si="8"/>
        <v>0.95994568261201907</v>
      </c>
      <c r="O68" s="51" t="str">
        <f t="shared" si="0"/>
        <v/>
      </c>
    </row>
    <row r="69" spans="2:15" x14ac:dyDescent="0.3">
      <c r="B69" s="49">
        <v>65</v>
      </c>
      <c r="C69" s="47">
        <v>9.6600000000000002E-3</v>
      </c>
      <c r="J69" s="22"/>
      <c r="K69" s="4">
        <v>5</v>
      </c>
      <c r="L69" s="52">
        <f t="shared" si="1"/>
        <v>0.41666666666666669</v>
      </c>
      <c r="M69" s="39">
        <f t="shared" ref="M69:M122" si="9">N69-N70</f>
        <v>7.7525258783539552E-4</v>
      </c>
      <c r="N69" s="39">
        <f t="shared" si="8"/>
        <v>0.95917043002418345</v>
      </c>
      <c r="O69" s="51" t="str">
        <f t="shared" ref="O69:O124" si="10">IF(J69="","",VLOOKUP(J69,$B$4:$D$126,2,0))</f>
        <v/>
      </c>
    </row>
    <row r="70" spans="2:15" x14ac:dyDescent="0.3">
      <c r="B70" s="49">
        <v>66</v>
      </c>
      <c r="C70" s="47">
        <v>1.0500000000000001E-2</v>
      </c>
      <c r="J70" s="22"/>
      <c r="K70" s="4">
        <v>6</v>
      </c>
      <c r="L70" s="52">
        <f t="shared" ref="L70:L124" si="11">K70/12</f>
        <v>0.5</v>
      </c>
      <c r="M70" s="39">
        <f t="shared" si="9"/>
        <v>7.7525258783561757E-4</v>
      </c>
      <c r="N70" s="39">
        <f t="shared" si="8"/>
        <v>0.95839517743634806</v>
      </c>
      <c r="O70" s="51" t="str">
        <f t="shared" si="10"/>
        <v/>
      </c>
    </row>
    <row r="71" spans="2:15" x14ac:dyDescent="0.3">
      <c r="B71" s="49">
        <v>67</v>
      </c>
      <c r="C71" s="47">
        <v>1.14E-2</v>
      </c>
      <c r="J71" s="22"/>
      <c r="K71" s="4">
        <v>7</v>
      </c>
      <c r="L71" s="52">
        <f t="shared" si="11"/>
        <v>0.58333333333333337</v>
      </c>
      <c r="M71" s="39">
        <f t="shared" si="9"/>
        <v>7.7525258783550655E-4</v>
      </c>
      <c r="N71" s="39">
        <f t="shared" si="8"/>
        <v>0.95761992484851244</v>
      </c>
      <c r="O71" s="51" t="str">
        <f t="shared" si="10"/>
        <v/>
      </c>
    </row>
    <row r="72" spans="2:15" x14ac:dyDescent="0.3">
      <c r="B72" s="49">
        <v>68</v>
      </c>
      <c r="C72" s="47">
        <v>1.205E-2</v>
      </c>
      <c r="J72" s="22"/>
      <c r="K72" s="4">
        <v>8</v>
      </c>
      <c r="L72" s="52">
        <f t="shared" si="11"/>
        <v>0.66666666666666663</v>
      </c>
      <c r="M72" s="39">
        <f t="shared" si="9"/>
        <v>7.7525258783539552E-4</v>
      </c>
      <c r="N72" s="39">
        <f t="shared" si="8"/>
        <v>0.95684467226067693</v>
      </c>
      <c r="O72" s="51" t="str">
        <f t="shared" si="10"/>
        <v/>
      </c>
    </row>
    <row r="73" spans="2:15" x14ac:dyDescent="0.3">
      <c r="B73" s="49">
        <v>69</v>
      </c>
      <c r="C73" s="47">
        <v>1.306E-2</v>
      </c>
      <c r="J73" s="22"/>
      <c r="K73" s="4">
        <v>9</v>
      </c>
      <c r="L73" s="52">
        <f t="shared" si="11"/>
        <v>0.75</v>
      </c>
      <c r="M73" s="39">
        <f t="shared" si="9"/>
        <v>7.7525258783550655E-4</v>
      </c>
      <c r="N73" s="39">
        <f t="shared" si="8"/>
        <v>0.95606941967284154</v>
      </c>
      <c r="O73" s="51" t="str">
        <f t="shared" si="10"/>
        <v/>
      </c>
    </row>
    <row r="74" spans="2:15" x14ac:dyDescent="0.3">
      <c r="B74" s="49">
        <v>70</v>
      </c>
      <c r="C74" s="47">
        <v>1.4109999999999999E-2</v>
      </c>
      <c r="J74" s="22"/>
      <c r="K74" s="4">
        <v>10</v>
      </c>
      <c r="L74" s="52">
        <f t="shared" si="11"/>
        <v>0.83333333333333337</v>
      </c>
      <c r="M74" s="39">
        <f t="shared" si="9"/>
        <v>7.7525258783550655E-4</v>
      </c>
      <c r="N74" s="39">
        <f t="shared" si="8"/>
        <v>0.95529416708500603</v>
      </c>
      <c r="O74" s="51" t="str">
        <f t="shared" si="10"/>
        <v/>
      </c>
    </row>
    <row r="75" spans="2:15" x14ac:dyDescent="0.3">
      <c r="B75" s="49">
        <v>71</v>
      </c>
      <c r="C75" s="47">
        <v>1.523E-2</v>
      </c>
      <c r="J75" s="22"/>
      <c r="K75" s="4">
        <v>11</v>
      </c>
      <c r="L75" s="52">
        <f t="shared" si="11"/>
        <v>0.91666666666666663</v>
      </c>
      <c r="M75" s="39">
        <f t="shared" si="9"/>
        <v>7.7525258783550655E-4</v>
      </c>
      <c r="N75" s="39">
        <f t="shared" si="8"/>
        <v>0.95451891449717052</v>
      </c>
      <c r="O75" s="51" t="str">
        <f t="shared" si="10"/>
        <v/>
      </c>
    </row>
    <row r="76" spans="2:15" x14ac:dyDescent="0.3">
      <c r="B76" s="49">
        <v>72</v>
      </c>
      <c r="C76" s="47">
        <v>1.5939999999999999E-2</v>
      </c>
      <c r="J76" s="22">
        <f>J64+1</f>
        <v>66</v>
      </c>
      <c r="K76" s="4">
        <v>0</v>
      </c>
      <c r="L76" s="52">
        <f t="shared" si="11"/>
        <v>0</v>
      </c>
      <c r="M76" s="39">
        <f t="shared" si="9"/>
        <v>8.3452570417075211E-4</v>
      </c>
      <c r="N76" s="39">
        <f>N64*(1-O64)</f>
        <v>0.95374366190933502</v>
      </c>
      <c r="O76" s="51">
        <f t="shared" si="10"/>
        <v>1.0500000000000001E-2</v>
      </c>
    </row>
    <row r="77" spans="2:15" x14ac:dyDescent="0.3">
      <c r="B77" s="49">
        <v>73</v>
      </c>
      <c r="C77" s="47">
        <v>1.7260000000000001E-2</v>
      </c>
      <c r="J77" s="22"/>
      <c r="K77" s="4">
        <v>1</v>
      </c>
      <c r="L77" s="52">
        <f t="shared" si="11"/>
        <v>8.3333333333333329E-2</v>
      </c>
      <c r="M77" s="39">
        <f t="shared" si="9"/>
        <v>8.3452570417064109E-4</v>
      </c>
      <c r="N77" s="39">
        <f>(1-L77)*$N$76+L77*$N$88</f>
        <v>0.95290913620516426</v>
      </c>
      <c r="O77" s="51" t="str">
        <f t="shared" si="10"/>
        <v/>
      </c>
    </row>
    <row r="78" spans="2:15" x14ac:dyDescent="0.3">
      <c r="B78" s="49">
        <v>74</v>
      </c>
      <c r="C78" s="47">
        <v>1.873E-2</v>
      </c>
      <c r="J78" s="22"/>
      <c r="K78" s="4">
        <v>2</v>
      </c>
      <c r="L78" s="52">
        <f t="shared" si="11"/>
        <v>0.16666666666666666</v>
      </c>
      <c r="M78" s="39">
        <f t="shared" si="9"/>
        <v>8.3452570417064109E-4</v>
      </c>
      <c r="N78" s="39">
        <f t="shared" ref="N78:N87" si="12">(1-L78)*$N$76+L78*$N$88</f>
        <v>0.95207461050099362</v>
      </c>
      <c r="O78" s="51" t="str">
        <f t="shared" si="10"/>
        <v/>
      </c>
    </row>
    <row r="79" spans="2:15" x14ac:dyDescent="0.3">
      <c r="B79" s="49">
        <v>75</v>
      </c>
      <c r="C79" s="47">
        <v>2.035E-2</v>
      </c>
      <c r="J79" s="22"/>
      <c r="K79" s="4">
        <v>3</v>
      </c>
      <c r="L79" s="52">
        <f t="shared" si="11"/>
        <v>0.25</v>
      </c>
      <c r="M79" s="39">
        <f t="shared" si="9"/>
        <v>8.3452570417064109E-4</v>
      </c>
      <c r="N79" s="39">
        <f t="shared" si="12"/>
        <v>0.95124008479682298</v>
      </c>
      <c r="O79" s="51" t="str">
        <f t="shared" si="10"/>
        <v/>
      </c>
    </row>
    <row r="80" spans="2:15" x14ac:dyDescent="0.3">
      <c r="B80" s="49">
        <v>76</v>
      </c>
      <c r="C80" s="47">
        <v>2.2079999999999999E-2</v>
      </c>
      <c r="J80" s="22"/>
      <c r="K80" s="4">
        <v>4</v>
      </c>
      <c r="L80" s="52">
        <f t="shared" si="11"/>
        <v>0.33333333333333331</v>
      </c>
      <c r="M80" s="39">
        <f t="shared" si="9"/>
        <v>8.3452570417075211E-4</v>
      </c>
      <c r="N80" s="39">
        <f t="shared" si="12"/>
        <v>0.95040555909265234</v>
      </c>
      <c r="O80" s="51" t="str">
        <f t="shared" si="10"/>
        <v/>
      </c>
    </row>
    <row r="81" spans="2:15" x14ac:dyDescent="0.3">
      <c r="B81" s="49">
        <v>77</v>
      </c>
      <c r="C81" s="47">
        <v>2.4119999999999999E-2</v>
      </c>
      <c r="J81" s="22"/>
      <c r="K81" s="4">
        <v>5</v>
      </c>
      <c r="L81" s="52">
        <f t="shared" si="11"/>
        <v>0.41666666666666669</v>
      </c>
      <c r="M81" s="39">
        <f t="shared" si="9"/>
        <v>8.3452570417053007E-4</v>
      </c>
      <c r="N81" s="39">
        <f t="shared" si="12"/>
        <v>0.94957103338848159</v>
      </c>
      <c r="O81" s="51" t="str">
        <f t="shared" si="10"/>
        <v/>
      </c>
    </row>
    <row r="82" spans="2:15" x14ac:dyDescent="0.3">
      <c r="B82" s="49">
        <v>78</v>
      </c>
      <c r="C82" s="47">
        <v>2.6499999999999999E-2</v>
      </c>
      <c r="J82" s="22"/>
      <c r="K82" s="4">
        <v>6</v>
      </c>
      <c r="L82" s="52">
        <f t="shared" si="11"/>
        <v>0.5</v>
      </c>
      <c r="M82" s="39">
        <f t="shared" si="9"/>
        <v>8.3452570417064109E-4</v>
      </c>
      <c r="N82" s="39">
        <f t="shared" si="12"/>
        <v>0.94873650768431106</v>
      </c>
      <c r="O82" s="51" t="str">
        <f t="shared" si="10"/>
        <v/>
      </c>
    </row>
    <row r="83" spans="2:15" x14ac:dyDescent="0.3">
      <c r="B83" s="49">
        <v>79</v>
      </c>
      <c r="C83" s="47">
        <v>2.9239999999999999E-2</v>
      </c>
      <c r="J83" s="22"/>
      <c r="K83" s="4">
        <v>7</v>
      </c>
      <c r="L83" s="52">
        <f t="shared" si="11"/>
        <v>0.58333333333333337</v>
      </c>
      <c r="M83" s="39">
        <f t="shared" si="9"/>
        <v>8.3452570417086314E-4</v>
      </c>
      <c r="N83" s="39">
        <f t="shared" si="12"/>
        <v>0.94790198198014042</v>
      </c>
      <c r="O83" s="51" t="str">
        <f t="shared" si="10"/>
        <v/>
      </c>
    </row>
    <row r="84" spans="2:15" x14ac:dyDescent="0.3">
      <c r="B84" s="49">
        <v>80</v>
      </c>
      <c r="C84" s="47">
        <v>3.3570000000000003E-2</v>
      </c>
      <c r="J84" s="22"/>
      <c r="K84" s="4">
        <v>8</v>
      </c>
      <c r="L84" s="52">
        <f t="shared" si="11"/>
        <v>0.66666666666666663</v>
      </c>
      <c r="M84" s="39">
        <f t="shared" si="9"/>
        <v>8.3452570417053007E-4</v>
      </c>
      <c r="N84" s="39">
        <f t="shared" si="12"/>
        <v>0.94706745627596955</v>
      </c>
      <c r="O84" s="51" t="str">
        <f t="shared" si="10"/>
        <v/>
      </c>
    </row>
    <row r="85" spans="2:15" x14ac:dyDescent="0.3">
      <c r="B85" s="49">
        <v>81</v>
      </c>
      <c r="C85" s="47">
        <v>3.7080000000000002E-2</v>
      </c>
      <c r="J85" s="22"/>
      <c r="K85" s="4">
        <v>9</v>
      </c>
      <c r="L85" s="52">
        <f t="shared" si="11"/>
        <v>0.75</v>
      </c>
      <c r="M85" s="39">
        <f t="shared" si="9"/>
        <v>8.3452570417064109E-4</v>
      </c>
      <c r="N85" s="39">
        <f t="shared" si="12"/>
        <v>0.94623293057179902</v>
      </c>
      <c r="O85" s="51" t="str">
        <f t="shared" si="10"/>
        <v/>
      </c>
    </row>
    <row r="86" spans="2:15" x14ac:dyDescent="0.3">
      <c r="B86" s="49">
        <v>82</v>
      </c>
      <c r="C86" s="47">
        <v>4.0759999999999998E-2</v>
      </c>
      <c r="J86" s="22"/>
      <c r="K86" s="4">
        <v>10</v>
      </c>
      <c r="L86" s="52">
        <f t="shared" si="11"/>
        <v>0.83333333333333337</v>
      </c>
      <c r="M86" s="39">
        <f t="shared" si="9"/>
        <v>8.3452570417075211E-4</v>
      </c>
      <c r="N86" s="39">
        <f t="shared" si="12"/>
        <v>0.94539840486762838</v>
      </c>
      <c r="O86" s="51" t="str">
        <f t="shared" si="10"/>
        <v/>
      </c>
    </row>
    <row r="87" spans="2:15" x14ac:dyDescent="0.3">
      <c r="B87" s="49">
        <v>83</v>
      </c>
      <c r="C87" s="47">
        <v>4.4569999999999999E-2</v>
      </c>
      <c r="J87" s="22"/>
      <c r="K87" s="4">
        <v>11</v>
      </c>
      <c r="L87" s="52">
        <f t="shared" si="11"/>
        <v>0.91666666666666663</v>
      </c>
      <c r="M87" s="39">
        <f t="shared" si="9"/>
        <v>8.3452570417064109E-4</v>
      </c>
      <c r="N87" s="39">
        <f t="shared" si="12"/>
        <v>0.94456387916345763</v>
      </c>
      <c r="O87" s="51" t="str">
        <f t="shared" si="10"/>
        <v/>
      </c>
    </row>
    <row r="88" spans="2:15" x14ac:dyDescent="0.3">
      <c r="B88" s="49">
        <v>84</v>
      </c>
      <c r="C88" s="47">
        <v>5.0680000000000003E-2</v>
      </c>
      <c r="J88" s="22">
        <f>J76+1</f>
        <v>67</v>
      </c>
      <c r="K88" s="4">
        <v>0</v>
      </c>
      <c r="L88" s="52">
        <f t="shared" si="11"/>
        <v>0</v>
      </c>
      <c r="M88" s="39">
        <f t="shared" si="9"/>
        <v>8.9654288578644437E-4</v>
      </c>
      <c r="N88" s="39">
        <f>N76*(1-O76)</f>
        <v>0.94372935345928699</v>
      </c>
      <c r="O88" s="51">
        <f t="shared" si="10"/>
        <v>1.14E-2</v>
      </c>
    </row>
    <row r="89" spans="2:15" x14ac:dyDescent="0.3">
      <c r="B89" s="49">
        <v>85</v>
      </c>
      <c r="C89" s="47">
        <v>5.4980000000000001E-2</v>
      </c>
      <c r="J89" s="22"/>
      <c r="K89" s="4">
        <v>1</v>
      </c>
      <c r="L89" s="52">
        <f t="shared" si="11"/>
        <v>8.3333333333333329E-2</v>
      </c>
      <c r="M89" s="39">
        <f t="shared" si="9"/>
        <v>8.965428857861113E-4</v>
      </c>
      <c r="N89" s="39">
        <f>(1-L89)*$N$88+L89*$N$100</f>
        <v>0.94283281057350055</v>
      </c>
      <c r="O89" s="51" t="str">
        <f t="shared" si="10"/>
        <v/>
      </c>
    </row>
    <row r="90" spans="2:15" x14ac:dyDescent="0.3">
      <c r="B90" s="49">
        <v>86</v>
      </c>
      <c r="C90" s="47">
        <v>5.9679999999999997E-2</v>
      </c>
      <c r="J90" s="22"/>
      <c r="K90" s="4">
        <v>2</v>
      </c>
      <c r="L90" s="52">
        <f t="shared" si="11"/>
        <v>0.16666666666666666</v>
      </c>
      <c r="M90" s="39">
        <f t="shared" si="9"/>
        <v>8.9654288578644437E-4</v>
      </c>
      <c r="N90" s="39">
        <f t="shared" ref="N90:N99" si="13">(1-L90)*$N$88+L90*$N$100</f>
        <v>0.94193626768771443</v>
      </c>
      <c r="O90" s="51" t="str">
        <f t="shared" si="10"/>
        <v/>
      </c>
    </row>
    <row r="91" spans="2:15" x14ac:dyDescent="0.3">
      <c r="B91" s="49">
        <v>87</v>
      </c>
      <c r="C91" s="47">
        <v>6.472E-2</v>
      </c>
      <c r="J91" s="22"/>
      <c r="K91" s="4">
        <v>3</v>
      </c>
      <c r="L91" s="52">
        <f t="shared" si="11"/>
        <v>0.25</v>
      </c>
      <c r="M91" s="39">
        <f t="shared" si="9"/>
        <v>8.9654288578633334E-4</v>
      </c>
      <c r="N91" s="39">
        <f t="shared" si="13"/>
        <v>0.94103972480192799</v>
      </c>
      <c r="O91" s="51" t="str">
        <f t="shared" si="10"/>
        <v/>
      </c>
    </row>
    <row r="92" spans="2:15" x14ac:dyDescent="0.3">
      <c r="B92" s="49">
        <v>88</v>
      </c>
      <c r="C92" s="47">
        <v>7.0190000000000002E-2</v>
      </c>
      <c r="J92" s="22"/>
      <c r="K92" s="4">
        <v>4</v>
      </c>
      <c r="L92" s="52">
        <f t="shared" si="11"/>
        <v>0.33333333333333331</v>
      </c>
      <c r="M92" s="39">
        <f t="shared" si="9"/>
        <v>8.9654288578633334E-4</v>
      </c>
      <c r="N92" s="39">
        <f t="shared" si="13"/>
        <v>0.94014318191614166</v>
      </c>
      <c r="O92" s="51" t="str">
        <f t="shared" si="10"/>
        <v/>
      </c>
    </row>
    <row r="93" spans="2:15" x14ac:dyDescent="0.3">
      <c r="B93" s="49">
        <v>89</v>
      </c>
      <c r="C93" s="47">
        <v>7.6020000000000004E-2</v>
      </c>
      <c r="J93" s="22"/>
      <c r="K93" s="4">
        <v>5</v>
      </c>
      <c r="L93" s="52">
        <f t="shared" si="11"/>
        <v>0.41666666666666669</v>
      </c>
      <c r="M93" s="39">
        <f t="shared" si="9"/>
        <v>8.9654288578633334E-4</v>
      </c>
      <c r="N93" s="39">
        <f t="shared" si="13"/>
        <v>0.93924663903035532</v>
      </c>
      <c r="O93" s="51" t="str">
        <f t="shared" si="10"/>
        <v/>
      </c>
    </row>
    <row r="94" spans="2:15" x14ac:dyDescent="0.3">
      <c r="B94" s="49">
        <v>90</v>
      </c>
      <c r="C94" s="47">
        <v>8.3180000000000004E-2</v>
      </c>
      <c r="J94" s="22"/>
      <c r="K94" s="4">
        <v>6</v>
      </c>
      <c r="L94" s="52">
        <f t="shared" si="11"/>
        <v>0.5</v>
      </c>
      <c r="M94" s="39">
        <f t="shared" si="9"/>
        <v>8.9654288578633334E-4</v>
      </c>
      <c r="N94" s="39">
        <f t="shared" si="13"/>
        <v>0.93835009614456899</v>
      </c>
      <c r="O94" s="51" t="str">
        <f t="shared" si="10"/>
        <v/>
      </c>
    </row>
    <row r="95" spans="2:15" x14ac:dyDescent="0.3">
      <c r="B95" s="49">
        <v>91</v>
      </c>
      <c r="C95" s="47">
        <v>9.4009999999999996E-2</v>
      </c>
      <c r="J95" s="22"/>
      <c r="K95" s="4">
        <v>7</v>
      </c>
      <c r="L95" s="52">
        <f t="shared" si="11"/>
        <v>0.58333333333333337</v>
      </c>
      <c r="M95" s="39">
        <f t="shared" si="9"/>
        <v>8.9654288578633334E-4</v>
      </c>
      <c r="N95" s="39">
        <f t="shared" si="13"/>
        <v>0.93745355325878266</v>
      </c>
      <c r="O95" s="51" t="str">
        <f t="shared" si="10"/>
        <v/>
      </c>
    </row>
    <row r="96" spans="2:15" x14ac:dyDescent="0.3">
      <c r="B96" s="49">
        <v>92</v>
      </c>
      <c r="C96" s="47">
        <v>0.10063999999999999</v>
      </c>
      <c r="J96" s="22"/>
      <c r="K96" s="4">
        <v>8</v>
      </c>
      <c r="L96" s="52">
        <f t="shared" si="11"/>
        <v>0.66666666666666663</v>
      </c>
      <c r="M96" s="39">
        <f t="shared" si="9"/>
        <v>8.9654288578622232E-4</v>
      </c>
      <c r="N96" s="39">
        <f t="shared" si="13"/>
        <v>0.93655701037299632</v>
      </c>
      <c r="O96" s="51" t="str">
        <f t="shared" si="10"/>
        <v/>
      </c>
    </row>
    <row r="97" spans="2:15" x14ac:dyDescent="0.3">
      <c r="B97" s="49">
        <v>93</v>
      </c>
      <c r="C97" s="47">
        <v>0.1074</v>
      </c>
      <c r="J97" s="22"/>
      <c r="K97" s="4">
        <v>9</v>
      </c>
      <c r="L97" s="52">
        <f t="shared" si="11"/>
        <v>0.75</v>
      </c>
      <c r="M97" s="39">
        <f t="shared" si="9"/>
        <v>8.9654288578644437E-4</v>
      </c>
      <c r="N97" s="39">
        <f t="shared" si="13"/>
        <v>0.9356604674872101</v>
      </c>
      <c r="O97" s="51" t="str">
        <f t="shared" si="10"/>
        <v/>
      </c>
    </row>
    <row r="98" spans="2:15" x14ac:dyDescent="0.3">
      <c r="B98" s="49">
        <v>94</v>
      </c>
      <c r="C98" s="47">
        <v>0.11477999999999999</v>
      </c>
      <c r="J98" s="22"/>
      <c r="K98" s="4">
        <v>10</v>
      </c>
      <c r="L98" s="52">
        <f t="shared" si="11"/>
        <v>0.83333333333333337</v>
      </c>
      <c r="M98" s="39">
        <f t="shared" si="9"/>
        <v>8.9654288578622232E-4</v>
      </c>
      <c r="N98" s="39">
        <f t="shared" si="13"/>
        <v>0.93476392460142366</v>
      </c>
      <c r="O98" s="51" t="str">
        <f t="shared" si="10"/>
        <v/>
      </c>
    </row>
    <row r="99" spans="2:15" x14ac:dyDescent="0.3">
      <c r="B99" s="49">
        <v>95</v>
      </c>
      <c r="C99" s="47">
        <v>0.12357</v>
      </c>
      <c r="J99" s="22"/>
      <c r="K99" s="4">
        <v>11</v>
      </c>
      <c r="L99" s="52">
        <f t="shared" si="11"/>
        <v>0.91666666666666663</v>
      </c>
      <c r="M99" s="39">
        <f t="shared" si="9"/>
        <v>8.9654288578633334E-4</v>
      </c>
      <c r="N99" s="39">
        <f t="shared" si="13"/>
        <v>0.93386738171563743</v>
      </c>
      <c r="O99" s="51" t="str">
        <f t="shared" si="10"/>
        <v/>
      </c>
    </row>
    <row r="100" spans="2:15" x14ac:dyDescent="0.3">
      <c r="B100" s="49">
        <v>96</v>
      </c>
      <c r="C100" s="47">
        <v>0.13284000000000001</v>
      </c>
      <c r="J100" s="22">
        <f>J88+1</f>
        <v>68</v>
      </c>
      <c r="K100" s="4">
        <v>0</v>
      </c>
      <c r="L100" s="52">
        <f t="shared" si="11"/>
        <v>0</v>
      </c>
      <c r="M100" s="39">
        <f t="shared" si="9"/>
        <v>9.3685821732503172E-4</v>
      </c>
      <c r="N100" s="39">
        <f>N88*(1-O88)</f>
        <v>0.9329708388298511</v>
      </c>
      <c r="O100" s="51">
        <f t="shared" si="10"/>
        <v>1.205E-2</v>
      </c>
    </row>
    <row r="101" spans="2:15" x14ac:dyDescent="0.3">
      <c r="B101" s="49">
        <v>97</v>
      </c>
      <c r="C101" s="47">
        <v>0.14257</v>
      </c>
      <c r="J101" s="22"/>
      <c r="K101" s="4">
        <v>1</v>
      </c>
      <c r="L101" s="52">
        <f t="shared" si="11"/>
        <v>8.3333333333333329E-2</v>
      </c>
      <c r="M101" s="39">
        <f t="shared" si="9"/>
        <v>9.3685821732492069E-4</v>
      </c>
      <c r="N101" s="39">
        <f>(1-L101)*$N$100+L101*$N$112</f>
        <v>0.93203398061252607</v>
      </c>
      <c r="O101" s="51" t="str">
        <f t="shared" si="10"/>
        <v/>
      </c>
    </row>
    <row r="102" spans="2:15" x14ac:dyDescent="0.3">
      <c r="B102" s="49">
        <v>98</v>
      </c>
      <c r="C102" s="47">
        <v>0.15279000000000001</v>
      </c>
      <c r="J102" s="22"/>
      <c r="K102" s="4">
        <v>2</v>
      </c>
      <c r="L102" s="52">
        <f t="shared" si="11"/>
        <v>0.16666666666666666</v>
      </c>
      <c r="M102" s="39">
        <f t="shared" si="9"/>
        <v>9.3685821732492069E-4</v>
      </c>
      <c r="N102" s="39">
        <f t="shared" ref="N102:N111" si="14">(1-L102)*$N$100+L102*$N$112</f>
        <v>0.93109712239520115</v>
      </c>
      <c r="O102" s="51" t="str">
        <f t="shared" si="10"/>
        <v/>
      </c>
    </row>
    <row r="103" spans="2:15" x14ac:dyDescent="0.3">
      <c r="B103" s="49">
        <v>99</v>
      </c>
      <c r="C103" s="47">
        <v>0.16349</v>
      </c>
      <c r="J103" s="22"/>
      <c r="K103" s="4">
        <v>3</v>
      </c>
      <c r="L103" s="52">
        <f t="shared" si="11"/>
        <v>0.25</v>
      </c>
      <c r="M103" s="39">
        <f t="shared" si="9"/>
        <v>9.3685821732492069E-4</v>
      </c>
      <c r="N103" s="39">
        <f t="shared" si="14"/>
        <v>0.93016026417787623</v>
      </c>
      <c r="O103" s="51" t="str">
        <f t="shared" si="10"/>
        <v/>
      </c>
    </row>
    <row r="104" spans="2:15" x14ac:dyDescent="0.3">
      <c r="B104" s="49">
        <v>100</v>
      </c>
      <c r="C104" s="47">
        <v>0.17469000000000001</v>
      </c>
      <c r="J104" s="22"/>
      <c r="K104" s="4">
        <v>4</v>
      </c>
      <c r="L104" s="52">
        <f t="shared" si="11"/>
        <v>0.33333333333333331</v>
      </c>
      <c r="M104" s="39">
        <f t="shared" si="9"/>
        <v>9.3685821732525376E-4</v>
      </c>
      <c r="N104" s="39">
        <f t="shared" si="14"/>
        <v>0.92922340596055131</v>
      </c>
      <c r="O104" s="51" t="str">
        <f t="shared" si="10"/>
        <v/>
      </c>
    </row>
    <row r="105" spans="2:15" x14ac:dyDescent="0.3">
      <c r="B105" s="49">
        <v>101</v>
      </c>
      <c r="C105" s="47">
        <v>0.18640999999999999</v>
      </c>
      <c r="J105" s="22"/>
      <c r="K105" s="4">
        <v>5</v>
      </c>
      <c r="L105" s="52">
        <f t="shared" si="11"/>
        <v>0.41666666666666669</v>
      </c>
      <c r="M105" s="39">
        <f t="shared" si="9"/>
        <v>9.3685821732480967E-4</v>
      </c>
      <c r="N105" s="39">
        <f t="shared" si="14"/>
        <v>0.92828654774322605</v>
      </c>
      <c r="O105" s="51" t="str">
        <f t="shared" si="10"/>
        <v/>
      </c>
    </row>
    <row r="106" spans="2:15" x14ac:dyDescent="0.3">
      <c r="B106" s="49">
        <v>102</v>
      </c>
      <c r="C106" s="47">
        <v>0.19864999999999999</v>
      </c>
      <c r="J106" s="22"/>
      <c r="K106" s="4">
        <v>6</v>
      </c>
      <c r="L106" s="52">
        <f t="shared" si="11"/>
        <v>0.5</v>
      </c>
      <c r="M106" s="39">
        <f t="shared" si="9"/>
        <v>9.3685821732492069E-4</v>
      </c>
      <c r="N106" s="39">
        <f t="shared" si="14"/>
        <v>0.92734968952590124</v>
      </c>
      <c r="O106" s="51" t="str">
        <f t="shared" si="10"/>
        <v/>
      </c>
    </row>
    <row r="107" spans="2:15" x14ac:dyDescent="0.3">
      <c r="B107" s="49">
        <v>103</v>
      </c>
      <c r="C107" s="47">
        <v>0.21142</v>
      </c>
      <c r="J107" s="22"/>
      <c r="K107" s="4">
        <v>7</v>
      </c>
      <c r="L107" s="52">
        <f t="shared" si="11"/>
        <v>0.58333333333333337</v>
      </c>
      <c r="M107" s="39">
        <f t="shared" si="9"/>
        <v>9.3685821732503172E-4</v>
      </c>
      <c r="N107" s="39">
        <f t="shared" si="14"/>
        <v>0.92641283130857632</v>
      </c>
      <c r="O107" s="51" t="str">
        <f t="shared" si="10"/>
        <v/>
      </c>
    </row>
    <row r="108" spans="2:15" x14ac:dyDescent="0.3">
      <c r="B108" s="49">
        <v>104</v>
      </c>
      <c r="C108" s="47">
        <v>0.22474</v>
      </c>
      <c r="J108" s="22"/>
      <c r="K108" s="4">
        <v>8</v>
      </c>
      <c r="L108" s="52">
        <f t="shared" si="11"/>
        <v>0.66666666666666663</v>
      </c>
      <c r="M108" s="39">
        <f t="shared" si="9"/>
        <v>9.3685821732503172E-4</v>
      </c>
      <c r="N108" s="39">
        <f t="shared" si="14"/>
        <v>0.92547597309125129</v>
      </c>
      <c r="O108" s="51" t="str">
        <f t="shared" si="10"/>
        <v/>
      </c>
    </row>
    <row r="109" spans="2:15" x14ac:dyDescent="0.3">
      <c r="B109" s="49">
        <v>105</v>
      </c>
      <c r="C109" s="47">
        <v>0.23860999999999999</v>
      </c>
      <c r="J109" s="22"/>
      <c r="K109" s="4">
        <v>9</v>
      </c>
      <c r="L109" s="52">
        <f t="shared" si="11"/>
        <v>0.75</v>
      </c>
      <c r="M109" s="39">
        <f t="shared" si="9"/>
        <v>9.3685821732492069E-4</v>
      </c>
      <c r="N109" s="39">
        <f t="shared" si="14"/>
        <v>0.92453911487392626</v>
      </c>
      <c r="O109" s="51" t="str">
        <f t="shared" si="10"/>
        <v/>
      </c>
    </row>
    <row r="110" spans="2:15" x14ac:dyDescent="0.3">
      <c r="B110" s="49">
        <v>106</v>
      </c>
      <c r="C110" s="47">
        <v>0.25305</v>
      </c>
      <c r="J110" s="22"/>
      <c r="K110" s="4">
        <v>10</v>
      </c>
      <c r="L110" s="52">
        <f t="shared" si="11"/>
        <v>0.83333333333333337</v>
      </c>
      <c r="M110" s="39">
        <f t="shared" si="9"/>
        <v>9.3685821732492069E-4</v>
      </c>
      <c r="N110" s="39">
        <f t="shared" si="14"/>
        <v>0.92360225665660134</v>
      </c>
      <c r="O110" s="51" t="str">
        <f t="shared" si="10"/>
        <v/>
      </c>
    </row>
    <row r="111" spans="2:15" x14ac:dyDescent="0.3">
      <c r="B111" s="49">
        <v>107</v>
      </c>
      <c r="C111" s="47">
        <v>0.26806000000000002</v>
      </c>
      <c r="J111" s="22"/>
      <c r="K111" s="4">
        <v>11</v>
      </c>
      <c r="L111" s="52">
        <f t="shared" si="11"/>
        <v>0.91666666666666663</v>
      </c>
      <c r="M111" s="39">
        <f t="shared" si="9"/>
        <v>9.3685821732503172E-4</v>
      </c>
      <c r="N111" s="39">
        <f t="shared" si="14"/>
        <v>0.92266539843927642</v>
      </c>
      <c r="O111" s="51" t="str">
        <f t="shared" si="10"/>
        <v/>
      </c>
    </row>
    <row r="112" spans="2:15" x14ac:dyDescent="0.3">
      <c r="B112" s="49">
        <v>108</v>
      </c>
      <c r="C112" s="47">
        <v>0.28366000000000002</v>
      </c>
      <c r="J112" s="22">
        <f>J100+1</f>
        <v>69</v>
      </c>
      <c r="K112" s="4">
        <v>0</v>
      </c>
      <c r="L112" s="52">
        <f t="shared" si="11"/>
        <v>0</v>
      </c>
      <c r="M112" s="39">
        <f t="shared" si="9"/>
        <v>1.0031478946082029E-3</v>
      </c>
      <c r="N112" s="39">
        <f>N100*(1-O100)</f>
        <v>0.92172854022195139</v>
      </c>
      <c r="O112" s="51">
        <f t="shared" si="10"/>
        <v>1.306E-2</v>
      </c>
    </row>
    <row r="113" spans="2:15" x14ac:dyDescent="0.3">
      <c r="B113" s="49">
        <v>109</v>
      </c>
      <c r="C113" s="47">
        <v>0.29986000000000002</v>
      </c>
      <c r="J113" s="22"/>
      <c r="K113" s="4">
        <v>1</v>
      </c>
      <c r="L113" s="52">
        <f t="shared" si="11"/>
        <v>8.3333333333333329E-2</v>
      </c>
      <c r="M113" s="39">
        <f t="shared" si="9"/>
        <v>1.0031478946083139E-3</v>
      </c>
      <c r="N113" s="39">
        <f>(1-L113)*$N$112+L113*$N$124</f>
        <v>0.92072539232734318</v>
      </c>
      <c r="O113" s="51" t="str">
        <f t="shared" si="10"/>
        <v/>
      </c>
    </row>
    <row r="114" spans="2:15" x14ac:dyDescent="0.3">
      <c r="B114" s="49">
        <v>110</v>
      </c>
      <c r="C114" s="47">
        <v>0.31667000000000001</v>
      </c>
      <c r="J114" s="22"/>
      <c r="K114" s="4">
        <v>2</v>
      </c>
      <c r="L114" s="52">
        <f t="shared" si="11"/>
        <v>0.16666666666666666</v>
      </c>
      <c r="M114" s="39">
        <f t="shared" si="9"/>
        <v>1.0031478946082029E-3</v>
      </c>
      <c r="N114" s="39">
        <f t="shared" ref="N114:N123" si="15">(1-L114)*$N$112+L114*$N$124</f>
        <v>0.91972224443273487</v>
      </c>
      <c r="O114" s="51" t="str">
        <f t="shared" si="10"/>
        <v/>
      </c>
    </row>
    <row r="115" spans="2:15" x14ac:dyDescent="0.3">
      <c r="B115" s="49">
        <v>111</v>
      </c>
      <c r="C115" s="47">
        <v>0.33409</v>
      </c>
      <c r="J115" s="22"/>
      <c r="K115" s="4">
        <v>3</v>
      </c>
      <c r="L115" s="52">
        <f t="shared" si="11"/>
        <v>0.25</v>
      </c>
      <c r="M115" s="39">
        <f t="shared" si="9"/>
        <v>1.0031478946080918E-3</v>
      </c>
      <c r="N115" s="39">
        <f t="shared" si="15"/>
        <v>0.91871909653812667</v>
      </c>
      <c r="O115" s="51" t="str">
        <f t="shared" si="10"/>
        <v/>
      </c>
    </row>
    <row r="116" spans="2:15" x14ac:dyDescent="0.3">
      <c r="B116" s="49">
        <v>112</v>
      </c>
      <c r="C116" s="47">
        <v>0.35215999999999997</v>
      </c>
      <c r="J116" s="22"/>
      <c r="K116" s="4">
        <v>4</v>
      </c>
      <c r="L116" s="52">
        <f t="shared" si="11"/>
        <v>0.33333333333333331</v>
      </c>
      <c r="M116" s="39">
        <f t="shared" si="9"/>
        <v>1.0031478946083139E-3</v>
      </c>
      <c r="N116" s="39">
        <f t="shared" si="15"/>
        <v>0.91771594864351858</v>
      </c>
      <c r="O116" s="51" t="str">
        <f t="shared" si="10"/>
        <v/>
      </c>
    </row>
    <row r="117" spans="2:15" x14ac:dyDescent="0.3">
      <c r="B117" s="49">
        <v>113</v>
      </c>
      <c r="C117" s="47">
        <v>0.37085000000000001</v>
      </c>
      <c r="J117" s="22"/>
      <c r="K117" s="4">
        <v>5</v>
      </c>
      <c r="L117" s="52">
        <f t="shared" si="11"/>
        <v>0.41666666666666669</v>
      </c>
      <c r="M117" s="39">
        <f t="shared" si="9"/>
        <v>1.0031478946082029E-3</v>
      </c>
      <c r="N117" s="39">
        <f t="shared" si="15"/>
        <v>0.91671280074891026</v>
      </c>
      <c r="O117" s="51" t="str">
        <f t="shared" si="10"/>
        <v/>
      </c>
    </row>
    <row r="118" spans="2:15" x14ac:dyDescent="0.3">
      <c r="B118" s="49">
        <v>114</v>
      </c>
      <c r="C118" s="47">
        <v>0.39019999999999999</v>
      </c>
      <c r="J118" s="22"/>
      <c r="K118" s="4">
        <v>6</v>
      </c>
      <c r="L118" s="52">
        <f t="shared" si="11"/>
        <v>0.5</v>
      </c>
      <c r="M118" s="39">
        <f t="shared" si="9"/>
        <v>1.0031478946082029E-3</v>
      </c>
      <c r="N118" s="39">
        <f t="shared" si="15"/>
        <v>0.91570965285430206</v>
      </c>
      <c r="O118" s="51" t="str">
        <f t="shared" si="10"/>
        <v/>
      </c>
    </row>
    <row r="119" spans="2:15" x14ac:dyDescent="0.3">
      <c r="B119" s="49">
        <v>115</v>
      </c>
      <c r="C119" s="47">
        <v>0.41021000000000002</v>
      </c>
      <c r="J119" s="22"/>
      <c r="K119" s="4">
        <v>7</v>
      </c>
      <c r="L119" s="52">
        <f t="shared" si="11"/>
        <v>0.58333333333333337</v>
      </c>
      <c r="M119" s="39">
        <f t="shared" si="9"/>
        <v>1.0031478946082029E-3</v>
      </c>
      <c r="N119" s="39">
        <f t="shared" si="15"/>
        <v>0.91470650495969386</v>
      </c>
      <c r="O119" s="51" t="str">
        <f t="shared" si="10"/>
        <v/>
      </c>
    </row>
    <row r="120" spans="2:15" x14ac:dyDescent="0.3">
      <c r="B120" s="49">
        <v>116</v>
      </c>
      <c r="C120" s="47">
        <v>0.43089</v>
      </c>
      <c r="J120" s="22"/>
      <c r="K120" s="4">
        <v>8</v>
      </c>
      <c r="L120" s="52">
        <f t="shared" si="11"/>
        <v>0.66666666666666663</v>
      </c>
      <c r="M120" s="39">
        <f t="shared" si="9"/>
        <v>1.0031478946082029E-3</v>
      </c>
      <c r="N120" s="39">
        <f t="shared" si="15"/>
        <v>0.91370335706508565</v>
      </c>
      <c r="O120" s="51" t="str">
        <f t="shared" si="10"/>
        <v/>
      </c>
    </row>
    <row r="121" spans="2:15" x14ac:dyDescent="0.3">
      <c r="B121" s="49">
        <v>117</v>
      </c>
      <c r="C121" s="47">
        <v>0.45226</v>
      </c>
      <c r="J121" s="22"/>
      <c r="K121" s="4">
        <v>9</v>
      </c>
      <c r="L121" s="52">
        <f t="shared" si="11"/>
        <v>0.75</v>
      </c>
      <c r="M121" s="39">
        <f t="shared" si="9"/>
        <v>1.0031478946082029E-3</v>
      </c>
      <c r="N121" s="39">
        <f t="shared" si="15"/>
        <v>0.91270020917047745</v>
      </c>
      <c r="O121" s="51" t="str">
        <f t="shared" si="10"/>
        <v/>
      </c>
    </row>
    <row r="122" spans="2:15" x14ac:dyDescent="0.3">
      <c r="B122" s="49">
        <v>118</v>
      </c>
      <c r="C122" s="47">
        <v>0.47432000000000002</v>
      </c>
      <c r="J122" s="22"/>
      <c r="K122" s="4">
        <v>10</v>
      </c>
      <c r="L122" s="52">
        <f t="shared" si="11"/>
        <v>0.83333333333333337</v>
      </c>
      <c r="M122" s="39">
        <f t="shared" si="9"/>
        <v>1.0031478946083139E-3</v>
      </c>
      <c r="N122" s="39">
        <f t="shared" si="15"/>
        <v>0.91169706127586925</v>
      </c>
      <c r="O122" s="51" t="str">
        <f t="shared" si="10"/>
        <v/>
      </c>
    </row>
    <row r="123" spans="2:15" x14ac:dyDescent="0.3">
      <c r="B123" s="49">
        <v>119</v>
      </c>
      <c r="C123" s="47">
        <v>0.49708000000000002</v>
      </c>
      <c r="J123" s="22"/>
      <c r="K123" s="4">
        <v>11</v>
      </c>
      <c r="L123" s="52">
        <f t="shared" si="11"/>
        <v>0.91666666666666663</v>
      </c>
      <c r="M123" s="39">
        <f>N123-N124</f>
        <v>1.0031478946082029E-3</v>
      </c>
      <c r="N123" s="39">
        <f t="shared" si="15"/>
        <v>0.91069391338126093</v>
      </c>
      <c r="O123" s="51" t="str">
        <f t="shared" si="10"/>
        <v/>
      </c>
    </row>
    <row r="124" spans="2:15" ht="15.6" thickBot="1" x14ac:dyDescent="0.35">
      <c r="B124" s="49">
        <v>120</v>
      </c>
      <c r="C124" s="47">
        <v>0.52056999999999998</v>
      </c>
      <c r="J124" s="27">
        <f>J112+1</f>
        <v>70</v>
      </c>
      <c r="K124" s="28">
        <v>0</v>
      </c>
      <c r="L124" s="53">
        <f t="shared" si="11"/>
        <v>0</v>
      </c>
      <c r="M124" s="54"/>
      <c r="N124" s="41">
        <f>N112*(1-O112)</f>
        <v>0.90969076548665273</v>
      </c>
      <c r="O124" s="42">
        <f t="shared" si="10"/>
        <v>1.4109999999999999E-2</v>
      </c>
    </row>
    <row r="125" spans="2:15" x14ac:dyDescent="0.3">
      <c r="B125" s="49">
        <v>121</v>
      </c>
      <c r="C125" s="47">
        <v>0.54476999999999998</v>
      </c>
    </row>
    <row r="126" spans="2:15" ht="15.6" thickBot="1" x14ac:dyDescent="0.35">
      <c r="B126" s="50">
        <v>122</v>
      </c>
      <c r="C126" s="48">
        <v>1</v>
      </c>
    </row>
    <row r="127" spans="2:15" x14ac:dyDescent="0.3"/>
  </sheetData>
  <phoneticPr fontId="4"/>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6FA93DA92B7B30489ACAE22EBD8FB41A" ma:contentTypeVersion="13" ma:contentTypeDescription="新しいドキュメントを作成します。" ma:contentTypeScope="" ma:versionID="0a5685479edd4ef7e0ca9af2b9e38e43">
  <xsd:schema xmlns:xsd="http://www.w3.org/2001/XMLSchema" xmlns:xs="http://www.w3.org/2001/XMLSchema" xmlns:p="http://schemas.microsoft.com/office/2006/metadata/properties" xmlns:ns3="f3b58f34-edfe-49a3-9e77-f3b081b7db53" xmlns:ns4="f520ad79-5be2-45d8-80e5-f09289390f2b" targetNamespace="http://schemas.microsoft.com/office/2006/metadata/properties" ma:root="true" ma:fieldsID="9865f753e8b71003750f5fd2a0eac52b" ns3:_="" ns4:_="">
    <xsd:import namespace="f3b58f34-edfe-49a3-9e77-f3b081b7db53"/>
    <xsd:import namespace="f520ad79-5be2-45d8-80e5-f09289390f2b"/>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LengthInSeconds" minOccurs="0"/>
                <xsd:element ref="ns4:MediaServiceAutoTags" minOccurs="0"/>
                <xsd:element ref="ns4:MediaServiceOCR"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3b58f34-edfe-49a3-9e77-f3b081b7db53" elementFormDefault="qualified">
    <xsd:import namespace="http://schemas.microsoft.com/office/2006/documentManagement/types"/>
    <xsd:import namespace="http://schemas.microsoft.com/office/infopath/2007/PartnerControls"/>
    <xsd:element name="SharedWithUsers" ma:index="8"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共有相手の詳細情報" ma:internalName="SharedWithDetails" ma:readOnly="true">
      <xsd:simpleType>
        <xsd:restriction base="dms:Note">
          <xsd:maxLength value="255"/>
        </xsd:restriction>
      </xsd:simpleType>
    </xsd:element>
    <xsd:element name="SharingHintHash" ma:index="10" nillable="true" ma:displayName="共有のヒントのハッシュ"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520ad79-5be2-45d8-80e5-f09289390f2b"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6039C36-296B-4F13-BB92-C00E27DEA6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3b58f34-edfe-49a3-9e77-f3b081b7db53"/>
    <ds:schemaRef ds:uri="f520ad79-5be2-45d8-80e5-f09289390f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5F899A1-9820-4437-8D45-16F95B4B02C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622BD9C-D494-42A6-BF37-9892690B3BE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21</vt:i4>
      </vt:variant>
    </vt:vector>
  </HeadingPairs>
  <TitlesOfParts>
    <vt:vector size="28" baseType="lpstr">
      <vt:lpstr>コピーライト・免責事項</vt:lpstr>
      <vt:lpstr>【演習1-1】 プットオプション価格</vt:lpstr>
      <vt:lpstr>【演習1-2】 プットオプション価格</vt:lpstr>
      <vt:lpstr>【演習2-1】 最低保証にかかる費用算出</vt:lpstr>
      <vt:lpstr>【演習2-2】 最低保証にかかる費用算出</vt:lpstr>
      <vt:lpstr>【演習2+α】 最低保証の内容</vt:lpstr>
      <vt:lpstr>死亡率（標準生命表）</vt:lpstr>
      <vt:lpstr>Contract_PeriodList</vt:lpstr>
      <vt:lpstr>'【演習2+α】 最低保証の内容'!InputContractPeriod</vt:lpstr>
      <vt:lpstr>InputContractPeriod</vt:lpstr>
      <vt:lpstr>'【演習2+α】 最低保証の内容'!InputIR</vt:lpstr>
      <vt:lpstr>InputIR</vt:lpstr>
      <vt:lpstr>'【演習2+α】 最低保証の内容'!InputOld</vt:lpstr>
      <vt:lpstr>InputOld</vt:lpstr>
      <vt:lpstr>InputStrike</vt:lpstr>
      <vt:lpstr>'【演習2+α】 最低保証の内容'!InputVol</vt:lpstr>
      <vt:lpstr>InputVol</vt:lpstr>
      <vt:lpstr>'【演習2+α】 最低保証の内容'!Objective</vt:lpstr>
      <vt:lpstr>Objective</vt:lpstr>
      <vt:lpstr>'【演習2-2】 最低保証にかかる費用算出'!OldList</vt:lpstr>
      <vt:lpstr>OutContractPeriod</vt:lpstr>
      <vt:lpstr>'【演習2-2】 最低保証にかかる費用算出'!OutIR</vt:lpstr>
      <vt:lpstr>'【演習2-2】 最低保証にかかる費用算出'!OutOld</vt:lpstr>
      <vt:lpstr>'【演習2-2】 最低保証にかかる費用算出'!OutVol</vt:lpstr>
      <vt:lpstr>'【演習2-2】 最低保証にかかる費用算出'!StrikeList</vt:lpstr>
      <vt:lpstr>'【演習2+α】 最低保証の内容'!Variable</vt:lpstr>
      <vt:lpstr>Variable</vt:lpstr>
      <vt:lpstr>'【演習2-2】 最低保証にかかる費用算出'!VolList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2022-12-21T03:06:58Z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0x0101006FA93DA92B7B30489ACAE22EBD8FB41A</vt:lpwstr>
  </property>
</Properties>
</file>