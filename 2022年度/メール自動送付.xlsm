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6fcaf58e44607b/デスクトップ/自己研鑽用/02_FT勉強会/2022年度/"/>
    </mc:Choice>
  </mc:AlternateContent>
  <xr:revisionPtr revIDLastSave="399" documentId="8_{6CD4FD95-4944-4DD9-B144-284F4FC3336E}" xr6:coauthVersionLast="47" xr6:coauthVersionMax="47" xr10:uidLastSave="{F8A1301C-640B-47C4-A66F-075EEDA854D7}"/>
  <bookViews>
    <workbookView xWindow="768" yWindow="768" windowWidth="17280" windowHeight="8964" xr2:uid="{617C7B34-CBD4-4BA7-8011-34F01B1A0A6C}"/>
  </bookViews>
  <sheets>
    <sheet name="宛先" sheetId="1" r:id="rId1"/>
    <sheet name="メールアドレス" sheetId="2" r:id="rId2"/>
  </sheets>
  <definedNames>
    <definedName name="Bcc">メールアドレス!$H$6</definedName>
    <definedName name="Body">宛先!$I$9</definedName>
    <definedName name="Cc">メールアドレス!$H$5</definedName>
    <definedName name="File">宛先!$L$8</definedName>
    <definedName name="Format">宛先!$I$4</definedName>
    <definedName name="Input_1">宛先!$L$12</definedName>
    <definedName name="Input_2">宛先!$L$13</definedName>
    <definedName name="Input_3">宛先!$L$14</definedName>
    <definedName name="Input_4">宛先!$L$15</definedName>
    <definedName name="Input_5">宛先!$L$16</definedName>
    <definedName name="Subject">宛先!$I$6</definedName>
    <definedName name="To">メールアドレス!$H$4</definedName>
    <definedName name="URL_1">宛先!$L$4</definedName>
    <definedName name="URL_2">宛先!$L$5</definedName>
    <definedName name="URL_3">宛先!$L$6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1" l="1"/>
  <c r="M34" i="2" a="1"/>
  <c r="M34" i="2" s="1"/>
  <c r="M33" i="2" s="1" a="1"/>
  <c r="M33" i="2" s="1"/>
  <c r="M32" i="2" s="1" a="1"/>
  <c r="M32" i="2" s="1"/>
  <c r="M31" i="2" s="1" a="1"/>
  <c r="M31" i="2" s="1"/>
  <c r="M30" i="2" s="1" a="1"/>
  <c r="M30" i="2" s="1"/>
  <c r="M29" i="2" s="1" a="1"/>
  <c r="M29" i="2" s="1"/>
  <c r="M28" i="2" s="1" a="1"/>
  <c r="M28" i="2" s="1"/>
  <c r="M27" i="2" s="1" a="1"/>
  <c r="M27" i="2" s="1"/>
  <c r="M26" i="2" s="1" a="1"/>
  <c r="M26" i="2" s="1"/>
  <c r="M25" i="2" s="1" a="1"/>
  <c r="M25" i="2" s="1"/>
  <c r="M24" i="2" s="1" a="1"/>
  <c r="M24" i="2" s="1"/>
  <c r="M23" i="2" s="1" a="1"/>
  <c r="M23" i="2" s="1"/>
  <c r="M22" i="2" s="1" a="1"/>
  <c r="M22" i="2" s="1"/>
  <c r="M21" i="2" s="1" a="1"/>
  <c r="M21" i="2" s="1"/>
  <c r="M20" i="2" s="1" a="1"/>
  <c r="M20" i="2" s="1"/>
  <c r="M19" i="2" s="1" a="1"/>
  <c r="M19" i="2" s="1"/>
  <c r="M18" i="2" s="1" a="1"/>
  <c r="M18" i="2" s="1"/>
  <c r="M17" i="2" s="1" a="1"/>
  <c r="M17" i="2" s="1"/>
  <c r="M16" i="2" s="1" a="1"/>
  <c r="M16" i="2" s="1"/>
  <c r="M15" i="2" s="1" a="1"/>
  <c r="M15" i="2" s="1"/>
  <c r="M14" i="2" s="1" a="1"/>
  <c r="M14" i="2" s="1"/>
  <c r="M13" i="2" s="1" a="1"/>
  <c r="M13" i="2" s="1"/>
  <c r="M12" i="2" s="1" a="1"/>
  <c r="M12" i="2" s="1"/>
  <c r="M11" i="2" s="1" a="1"/>
  <c r="M11" i="2" s="1"/>
  <c r="M10" i="2" s="1" a="1"/>
  <c r="M10" i="2" s="1"/>
  <c r="M9" i="2" s="1" a="1"/>
  <c r="M9" i="2" s="1"/>
  <c r="M8" i="2" s="1" a="1"/>
  <c r="M8" i="2" s="1"/>
  <c r="M7" i="2" s="1" a="1"/>
  <c r="M7" i="2" s="1"/>
  <c r="M6" i="2" s="1" a="1"/>
  <c r="M6" i="2" s="1"/>
  <c r="M5" i="2" s="1" a="1"/>
  <c r="M5" i="2" s="1"/>
  <c r="L34" i="2" a="1"/>
  <c r="L34" i="2" s="1"/>
  <c r="L33" i="2" s="1" a="1"/>
  <c r="L33" i="2" s="1"/>
  <c r="L32" i="2" s="1" a="1"/>
  <c r="L32" i="2" s="1"/>
  <c r="L31" i="2" s="1" a="1"/>
  <c r="L31" i="2" s="1"/>
  <c r="L30" i="2" s="1" a="1"/>
  <c r="L30" i="2" s="1"/>
  <c r="L29" i="2" s="1" a="1"/>
  <c r="L29" i="2" s="1"/>
  <c r="L28" i="2" s="1" a="1"/>
  <c r="L28" i="2" s="1"/>
  <c r="L27" i="2" s="1" a="1"/>
  <c r="L27" i="2" s="1"/>
  <c r="L26" i="2" s="1" a="1"/>
  <c r="L26" i="2" s="1"/>
  <c r="L25" i="2" s="1" a="1"/>
  <c r="L25" i="2" s="1"/>
  <c r="L24" i="2" s="1" a="1"/>
  <c r="L24" i="2" s="1"/>
  <c r="L23" i="2" s="1" a="1"/>
  <c r="L23" i="2" s="1"/>
  <c r="L22" i="2" s="1" a="1"/>
  <c r="L22" i="2" s="1"/>
  <c r="L21" i="2" s="1" a="1"/>
  <c r="L21" i="2" s="1"/>
  <c r="L20" i="2" s="1" a="1"/>
  <c r="L20" i="2" s="1"/>
  <c r="L19" i="2" s="1" a="1"/>
  <c r="L19" i="2" s="1"/>
  <c r="L18" i="2" s="1" a="1"/>
  <c r="L18" i="2" s="1"/>
  <c r="L17" i="2" s="1" a="1"/>
  <c r="L17" i="2" s="1"/>
  <c r="L16" i="2" s="1" a="1"/>
  <c r="L16" i="2" s="1"/>
  <c r="L15" i="2" s="1" a="1"/>
  <c r="L15" i="2" s="1"/>
  <c r="L14" i="2" s="1" a="1"/>
  <c r="L14" i="2" s="1"/>
  <c r="L13" i="2" s="1" a="1"/>
  <c r="L13" i="2" s="1"/>
  <c r="L12" i="2" s="1" a="1"/>
  <c r="L12" i="2" s="1"/>
  <c r="L11" i="2" s="1" a="1"/>
  <c r="L11" i="2" s="1"/>
  <c r="K34" i="2" a="1"/>
  <c r="K34" i="2" s="1"/>
  <c r="K33" i="2" s="1" a="1"/>
  <c r="K33" i="2" s="1"/>
  <c r="K32" i="2" s="1" a="1"/>
  <c r="K32" i="2" s="1"/>
  <c r="K31" i="2" s="1" a="1"/>
  <c r="K31" i="2" s="1"/>
  <c r="K30" i="2" s="1" a="1"/>
  <c r="K30" i="2" s="1"/>
  <c r="K29" i="2" s="1" a="1"/>
  <c r="K29" i="2" s="1"/>
  <c r="K28" i="2" s="1" a="1"/>
  <c r="K28" i="2" s="1"/>
  <c r="K27" i="2" s="1" a="1"/>
  <c r="K27" i="2" s="1"/>
  <c r="K26" i="2" s="1" a="1"/>
  <c r="K26" i="2" s="1"/>
  <c r="K25" i="2" s="1" a="1"/>
  <c r="K25" i="2" s="1"/>
  <c r="K24" i="2" s="1" a="1"/>
  <c r="K24" i="2" s="1"/>
  <c r="K23" i="2" s="1" a="1"/>
  <c r="K23" i="2" s="1"/>
  <c r="K22" i="2" s="1" a="1"/>
  <c r="K22" i="2" s="1"/>
  <c r="K21" i="2" s="1" a="1"/>
  <c r="K21" i="2" s="1"/>
  <c r="K20" i="2" s="1" a="1"/>
  <c r="K20" i="2" s="1"/>
  <c r="K19" i="2" s="1" a="1"/>
  <c r="K19" i="2" s="1"/>
  <c r="K18" i="2" s="1" a="1"/>
  <c r="K18" i="2" s="1"/>
  <c r="K17" i="2" s="1" a="1"/>
  <c r="K17" i="2" s="1"/>
  <c r="K16" i="2" s="1" a="1"/>
  <c r="K16" i="2" s="1"/>
  <c r="K15" i="2" s="1" a="1"/>
  <c r="K15" i="2" s="1"/>
  <c r="K14" i="2" s="1" a="1"/>
  <c r="K14" i="2" s="1"/>
  <c r="K13" i="2" s="1" a="1"/>
  <c r="K13" i="2" s="1"/>
  <c r="K12" i="2" s="1" a="1"/>
  <c r="K12" i="2" s="1"/>
  <c r="K11" i="2" s="1" a="1"/>
  <c r="K11" i="2" s="1"/>
  <c r="K10" i="2" s="1" a="1"/>
  <c r="K10" i="2" s="1"/>
  <c r="K9" i="2" s="1" a="1"/>
  <c r="K9" i="2" s="1"/>
  <c r="K8" i="2" s="1" a="1"/>
  <c r="K8" i="2" s="1"/>
  <c r="K7" i="2" s="1" a="1"/>
  <c r="K7" i="2" s="1"/>
  <c r="K6" i="2" l="1" a="1"/>
  <c r="K6" i="2" s="1"/>
  <c r="K5" i="2" l="1" a="1"/>
  <c r="K5" i="2" s="1"/>
  <c r="H4" i="2" s="1"/>
  <c r="L10" i="2" a="1"/>
  <c r="L10" i="2" s="1"/>
  <c r="L9" i="2" s="1" a="1"/>
  <c r="L9" i="2" s="1"/>
  <c r="L8" i="2" s="1" a="1"/>
  <c r="L8" i="2" s="1"/>
  <c r="L7" i="2" s="1" a="1"/>
  <c r="L7" i="2" s="1"/>
  <c r="L6" i="2" s="1" a="1"/>
  <c r="L6" i="2" s="1"/>
  <c r="L5" i="2" s="1" a="1"/>
  <c r="L5" i="2" s="1"/>
  <c r="H5" i="2" l="1"/>
  <c r="H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<sst xmlns="http://schemas.openxmlformats.org/spreadsheetml/2006/main" count="51" uniqueCount="42">
  <si>
    <t>■</t>
    <phoneticPr fontId="1"/>
  </si>
  <si>
    <t>メールの送付先</t>
    <rPh sb="4" eb="7">
      <t>ソウフサキ</t>
    </rPh>
    <phoneticPr fontId="1"/>
  </si>
  <si>
    <t>To</t>
    <phoneticPr fontId="1"/>
  </si>
  <si>
    <t>Cc</t>
    <phoneticPr fontId="1"/>
  </si>
  <si>
    <t>Bcc</t>
    <phoneticPr fontId="1"/>
  </si>
  <si>
    <t>アドレス</t>
    <phoneticPr fontId="1"/>
  </si>
  <si>
    <t>宛先</t>
    <rPh sb="0" eb="2">
      <t>アテサキ</t>
    </rPh>
    <phoneticPr fontId="1"/>
  </si>
  <si>
    <t>C</t>
  </si>
  <si>
    <t>C</t>
    <phoneticPr fontId="1"/>
  </si>
  <si>
    <t>D</t>
    <phoneticPr fontId="1"/>
  </si>
  <si>
    <t>E</t>
    <phoneticPr fontId="1"/>
  </si>
  <si>
    <t>A</t>
    <phoneticPr fontId="1"/>
  </si>
  <si>
    <t>B</t>
    <phoneticPr fontId="1"/>
  </si>
  <si>
    <t>aaa.gmail.com</t>
    <phoneticPr fontId="1"/>
  </si>
  <si>
    <t>bbb.gmail.com</t>
    <phoneticPr fontId="1"/>
  </si>
  <si>
    <t>ccc.gmail.com</t>
    <phoneticPr fontId="1"/>
  </si>
  <si>
    <t>ddd.gmail.com</t>
    <phoneticPr fontId="1"/>
  </si>
  <si>
    <t>eee.gmail.com</t>
    <phoneticPr fontId="1"/>
  </si>
  <si>
    <t>メール本文</t>
    <rPh sb="3" eb="5">
      <t>ホンブン</t>
    </rPh>
    <phoneticPr fontId="1"/>
  </si>
  <si>
    <t>件名</t>
    <rPh sb="0" eb="2">
      <t>ケンメイ</t>
    </rPh>
    <phoneticPr fontId="1"/>
  </si>
  <si>
    <t>本文</t>
    <rPh sb="0" eb="2">
      <t>ホンブン</t>
    </rPh>
    <phoneticPr fontId="1"/>
  </si>
  <si>
    <t>F</t>
    <phoneticPr fontId="1"/>
  </si>
  <si>
    <t>メール形式</t>
    <rPh sb="3" eb="5">
      <t>ケイシキ</t>
    </rPh>
    <phoneticPr fontId="1"/>
  </si>
  <si>
    <t>URL_1</t>
    <phoneticPr fontId="1"/>
  </si>
  <si>
    <t>URL_2</t>
    <phoneticPr fontId="1"/>
  </si>
  <si>
    <t>URL_3</t>
    <phoneticPr fontId="1"/>
  </si>
  <si>
    <t>添付ファイル_1</t>
    <rPh sb="0" eb="2">
      <t>テンプ</t>
    </rPh>
    <phoneticPr fontId="1"/>
  </si>
  <si>
    <t>添付ファイル_2</t>
    <rPh sb="0" eb="2">
      <t>テンプ</t>
    </rPh>
    <phoneticPr fontId="1"/>
  </si>
  <si>
    <t>添付ファイル_3</t>
    <rPh sb="0" eb="2">
      <t>テンプ</t>
    </rPh>
    <phoneticPr fontId="1"/>
  </si>
  <si>
    <t>HTML形式</t>
  </si>
  <si>
    <t>メールアドレス（インプット）</t>
    <phoneticPr fontId="1"/>
  </si>
  <si>
    <t>インプット_1</t>
    <phoneticPr fontId="1"/>
  </si>
  <si>
    <t>インプット_2</t>
    <phoneticPr fontId="1"/>
  </si>
  <si>
    <t>インプット_3</t>
    <phoneticPr fontId="1"/>
  </si>
  <si>
    <t>インプット_4</t>
    <phoneticPr fontId="1"/>
  </si>
  <si>
    <t>インプット_5</t>
    <phoneticPr fontId="1"/>
  </si>
  <si>
    <t>【テスト】メール作成のテスト</t>
    <rPh sb="8" eb="10">
      <t>サクセイ</t>
    </rPh>
    <phoneticPr fontId="1"/>
  </si>
  <si>
    <t>E</t>
  </si>
  <si>
    <t>C:\Users\bldyr\OneDrive\デスクトップ\自己研鑽用\05_経済モデル\Pythonによるマクロ経済モデル入門\data_1.xlsx</t>
  </si>
  <si>
    <t>C:\Users\bldyr\OneDrive\デスクトップ\自己研鑽用\02_FT勉強会\2022年度\GitHub勉強会\Gitコマンド集.pdf</t>
  </si>
  <si>
    <t>C:\Users\bldyr\OneDrive\デスクトップ\自己研鑽用\02_FT勉強会\2021年度\金利デリバティブ\LIBOR廃止とRFR移行について.pdf</t>
  </si>
  <si>
    <t>&lt;p&gt; みなさん &lt;/p&gt;
&lt;br&gt;
&lt;p&gt; お疲れ様です．&lt;/p&gt;
&lt;p&gt;標記の件について，{Input_1}になりましたので，{Input_2}月の定期MTGの出欠を取りたいと思います．&lt;/p&gt;
&lt;p&gt;つきましては，以下リンクのExcelファイルにて出欠を取りますので，
&lt;b&gt;&lt;span style="color:red"&gt;{Input_3}&lt;/span&gt;&lt;/b&gt;までに記入をお願いします．&lt;/p&gt;
&lt;br&gt;
&lt;p&gt;ご不明点がございましたら○○まで連絡お願いいたします．&lt;/p&gt;
&lt;br&gt;
&lt;p&gt;{URL_1}&lt;/p&gt;
&lt;br&gt;
&lt;p&gt;【今回の議題】&lt;/p&gt;
{URL_2}</t>
    <rPh sb="24" eb="25">
      <t>ツカ</t>
    </rPh>
    <rPh sb="26" eb="27">
      <t>サマ</t>
    </rPh>
    <rPh sb="38" eb="40">
      <t>ヒョウキ</t>
    </rPh>
    <rPh sb="41" eb="42">
      <t>ケン</t>
    </rPh>
    <rPh sb="74" eb="75">
      <t>ガツ</t>
    </rPh>
    <rPh sb="76" eb="78">
      <t>テイキ</t>
    </rPh>
    <rPh sb="82" eb="84">
      <t>シュッケツ</t>
    </rPh>
    <rPh sb="85" eb="86">
      <t>ト</t>
    </rPh>
    <rPh sb="90" eb="91">
      <t>オモ</t>
    </rPh>
    <rPh sb="110" eb="112">
      <t>イカ</t>
    </rPh>
    <rPh sb="127" eb="129">
      <t>シュッケツ</t>
    </rPh>
    <rPh sb="130" eb="131">
      <t>ト</t>
    </rPh>
    <rPh sb="188" eb="190">
      <t>キニュウ</t>
    </rPh>
    <rPh sb="192" eb="193">
      <t>ネガ</t>
    </rPh>
    <rPh sb="212" eb="215">
      <t>フメイテン</t>
    </rPh>
    <rPh sb="227" eb="229">
      <t>レンラク</t>
    </rPh>
    <rPh sb="230" eb="231">
      <t>ネガ</t>
    </rPh>
    <rPh sb="272" eb="274">
      <t>コンカイ</t>
    </rPh>
    <rPh sb="275" eb="277">
      <t>ギダイ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</si>
</sst>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double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1" xfId="0" applyFill="1" applyBorder="1">
      <alignment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2" xfId="0" applyFill="1" applyBorder="1" applyAlignment="1">
      <alignment vertical="center" shrinkToFit="1"/>
    </xf>
    <xf numFmtId="0" fontId="0" fillId="5" borderId="5" xfId="0" applyFill="1" applyBorder="1" applyAlignment="1">
      <alignment vertical="center" shrinkToFit="1"/>
    </xf>
    <xf numFmtId="0" fontId="0" fillId="5" borderId="8" xfId="0" applyFill="1" applyBorder="1" applyAlignment="1">
      <alignment vertical="center" shrinkToFit="1"/>
    </xf>
    <xf numFmtId="0" fontId="0" fillId="0" borderId="0" xfId="0" applyAlignment="1">
      <alignment vertical="center"/>
    </xf>
    <xf numFmtId="14" fontId="0" fillId="3" borderId="2" xfId="0" applyNumberFormat="1" applyFill="1" applyBorder="1">
      <alignment vertical="center"/>
    </xf>
    <xf numFmtId="14" fontId="0" fillId="3" borderId="5" xfId="0" applyNumberFormat="1" applyFill="1" applyBorder="1">
      <alignment vertical="center"/>
    </xf>
    <xf numFmtId="0" fontId="0" fillId="3" borderId="5" xfId="0" applyFill="1" applyBorder="1">
      <alignment vertical="center"/>
    </xf>
    <xf numFmtId="0" fontId="0" fillId="3" borderId="5" xfId="0" applyNumberForma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left" vertical="top"/>
    </xf>
    <xf numFmtId="0" fontId="3" fillId="3" borderId="18" xfId="0" applyFont="1" applyFill="1" applyBorder="1" applyAlignment="1">
      <alignment horizontal="left" vertical="top"/>
    </xf>
    <xf numFmtId="0" fontId="3" fillId="3" borderId="16" xfId="0" applyFont="1" applyFill="1" applyBorder="1" applyAlignment="1">
      <alignment horizontal="left" vertical="top" wrapText="1"/>
    </xf>
    <xf numFmtId="0" fontId="3" fillId="3" borderId="20" xfId="0" applyFont="1" applyFill="1" applyBorder="1" applyAlignment="1">
      <alignment horizontal="left" vertical="top"/>
    </xf>
    <xf numFmtId="0" fontId="2" fillId="2" borderId="19" xfId="0" applyFont="1" applyFill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17</xdr:row>
      <xdr:rowOff>100965</xdr:rowOff>
    </xdr:from>
    <xdr:to>
      <xdr:col>11</xdr:col>
      <xdr:colOff>2343150</xdr:colOff>
      <xdr:row>19</xdr:row>
      <xdr:rowOff>215265</xdr:rowOff>
    </xdr:to>
    <xdr:sp macro="[0]!MakeMail.MakeMail" textlink="">
      <xdr:nvSpPr>
        <xdr:cNvPr id="2" name="正方形/長方形 1">
          <a:extLst>
            <a:ext uri="{FF2B5EF4-FFF2-40B4-BE49-F238E27FC236}">
              <a16:creationId xmlns:a16="http://schemas.microsoft.com/office/drawing/2014/main" id="{B152F452-77CE-40E4-847C-EECC1BED43E9}"/>
            </a:ext>
          </a:extLst>
        </xdr:cNvPr>
        <xdr:cNvSpPr/>
      </xdr:nvSpPr>
      <xdr:spPr>
        <a:xfrm>
          <a:off x="10039350" y="3901440"/>
          <a:ext cx="3362325" cy="5715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000" b="1"/>
            <a:t>メール作成</a:t>
          </a:r>
          <a:endParaRPr kumimoji="1" lang="ja-JP" altLang="en-US" sz="1800" b="1"/>
        </a:p>
      </xdr:txBody>
    </xdr:sp>
    <xdr:clientData/>
  </xdr:twoCellAnchor>
  <xdr:twoCellAnchor>
    <xdr:from>
      <xdr:col>8</xdr:col>
      <xdr:colOff>819150</xdr:colOff>
      <xdr:row>0</xdr:row>
      <xdr:rowOff>100965</xdr:rowOff>
    </xdr:from>
    <xdr:to>
      <xdr:col>8</xdr:col>
      <xdr:colOff>4324350</xdr:colOff>
      <xdr:row>1</xdr:row>
      <xdr:rowOff>173355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2DDADDA7-6AFF-4619-AF00-639B0BC4D453}"/>
            </a:ext>
          </a:extLst>
        </xdr:cNvPr>
        <xdr:cNvSpPr/>
      </xdr:nvSpPr>
      <xdr:spPr>
        <a:xfrm>
          <a:off x="5086350" y="100965"/>
          <a:ext cx="3505200" cy="3009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本メール</a:t>
          </a:r>
          <a:r>
            <a:rPr kumimoji="1" lang="en-US" altLang="ja-JP" sz="1100" b="1"/>
            <a:t>HTML</a:t>
          </a:r>
          <a:r>
            <a:rPr kumimoji="1" lang="ja-JP" altLang="en-US" sz="1100" b="1"/>
            <a:t>形式で記載願います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9206-D122-43BD-88FE-DD3B26F76F61}">
  <sheetPr codeName="shtMakeMail"/>
  <dimension ref="A1:N35"/>
  <sheetViews>
    <sheetView showGridLines="0" tabSelected="1" topLeftCell="E1" zoomScale="115" zoomScaleNormal="115" workbookViewId="0">
      <selection activeCell="I9" sqref="I9:I27"/>
    </sheetView>
  </sheetViews>
  <sheetFormatPr defaultColWidth="0" defaultRowHeight="18" zeroHeight="1" x14ac:dyDescent="0.45"/>
  <cols>
    <col min="1" max="2" width="2.69921875" customWidth="1"/>
    <col min="3" max="5" width="10.69921875" customWidth="1"/>
    <col min="6" max="7" width="2.69921875" customWidth="1"/>
    <col min="8" max="8" width="12.69921875" customWidth="1"/>
    <col min="9" max="9" width="70.69921875" customWidth="1"/>
    <col min="10" max="10" width="2.69921875" customWidth="1"/>
    <col min="11" max="11" width="15.59765625" bestFit="1" customWidth="1"/>
    <col min="12" max="12" width="40.69921875" customWidth="1"/>
    <col min="13" max="14" width="2.69921875" customWidth="1"/>
    <col min="15" max="16384" width="8.796875" hidden="1"/>
  </cols>
  <sheetData>
    <row r="1" spans="2:12" x14ac:dyDescent="0.45"/>
    <row r="2" spans="2:12" x14ac:dyDescent="0.45">
      <c r="B2" s="12" t="s">
        <v>0</v>
      </c>
      <c r="C2" s="12" t="s">
        <v>1</v>
      </c>
      <c r="D2" s="12"/>
      <c r="G2" s="12" t="s">
        <v>0</v>
      </c>
      <c r="H2" s="12" t="s">
        <v>18</v>
      </c>
    </row>
    <row r="3" spans="2:12" ht="4.95" customHeight="1" thickBot="1" x14ac:dyDescent="0.5"/>
    <row r="4" spans="2:12" ht="18.600000000000001" thickBot="1" x14ac:dyDescent="0.5">
      <c r="C4" s="9" t="s">
        <v>2</v>
      </c>
      <c r="D4" s="10" t="s">
        <v>3</v>
      </c>
      <c r="E4" s="11" t="s">
        <v>4</v>
      </c>
      <c r="H4" s="13" t="s">
        <v>22</v>
      </c>
      <c r="I4" s="25" t="s">
        <v>29</v>
      </c>
      <c r="K4" s="1" t="s">
        <v>23</v>
      </c>
      <c r="L4" s="6" t="s">
        <v>38</v>
      </c>
    </row>
    <row r="5" spans="2:12" ht="19.2" thickTop="1" thickBot="1" x14ac:dyDescent="0.5">
      <c r="C5" s="16" t="s">
        <v>7</v>
      </c>
      <c r="D5" s="17" t="s">
        <v>7</v>
      </c>
      <c r="E5" s="18"/>
      <c r="K5" s="14" t="s">
        <v>24</v>
      </c>
      <c r="L5" s="41" t="s">
        <v>40</v>
      </c>
    </row>
    <row r="6" spans="2:12" ht="18.600000000000001" thickBot="1" x14ac:dyDescent="0.5">
      <c r="C6" s="19"/>
      <c r="D6" s="20"/>
      <c r="E6" s="21"/>
      <c r="H6" s="43" t="s">
        <v>19</v>
      </c>
      <c r="I6" s="45" t="s">
        <v>36</v>
      </c>
      <c r="K6" s="15" t="s">
        <v>25</v>
      </c>
      <c r="L6" s="5"/>
    </row>
    <row r="7" spans="2:12" ht="18.600000000000001" thickBot="1" x14ac:dyDescent="0.5">
      <c r="C7" s="19"/>
      <c r="D7" s="20"/>
      <c r="E7" s="21"/>
      <c r="H7" s="44"/>
      <c r="I7" s="46"/>
    </row>
    <row r="8" spans="2:12" ht="18.600000000000001" thickBot="1" x14ac:dyDescent="0.5">
      <c r="C8" s="19"/>
      <c r="D8" s="20"/>
      <c r="E8" s="21"/>
      <c r="K8" s="1" t="s">
        <v>26</v>
      </c>
      <c r="L8" s="6" t="s">
        <v>39</v>
      </c>
    </row>
    <row r="9" spans="2:12" x14ac:dyDescent="0.45">
      <c r="C9" s="19" t="s">
        <v>37</v>
      </c>
      <c r="D9" s="20"/>
      <c r="E9" s="21"/>
      <c r="H9" s="43" t="s">
        <v>20</v>
      </c>
      <c r="I9" s="47" t="s">
        <v>41</v>
      </c>
      <c r="K9" s="14" t="s">
        <v>27</v>
      </c>
      <c r="L9" s="3"/>
    </row>
    <row r="10" spans="2:12" ht="18.600000000000001" thickBot="1" x14ac:dyDescent="0.5">
      <c r="C10" s="19"/>
      <c r="D10" s="20"/>
      <c r="E10" s="21"/>
      <c r="H10" s="49"/>
      <c r="I10" s="48"/>
      <c r="K10" s="15" t="s">
        <v>28</v>
      </c>
      <c r="L10" s="5"/>
    </row>
    <row r="11" spans="2:12" ht="18.600000000000001" thickBot="1" x14ac:dyDescent="0.5">
      <c r="C11" s="19"/>
      <c r="D11" s="20"/>
      <c r="E11" s="21"/>
      <c r="H11" s="49"/>
      <c r="I11" s="48"/>
    </row>
    <row r="12" spans="2:12" x14ac:dyDescent="0.45">
      <c r="C12" s="19"/>
      <c r="D12" s="20"/>
      <c r="E12" s="21"/>
      <c r="H12" s="49"/>
      <c r="I12" s="48"/>
      <c r="K12" s="1" t="s">
        <v>31</v>
      </c>
      <c r="L12" s="39">
        <f ca="1">TODAY()</f>
        <v>44958</v>
      </c>
    </row>
    <row r="13" spans="2:12" x14ac:dyDescent="0.45">
      <c r="C13" s="19"/>
      <c r="D13" s="20"/>
      <c r="E13" s="21"/>
      <c r="H13" s="49"/>
      <c r="I13" s="48"/>
      <c r="K13" s="14" t="s">
        <v>32</v>
      </c>
      <c r="L13" s="42">
        <v>2</v>
      </c>
    </row>
    <row r="14" spans="2:12" x14ac:dyDescent="0.45">
      <c r="C14" s="19"/>
      <c r="D14" s="20"/>
      <c r="E14" s="21"/>
      <c r="H14" s="49"/>
      <c r="I14" s="48"/>
      <c r="K14" s="14" t="s">
        <v>33</v>
      </c>
      <c r="L14" s="40">
        <v>44964</v>
      </c>
    </row>
    <row r="15" spans="2:12" x14ac:dyDescent="0.45">
      <c r="C15" s="19"/>
      <c r="D15" s="20"/>
      <c r="E15" s="21"/>
      <c r="H15" s="49"/>
      <c r="I15" s="48"/>
      <c r="K15" s="14" t="s">
        <v>34</v>
      </c>
      <c r="L15" s="3"/>
    </row>
    <row r="16" spans="2:12" ht="18.600000000000001" thickBot="1" x14ac:dyDescent="0.5">
      <c r="C16" s="19"/>
      <c r="D16" s="20"/>
      <c r="E16" s="21"/>
      <c r="H16" s="49"/>
      <c r="I16" s="48"/>
      <c r="K16" s="15" t="s">
        <v>35</v>
      </c>
      <c r="L16" s="5"/>
    </row>
    <row r="17" spans="3:11" x14ac:dyDescent="0.45">
      <c r="C17" s="19"/>
      <c r="D17" s="20"/>
      <c r="E17" s="21"/>
      <c r="H17" s="49"/>
      <c r="I17" s="48"/>
    </row>
    <row r="18" spans="3:11" x14ac:dyDescent="0.45">
      <c r="C18" s="19"/>
      <c r="D18" s="20"/>
      <c r="E18" s="21"/>
      <c r="H18" s="49"/>
      <c r="I18" s="48"/>
    </row>
    <row r="19" spans="3:11" x14ac:dyDescent="0.45">
      <c r="C19" s="19"/>
      <c r="D19" s="20"/>
      <c r="E19" s="21"/>
      <c r="H19" s="49"/>
      <c r="I19" s="48"/>
    </row>
    <row r="20" spans="3:11" x14ac:dyDescent="0.45">
      <c r="C20" s="19"/>
      <c r="D20" s="20"/>
      <c r="E20" s="21"/>
      <c r="H20" s="49"/>
      <c r="I20" s="48"/>
    </row>
    <row r="21" spans="3:11" x14ac:dyDescent="0.45">
      <c r="C21" s="19"/>
      <c r="D21" s="20"/>
      <c r="E21" s="21"/>
      <c r="H21" s="49"/>
      <c r="I21" s="48"/>
    </row>
    <row r="22" spans="3:11" x14ac:dyDescent="0.45">
      <c r="C22" s="19"/>
      <c r="D22" s="20"/>
      <c r="E22" s="21"/>
      <c r="H22" s="49"/>
      <c r="I22" s="48"/>
    </row>
    <row r="23" spans="3:11" x14ac:dyDescent="0.45">
      <c r="C23" s="19"/>
      <c r="D23" s="20"/>
      <c r="E23" s="21"/>
      <c r="H23" s="49"/>
      <c r="I23" s="48"/>
    </row>
    <row r="24" spans="3:11" x14ac:dyDescent="0.45">
      <c r="C24" s="19"/>
      <c r="D24" s="20"/>
      <c r="E24" s="21"/>
      <c r="H24" s="49"/>
      <c r="I24" s="48"/>
    </row>
    <row r="25" spans="3:11" x14ac:dyDescent="0.45">
      <c r="C25" s="19"/>
      <c r="D25" s="20"/>
      <c r="E25" s="21"/>
      <c r="H25" s="49"/>
      <c r="I25" s="48"/>
      <c r="K25" s="38"/>
    </row>
    <row r="26" spans="3:11" x14ac:dyDescent="0.45">
      <c r="C26" s="19"/>
      <c r="D26" s="20"/>
      <c r="E26" s="21"/>
      <c r="H26" s="49"/>
      <c r="I26" s="48"/>
    </row>
    <row r="27" spans="3:11" ht="18.600000000000001" thickBot="1" x14ac:dyDescent="0.5">
      <c r="C27" s="19"/>
      <c r="D27" s="20"/>
      <c r="E27" s="21"/>
      <c r="H27" s="44"/>
      <c r="I27" s="46"/>
    </row>
    <row r="28" spans="3:11" x14ac:dyDescent="0.45">
      <c r="C28" s="19"/>
      <c r="D28" s="20"/>
      <c r="E28" s="21"/>
    </row>
    <row r="29" spans="3:11" x14ac:dyDescent="0.45">
      <c r="C29" s="19"/>
      <c r="D29" s="20"/>
      <c r="E29" s="21"/>
    </row>
    <row r="30" spans="3:11" x14ac:dyDescent="0.45">
      <c r="C30" s="19"/>
      <c r="D30" s="20"/>
      <c r="E30" s="21"/>
    </row>
    <row r="31" spans="3:11" x14ac:dyDescent="0.45">
      <c r="C31" s="19"/>
      <c r="D31" s="20"/>
      <c r="E31" s="21"/>
    </row>
    <row r="32" spans="3:11" x14ac:dyDescent="0.45">
      <c r="C32" s="19"/>
      <c r="D32" s="20"/>
      <c r="E32" s="21"/>
    </row>
    <row r="33" spans="3:5" x14ac:dyDescent="0.45">
      <c r="C33" s="19"/>
      <c r="D33" s="20"/>
      <c r="E33" s="21"/>
    </row>
    <row r="34" spans="3:5" ht="18.600000000000001" thickBot="1" x14ac:dyDescent="0.5">
      <c r="C34" s="22"/>
      <c r="D34" s="23"/>
      <c r="E34" s="24"/>
    </row>
    <row r="35" spans="3:5" x14ac:dyDescent="0.45"/>
  </sheetData>
  <mergeCells count="4">
    <mergeCell ref="H6:H7"/>
    <mergeCell ref="I6:I7"/>
    <mergeCell ref="I9:I27"/>
    <mergeCell ref="H9:H27"/>
  </mergeCells>
  <phoneticPr fontId="1"/>
  <conditionalFormatting sqref="L5:L6">
    <cfRule type="expression" dxfId="0" priority="1">
      <formula>$I$4&lt;&gt;"HTML形式"</formula>
    </cfRule>
  </conditionalFormatting>
  <dataValidations count="1">
    <dataValidation type="list" allowBlank="1" showInputMessage="1" showErrorMessage="1" sqref="I4" xr:uid="{C27D6E85-BD32-43E5-A660-E9AF5A83BFB2}">
      <formula1>"HTML形式,リッチテキスト形式,テキスト形式"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C35664-82C8-47DD-A149-6771ED94DAD9}">
          <x14:formula1>
            <xm:f>OFFSET(メールアドレス!$C$5,0,0,COUNTA(メールアドレス!$C$5:$C$34),)</xm:f>
          </x14:formula1>
          <xm:sqref>C5:E34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D469-88F6-4214-8AD1-4B491E4E7423}">
  <sheetPr codeName="shtIntAddress"/>
  <dimension ref="A1:O35"/>
  <sheetViews>
    <sheetView showGridLines="0" workbookViewId="0">
      <selection sqref="A1:E13"/>
    </sheetView>
  </sheetViews>
  <sheetFormatPr defaultColWidth="0" defaultRowHeight="18" zeroHeight="1" x14ac:dyDescent="0.45"/>
  <cols>
    <col min="1" max="2" width="2.69921875" customWidth="1"/>
    <col min="3" max="3" width="15.69921875" customWidth="1"/>
    <col min="4" max="4" width="60.69921875" customWidth="1"/>
    <col min="5" max="5" width="2.69921875" customWidth="1"/>
    <col min="6" max="6" width="2.69921875" hidden="1" customWidth="1"/>
    <col min="7" max="7" width="15.69921875" hidden="1" customWidth="1"/>
    <col min="8" max="8" width="27.69921875" hidden="1" customWidth="1"/>
    <col min="9" max="10" width="4.796875" hidden="1" customWidth="1"/>
    <col min="11" max="13" width="15.69921875" hidden="1" customWidth="1"/>
    <col min="14" max="15" width="2.69921875" hidden="1" customWidth="1"/>
    <col min="16" max="16384" width="8.796875" hidden="1"/>
  </cols>
  <sheetData>
    <row r="1" spans="2:13" x14ac:dyDescent="0.45"/>
    <row r="2" spans="2:13" x14ac:dyDescent="0.45">
      <c r="B2" s="12" t="s">
        <v>0</v>
      </c>
      <c r="C2" s="12" t="s">
        <v>30</v>
      </c>
      <c r="D2" s="12"/>
    </row>
    <row r="3" spans="2:13" ht="4.95" customHeight="1" thickBot="1" x14ac:dyDescent="0.5"/>
    <row r="4" spans="2:13" ht="18" customHeight="1" thickBot="1" x14ac:dyDescent="0.5">
      <c r="C4" s="9" t="s">
        <v>6</v>
      </c>
      <c r="D4" s="11" t="s">
        <v>5</v>
      </c>
      <c r="G4" s="1" t="s">
        <v>2</v>
      </c>
      <c r="H4" s="35" t="str">
        <f>CONCATENATE(K5,K6,K7,K8,K9,K10,K11,K12,K13,K14,K15,K16,K17,K18,K19,K20,K21,K22,K23,K24,K25,K26,K27,K28,K29,K30,K31,K32,K33,K34,)</f>
        <v>ccc.gmail.com,eee.gmail.com</v>
      </c>
      <c r="K4" s="9" t="s">
        <v>2</v>
      </c>
      <c r="L4" s="10" t="s">
        <v>3</v>
      </c>
      <c r="M4" s="11" t="s">
        <v>4</v>
      </c>
    </row>
    <row r="5" spans="2:13" ht="18.600000000000001" thickTop="1" x14ac:dyDescent="0.45">
      <c r="C5" s="7" t="s">
        <v>11</v>
      </c>
      <c r="D5" s="8" t="s">
        <v>13</v>
      </c>
      <c r="G5" s="14" t="s">
        <v>3</v>
      </c>
      <c r="H5" s="36" t="str">
        <f>CONCATENATE(L5,L6,L7,L8,L9,L10,L11,L12,L13,L14,L15,L16,L17,L18,L19,L20,L21,L22,L23,L24,L25,L26,L27,L28,L29,L30,L31,L32,L33,L34,)</f>
        <v>ccc.gmail.com</v>
      </c>
      <c r="K5" s="26" t="str" cm="1">
        <f t="array" ref="K5">IFERROR(INDEX($D$5:$D$34,MATCH(宛先!C5,メールアドレス!$C$5:$C$34,0),)&amp;IF(COUNTBLANK(K6:$K$34)=34-ROW(),"",","),"")</f>
        <v>ccc.gmail.com,</v>
      </c>
      <c r="L5" s="27" t="str" cm="1">
        <f t="array" ref="L5">IFERROR(INDEX($D$5:$D$34,MATCH(宛先!D5,メールアドレス!$C$5:$C$34,0),)&amp;IF(COUNTBLANK($L6:L$34)=34-ROW(),"",","),"")</f>
        <v>ccc.gmail.com</v>
      </c>
      <c r="M5" s="28" t="str" cm="1">
        <f t="array" ref="M5">IFERROR(INDEX($D$5:$D$34,MATCH(宛先!E5,メールアドレス!$C$5:$C$34,0),)&amp;IF(COUNTBLANK($M6:M$34)=34-ROW(),"",","),"")</f>
        <v/>
      </c>
    </row>
    <row r="6" spans="2:13" ht="18.600000000000001" thickBot="1" x14ac:dyDescent="0.5">
      <c r="C6" s="2" t="s">
        <v>12</v>
      </c>
      <c r="D6" s="3" t="s">
        <v>14</v>
      </c>
      <c r="G6" s="15" t="s">
        <v>4</v>
      </c>
      <c r="H6" s="37" t="str">
        <f>CONCATENATE(M5,M6,M7,M8,M9,M10,M11,M12,M13,M14,M15,M16,M17,M18,M19,M20,M21,M22,M23,M24,M25,M26,M27,M28,M29,M30,M31,M32,M33,M34,)</f>
        <v/>
      </c>
      <c r="K6" s="26" t="str" cm="1">
        <f t="array" ref="K6">IFERROR(INDEX($D$5:$D$34,MATCH(宛先!C6,メールアドレス!$C$5:$C$34,0),)&amp;IF(COUNTBLANK(K7:$K$34)=34-ROW(),"",","),"")</f>
        <v/>
      </c>
      <c r="L6" s="30" t="str" cm="1">
        <f t="array" ref="L6">IFERROR(INDEX($D$5:$D$34,MATCH(宛先!D6,メールアドレス!$C$5:$C$34,0),)&amp;IF(COUNTBLANK($L7:L$34)=34-ROW(),"",","),"")</f>
        <v/>
      </c>
      <c r="M6" s="31" t="str" cm="1">
        <f t="array" ref="M6">IFERROR(INDEX($D$5:$D$34,MATCH(宛先!E6,メールアドレス!$C$5:$C$34,0),)&amp;IF(COUNTBLANK($M7:M$34)=34-ROW(),"",","),"")</f>
        <v/>
      </c>
    </row>
    <row r="7" spans="2:13" x14ac:dyDescent="0.45">
      <c r="C7" s="2" t="s">
        <v>8</v>
      </c>
      <c r="D7" s="3" t="s">
        <v>15</v>
      </c>
      <c r="K7" s="26" t="str" cm="1">
        <f t="array" ref="K7">IFERROR(INDEX($D$5:$D$34,MATCH(宛先!C7,メールアドレス!$C$5:$C$34,0),)&amp;IF(COUNTBLANK(K8:$K$34)=34-ROW(),"",","),"")</f>
        <v/>
      </c>
      <c r="L7" s="30" t="str" cm="1">
        <f t="array" ref="L7">IFERROR(INDEX($D$5:$D$34,MATCH(宛先!D7,メールアドレス!$C$5:$C$34,0),)&amp;IF(COUNTBLANK($L8:L$34)=34-ROW(),"",","),"")</f>
        <v/>
      </c>
      <c r="M7" s="31" t="str" cm="1">
        <f t="array" ref="M7">IFERROR(INDEX($D$5:$D$34,MATCH(宛先!E7,メールアドレス!$C$5:$C$34,0),)&amp;IF(COUNTBLANK($M8:M$34)=34-ROW(),"",","),"")</f>
        <v/>
      </c>
    </row>
    <row r="8" spans="2:13" x14ac:dyDescent="0.45">
      <c r="C8" s="2" t="s">
        <v>9</v>
      </c>
      <c r="D8" s="3" t="s">
        <v>16</v>
      </c>
      <c r="K8" s="26" t="str" cm="1">
        <f t="array" ref="K8">IFERROR(INDEX($D$5:$D$34,MATCH(宛先!C8,メールアドレス!$C$5:$C$34,0),)&amp;IF(COUNTBLANK(K9:$K$34)=34-ROW(),"",","),"")</f>
        <v/>
      </c>
      <c r="L8" s="30" t="str" cm="1">
        <f t="array" ref="L8">IFERROR(INDEX($D$5:$D$34,MATCH(宛先!D8,メールアドレス!$C$5:$C$34,0),)&amp;IF(COUNTBLANK($L9:L$34)=34-ROW(),"",","),"")</f>
        <v/>
      </c>
      <c r="M8" s="31" t="str" cm="1">
        <f t="array" ref="M8">IFERROR(INDEX($D$5:$D$34,MATCH(宛先!E8,メールアドレス!$C$5:$C$34,0),)&amp;IF(COUNTBLANK($M9:M$34)=34-ROW(),"",","),"")</f>
        <v/>
      </c>
    </row>
    <row r="9" spans="2:13" x14ac:dyDescent="0.45">
      <c r="C9" s="2" t="s">
        <v>10</v>
      </c>
      <c r="D9" s="3" t="s">
        <v>17</v>
      </c>
      <c r="K9" s="26" t="str" cm="1">
        <f t="array" ref="K9">IFERROR(INDEX($D$5:$D$34,MATCH(宛先!C9,メールアドレス!$C$5:$C$34,0),)&amp;IF(COUNTBLANK(K10:$K$34)=34-ROW(),"",","),"")</f>
        <v>eee.gmail.com</v>
      </c>
      <c r="L9" s="30" t="str" cm="1">
        <f t="array" ref="L9">IFERROR(INDEX($D$5:$D$34,MATCH(宛先!D9,メールアドレス!$C$5:$C$34,0),)&amp;IF(COUNTBLANK($L10:L$34)=34-ROW(),"",","),"")</f>
        <v/>
      </c>
      <c r="M9" s="31" t="str" cm="1">
        <f t="array" ref="M9">IFERROR(INDEX($D$5:$D$34,MATCH(宛先!E9,メールアドレス!$C$5:$C$34,0),)&amp;IF(COUNTBLANK($M10:M$34)=34-ROW(),"",","),"")</f>
        <v/>
      </c>
    </row>
    <row r="10" spans="2:13" x14ac:dyDescent="0.45">
      <c r="C10" s="2" t="s">
        <v>21</v>
      </c>
      <c r="D10" s="3"/>
      <c r="K10" s="26" t="str" cm="1">
        <f t="array" ref="K10">IFERROR(INDEX($D$5:$D$34,MATCH(宛先!C10,メールアドレス!$C$5:$C$34,0),)&amp;IF(COUNTBLANK(K11:$K$34)=34-ROW(),"",","),"")</f>
        <v/>
      </c>
      <c r="L10" s="30" t="str" cm="1">
        <f t="array" ref="L10">IFERROR(INDEX($D$5:$D$34,MATCH(宛先!D10,メールアドレス!$C$5:$C$34,0),)&amp;IF(COUNTBLANK($L11:L$34)=34-ROW(),"",","),"")</f>
        <v/>
      </c>
      <c r="M10" s="31" t="str" cm="1">
        <f t="array" ref="M10">IFERROR(INDEX($D$5:$D$34,MATCH(宛先!E10,メールアドレス!$C$5:$C$34,0),)&amp;IF(COUNTBLANK($M11:M$34)=34-ROW(),"",","),"")</f>
        <v/>
      </c>
    </row>
    <row r="11" spans="2:13" x14ac:dyDescent="0.45">
      <c r="C11" s="2"/>
      <c r="D11" s="3"/>
      <c r="K11" s="26" t="str" cm="1">
        <f t="array" ref="K11">IFERROR(INDEX($D$5:$D$34,MATCH(宛先!C11,メールアドレス!$C$5:$C$34,0),)&amp;IF(COUNTBLANK(K12:$K$34)=34-ROW(),"",","),"")</f>
        <v/>
      </c>
      <c r="L11" s="30" t="str" cm="1">
        <f t="array" ref="L11">IFERROR(INDEX($D$5:$D$34,MATCH(宛先!D11,メールアドレス!$C$5:$C$34,0),)&amp;IF(COUNTBLANK($L12:L$34)=34-ROW(),"",","),"")</f>
        <v/>
      </c>
      <c r="M11" s="31" t="str" cm="1">
        <f t="array" ref="M11">IFERROR(INDEX($D$5:$D$34,MATCH(宛先!E11,メールアドレス!$C$5:$C$34,0),)&amp;IF(COUNTBLANK($M12:M$34)=34-ROW(),"",","),"")</f>
        <v/>
      </c>
    </row>
    <row r="12" spans="2:13" x14ac:dyDescent="0.45">
      <c r="C12" s="2"/>
      <c r="D12" s="3"/>
      <c r="K12" s="26" t="str" cm="1">
        <f t="array" ref="K12">IFERROR(INDEX($D$5:$D$34,MATCH(宛先!C12,メールアドレス!$C$5:$C$34,0),)&amp;IF(COUNTBLANK(K13:$K$34)=34-ROW(),"",","),"")</f>
        <v/>
      </c>
      <c r="L12" s="30" t="str" cm="1">
        <f t="array" ref="L12">IFERROR(INDEX($D$5:$D$34,MATCH(宛先!D12,メールアドレス!$C$5:$C$34,0),)&amp;IF(COUNTBLANK($L13:L$34)=34-ROW(),"",","),"")</f>
        <v/>
      </c>
      <c r="M12" s="31" t="str" cm="1">
        <f t="array" ref="M12">IFERROR(INDEX($D$5:$D$34,MATCH(宛先!E12,メールアドレス!$C$5:$C$34,0),)&amp;IF(COUNTBLANK($M13:M$34)=34-ROW(),"",","),"")</f>
        <v/>
      </c>
    </row>
    <row r="13" spans="2:13" x14ac:dyDescent="0.45">
      <c r="C13" s="2"/>
      <c r="D13" s="3"/>
      <c r="K13" s="26" t="str" cm="1">
        <f t="array" ref="K13">IFERROR(INDEX($D$5:$D$34,MATCH(宛先!C13,メールアドレス!$C$5:$C$34,0),)&amp;IF(COUNTBLANK(K14:$K$34)=34-ROW(),"",","),"")</f>
        <v/>
      </c>
      <c r="L13" s="30" t="str" cm="1">
        <f t="array" ref="L13">IFERROR(INDEX($D$5:$D$34,MATCH(宛先!D13,メールアドレス!$C$5:$C$34,0),)&amp;IF(COUNTBLANK($L14:L$34)=34-ROW(),"",","),"")</f>
        <v/>
      </c>
      <c r="M13" s="31" t="str" cm="1">
        <f t="array" ref="M13">IFERROR(INDEX($D$5:$D$34,MATCH(宛先!E13,メールアドレス!$C$5:$C$34,0),)&amp;IF(COUNTBLANK($M14:M$34)=34-ROW(),"",","),"")</f>
        <v/>
      </c>
    </row>
    <row r="14" spans="2:13" x14ac:dyDescent="0.45">
      <c r="C14" s="2"/>
      <c r="D14" s="3"/>
      <c r="K14" s="26" t="str" cm="1">
        <f t="array" ref="K14">IFERROR(INDEX($D$5:$D$34,MATCH(宛先!C14,メールアドレス!$C$5:$C$34,0),)&amp;IF(COUNTBLANK(K15:$K$34)=34-ROW(),"",","),"")</f>
        <v/>
      </c>
      <c r="L14" s="30" t="str" cm="1">
        <f t="array" ref="L14">IFERROR(INDEX($D$5:$D$34,MATCH(宛先!D14,メールアドレス!$C$5:$C$34,0),)&amp;IF(COUNTBLANK($L15:L$34)=34-ROW(),"",","),"")</f>
        <v/>
      </c>
      <c r="M14" s="31" t="str" cm="1">
        <f t="array" ref="M14">IFERROR(INDEX($D$5:$D$34,MATCH(宛先!E14,メールアドレス!$C$5:$C$34,0),)&amp;IF(COUNTBLANK($M15:M$34)=34-ROW(),"",","),"")</f>
        <v/>
      </c>
    </row>
    <row r="15" spans="2:13" x14ac:dyDescent="0.45">
      <c r="C15" s="2"/>
      <c r="D15" s="3"/>
      <c r="K15" s="26" t="str" cm="1">
        <f t="array" ref="K15">IFERROR(INDEX($D$5:$D$34,MATCH(宛先!C15,メールアドレス!$C$5:$C$34,0),)&amp;IF(COUNTBLANK(K16:$K$34)=34-ROW(),"",","),"")</f>
        <v/>
      </c>
      <c r="L15" s="30" t="str" cm="1">
        <f t="array" ref="L15">IFERROR(INDEX($D$5:$D$34,MATCH(宛先!D15,メールアドレス!$C$5:$C$34,0),)&amp;IF(COUNTBLANK($L16:L$34)=34-ROW(),"",","),"")</f>
        <v/>
      </c>
      <c r="M15" s="31" t="str" cm="1">
        <f t="array" ref="M15">IFERROR(INDEX($D$5:$D$34,MATCH(宛先!E15,メールアドレス!$C$5:$C$34,0),)&amp;IF(COUNTBLANK($M16:M$34)=34-ROW(),"",","),"")</f>
        <v/>
      </c>
    </row>
    <row r="16" spans="2:13" x14ac:dyDescent="0.45">
      <c r="C16" s="2"/>
      <c r="D16" s="3"/>
      <c r="K16" s="26" t="str" cm="1">
        <f t="array" ref="K16">IFERROR(INDEX($D$5:$D$34,MATCH(宛先!C16,メールアドレス!$C$5:$C$34,0),)&amp;IF(COUNTBLANK(K17:$K$34)=34-ROW(),"",","),"")</f>
        <v/>
      </c>
      <c r="L16" s="30" t="str" cm="1">
        <f t="array" ref="L16">IFERROR(INDEX($D$5:$D$34,MATCH(宛先!D16,メールアドレス!$C$5:$C$34,0),)&amp;IF(COUNTBLANK($L17:L$34)=34-ROW(),"",","),"")</f>
        <v/>
      </c>
      <c r="M16" s="31" t="str" cm="1">
        <f t="array" ref="M16">IFERROR(INDEX($D$5:$D$34,MATCH(宛先!E16,メールアドレス!$C$5:$C$34,0),)&amp;IF(COUNTBLANK($M17:M$34)=34-ROW(),"",","),"")</f>
        <v/>
      </c>
    </row>
    <row r="17" spans="3:13" x14ac:dyDescent="0.45">
      <c r="C17" s="2"/>
      <c r="D17" s="3"/>
      <c r="K17" s="29" t="str" cm="1">
        <f t="array" ref="K17">IFERROR(INDEX($D$5:$D$34,MATCH(宛先!C17,メールアドレス!$C$5:$C$34,0),)&amp;IF(COUNTBLANK(K18:$K$34)=34-ROW(),"",","),"")</f>
        <v/>
      </c>
      <c r="L17" s="30" t="str" cm="1">
        <f t="array" ref="L17">IFERROR(INDEX($D$5:$D$34,MATCH(宛先!D17,メールアドレス!$C$5:$C$34,0),)&amp;IF(COUNTBLANK($L18:L$34)=34-ROW(),"",","),"")</f>
        <v/>
      </c>
      <c r="M17" s="31" t="str" cm="1">
        <f t="array" ref="M17">IFERROR(INDEX($D$5:$D$34,MATCH(宛先!E17,メールアドレス!$C$5:$C$34,0),)&amp;IF(COUNTBLANK($M18:M$34)=34-ROW(),"",","),"")</f>
        <v/>
      </c>
    </row>
    <row r="18" spans="3:13" x14ac:dyDescent="0.45">
      <c r="C18" s="2"/>
      <c r="D18" s="3"/>
      <c r="K18" s="29" t="str" cm="1">
        <f t="array" ref="K18">IFERROR(INDEX($D$5:$D$34,MATCH(宛先!C18,メールアドレス!$C$5:$C$34,0),)&amp;IF(COUNTBLANK(K19:$K$34)=34-ROW(),"",","),"")</f>
        <v/>
      </c>
      <c r="L18" s="30" t="str" cm="1">
        <f t="array" ref="L18">IFERROR(INDEX($D$5:$D$34,MATCH(宛先!D18,メールアドレス!$C$5:$C$34,0),)&amp;IF(COUNTBLANK($L19:L$34)=34-ROW(),"",","),"")</f>
        <v/>
      </c>
      <c r="M18" s="31" t="str" cm="1">
        <f t="array" ref="M18">IFERROR(INDEX($D$5:$D$34,MATCH(宛先!E18,メールアドレス!$C$5:$C$34,0),)&amp;IF(COUNTBLANK($M19:M$34)=34-ROW(),"",","),"")</f>
        <v/>
      </c>
    </row>
    <row r="19" spans="3:13" x14ac:dyDescent="0.45">
      <c r="C19" s="2"/>
      <c r="D19" s="3"/>
      <c r="K19" s="29" t="str" cm="1">
        <f t="array" ref="K19">IFERROR(INDEX($D$5:$D$34,MATCH(宛先!C19,メールアドレス!$C$5:$C$34,0),)&amp;IF(COUNTBLANK(K20:$K$34)=34-ROW(),"",","),"")</f>
        <v/>
      </c>
      <c r="L19" s="30" t="str" cm="1">
        <f t="array" ref="L19">IFERROR(INDEX($D$5:$D$34,MATCH(宛先!D19,メールアドレス!$C$5:$C$34,0),)&amp;IF(COUNTBLANK($L20:L$34)=34-ROW(),"",","),"")</f>
        <v/>
      </c>
      <c r="M19" s="31" t="str" cm="1">
        <f t="array" ref="M19">IFERROR(INDEX($D$5:$D$34,MATCH(宛先!E19,メールアドレス!$C$5:$C$34,0),)&amp;IF(COUNTBLANK($M20:M$34)=34-ROW(),"",","),"")</f>
        <v/>
      </c>
    </row>
    <row r="20" spans="3:13" x14ac:dyDescent="0.45">
      <c r="C20" s="2"/>
      <c r="D20" s="3"/>
      <c r="K20" s="29" t="str" cm="1">
        <f t="array" ref="K20">IFERROR(INDEX($D$5:$D$34,MATCH(宛先!C20,メールアドレス!$C$5:$C$34,0),)&amp;IF(COUNTBLANK(K21:$K$34)=34-ROW(),"",","),"")</f>
        <v/>
      </c>
      <c r="L20" s="30" t="str" cm="1">
        <f t="array" ref="L20">IFERROR(INDEX($D$5:$D$34,MATCH(宛先!D20,メールアドレス!$C$5:$C$34,0),)&amp;IF(COUNTBLANK($L21:L$34)=34-ROW(),"",","),"")</f>
        <v/>
      </c>
      <c r="M20" s="31" t="str" cm="1">
        <f t="array" ref="M20">IFERROR(INDEX($D$5:$D$34,MATCH(宛先!E20,メールアドレス!$C$5:$C$34,0),)&amp;IF(COUNTBLANK($M21:M$34)=34-ROW(),"",","),"")</f>
        <v/>
      </c>
    </row>
    <row r="21" spans="3:13" x14ac:dyDescent="0.45">
      <c r="C21" s="2"/>
      <c r="D21" s="3"/>
      <c r="K21" s="29" t="str" cm="1">
        <f t="array" ref="K21">IFERROR(INDEX($D$5:$D$34,MATCH(宛先!C21,メールアドレス!$C$5:$C$34,0),)&amp;IF(COUNTBLANK(K22:$K$34)=34-ROW(),"",","),"")</f>
        <v/>
      </c>
      <c r="L21" s="30" t="str" cm="1">
        <f t="array" ref="L21">IFERROR(INDEX($D$5:$D$34,MATCH(宛先!D21,メールアドレス!$C$5:$C$34,0),)&amp;IF(COUNTBLANK($L22:L$34)=34-ROW(),"",","),"")</f>
        <v/>
      </c>
      <c r="M21" s="31" t="str" cm="1">
        <f t="array" ref="M21">IFERROR(INDEX($D$5:$D$34,MATCH(宛先!E21,メールアドレス!$C$5:$C$34,0),)&amp;IF(COUNTBLANK($M22:M$34)=34-ROW(),"",","),"")</f>
        <v/>
      </c>
    </row>
    <row r="22" spans="3:13" x14ac:dyDescent="0.45">
      <c r="C22" s="2"/>
      <c r="D22" s="3"/>
      <c r="K22" s="29" t="str" cm="1">
        <f t="array" ref="K22">IFERROR(INDEX($D$5:$D$34,MATCH(宛先!C22,メールアドレス!$C$5:$C$34,0),)&amp;IF(COUNTBLANK(K23:$K$34)=34-ROW(),"",","),"")</f>
        <v/>
      </c>
      <c r="L22" s="30" t="str" cm="1">
        <f t="array" ref="L22">IFERROR(INDEX($D$5:$D$34,MATCH(宛先!D22,メールアドレス!$C$5:$C$34,0),)&amp;IF(COUNTBLANK($L23:L$34)=34-ROW(),"",","),"")</f>
        <v/>
      </c>
      <c r="M22" s="31" t="str" cm="1">
        <f t="array" ref="M22">IFERROR(INDEX($D$5:$D$34,MATCH(宛先!E22,メールアドレス!$C$5:$C$34,0),)&amp;IF(COUNTBLANK($M23:M$34)=34-ROW(),"",","),"")</f>
        <v/>
      </c>
    </row>
    <row r="23" spans="3:13" x14ac:dyDescent="0.45">
      <c r="C23" s="2"/>
      <c r="D23" s="3"/>
      <c r="K23" s="29" t="str" cm="1">
        <f t="array" ref="K23">IFERROR(INDEX($D$5:$D$34,MATCH(宛先!C23,メールアドレス!$C$5:$C$34,0),)&amp;IF(COUNTBLANK(K24:$K$34)=34-ROW(),"",","),"")</f>
        <v/>
      </c>
      <c r="L23" s="30" t="str" cm="1">
        <f t="array" ref="L23">IFERROR(INDEX($D$5:$D$34,MATCH(宛先!D23,メールアドレス!$C$5:$C$34,0),)&amp;IF(COUNTBLANK($L24:L$34)=34-ROW(),"",","),"")</f>
        <v/>
      </c>
      <c r="M23" s="31" t="str" cm="1">
        <f t="array" ref="M23">IFERROR(INDEX($D$5:$D$34,MATCH(宛先!E23,メールアドレス!$C$5:$C$34,0),)&amp;IF(COUNTBLANK($M24:M$34)=34-ROW(),"",","),"")</f>
        <v/>
      </c>
    </row>
    <row r="24" spans="3:13" x14ac:dyDescent="0.45">
      <c r="C24" s="2"/>
      <c r="D24" s="3"/>
      <c r="K24" s="29" t="str" cm="1">
        <f t="array" ref="K24">IFERROR(INDEX($D$5:$D$34,MATCH(宛先!C24,メールアドレス!$C$5:$C$34,0),)&amp;IF(COUNTBLANK(K25:$K$34)=34-ROW(),"",","),"")</f>
        <v/>
      </c>
      <c r="L24" s="30" t="str" cm="1">
        <f t="array" ref="L24">IFERROR(INDEX($D$5:$D$34,MATCH(宛先!D24,メールアドレス!$C$5:$C$34,0),)&amp;IF(COUNTBLANK($L25:L$34)=34-ROW(),"",","),"")</f>
        <v/>
      </c>
      <c r="M24" s="31" t="str" cm="1">
        <f t="array" ref="M24">IFERROR(INDEX($D$5:$D$34,MATCH(宛先!E24,メールアドレス!$C$5:$C$34,0),)&amp;IF(COUNTBLANK($M25:M$34)=34-ROW(),"",","),"")</f>
        <v/>
      </c>
    </row>
    <row r="25" spans="3:13" x14ac:dyDescent="0.45">
      <c r="C25" s="2"/>
      <c r="D25" s="3"/>
      <c r="K25" s="29" t="str" cm="1">
        <f t="array" ref="K25">IFERROR(INDEX($D$5:$D$34,MATCH(宛先!C25,メールアドレス!$C$5:$C$34,0),)&amp;IF(COUNTBLANK(K26:$K$34)=34-ROW(),"",","),"")</f>
        <v/>
      </c>
      <c r="L25" s="30" t="str" cm="1">
        <f t="array" ref="L25">IFERROR(INDEX($D$5:$D$34,MATCH(宛先!D25,メールアドレス!$C$5:$C$34,0),)&amp;IF(COUNTBLANK($L26:L$34)=34-ROW(),"",","),"")</f>
        <v/>
      </c>
      <c r="M25" s="31" t="str" cm="1">
        <f t="array" ref="M25">IFERROR(INDEX($D$5:$D$34,MATCH(宛先!E25,メールアドレス!$C$5:$C$34,0),)&amp;IF(COUNTBLANK($M26:M$34)=34-ROW(),"",","),"")</f>
        <v/>
      </c>
    </row>
    <row r="26" spans="3:13" x14ac:dyDescent="0.45">
      <c r="C26" s="2"/>
      <c r="D26" s="3"/>
      <c r="K26" s="29" t="str" cm="1">
        <f t="array" ref="K26">IFERROR(INDEX($D$5:$D$34,MATCH(宛先!C26,メールアドレス!$C$5:$C$34,0),)&amp;IF(COUNTBLANK(K27:$K$34)=34-ROW(),"",","),"")</f>
        <v/>
      </c>
      <c r="L26" s="30" t="str" cm="1">
        <f t="array" ref="L26">IFERROR(INDEX($D$5:$D$34,MATCH(宛先!D26,メールアドレス!$C$5:$C$34,0),)&amp;IF(COUNTBLANK($L27:L$34)=34-ROW(),"",","),"")</f>
        <v/>
      </c>
      <c r="M26" s="31" t="str" cm="1">
        <f t="array" ref="M26">IFERROR(INDEX($D$5:$D$34,MATCH(宛先!E26,メールアドレス!$C$5:$C$34,0),)&amp;IF(COUNTBLANK($M27:M$34)=34-ROW(),"",","),"")</f>
        <v/>
      </c>
    </row>
    <row r="27" spans="3:13" x14ac:dyDescent="0.45">
      <c r="C27" s="2"/>
      <c r="D27" s="3"/>
      <c r="K27" s="29" t="str" cm="1">
        <f t="array" ref="K27">IFERROR(INDEX($D$5:$D$34,MATCH(宛先!C27,メールアドレス!$C$5:$C$34,0),)&amp;IF(COUNTBLANK(K28:$K$34)=34-ROW(),"",","),"")</f>
        <v/>
      </c>
      <c r="L27" s="30" t="str" cm="1">
        <f t="array" ref="L27">IFERROR(INDEX($D$5:$D$34,MATCH(宛先!D27,メールアドレス!$C$5:$C$34,0),)&amp;IF(COUNTBLANK($L28:L$34)=34-ROW(),"",","),"")</f>
        <v/>
      </c>
      <c r="M27" s="31" t="str" cm="1">
        <f t="array" ref="M27">IFERROR(INDEX($D$5:$D$34,MATCH(宛先!E27,メールアドレス!$C$5:$C$34,0),)&amp;IF(COUNTBLANK($M28:M$34)=34-ROW(),"",","),"")</f>
        <v/>
      </c>
    </row>
    <row r="28" spans="3:13" x14ac:dyDescent="0.45">
      <c r="C28" s="2"/>
      <c r="D28" s="3"/>
      <c r="K28" s="29" t="str" cm="1">
        <f t="array" ref="K28">IFERROR(INDEX($D$5:$D$34,MATCH(宛先!C28,メールアドレス!$C$5:$C$34,0),)&amp;IF(COUNTBLANK(K29:$K$34)=34-ROW(),"",","),"")</f>
        <v/>
      </c>
      <c r="L28" s="30" t="str" cm="1">
        <f t="array" ref="L28">IFERROR(INDEX($D$5:$D$34,MATCH(宛先!D28,メールアドレス!$C$5:$C$34,0),)&amp;IF(COUNTBLANK($L29:L$34)=34-ROW(),"",","),"")</f>
        <v/>
      </c>
      <c r="M28" s="31" t="str" cm="1">
        <f t="array" ref="M28">IFERROR(INDEX($D$5:$D$34,MATCH(宛先!E28,メールアドレス!$C$5:$C$34,0),)&amp;IF(COUNTBLANK($M29:M$34)=34-ROW(),"",","),"")</f>
        <v/>
      </c>
    </row>
    <row r="29" spans="3:13" x14ac:dyDescent="0.45">
      <c r="C29" s="2"/>
      <c r="D29" s="3"/>
      <c r="K29" s="29" t="str" cm="1">
        <f t="array" ref="K29">IFERROR(INDEX($D$5:$D$34,MATCH(宛先!C29,メールアドレス!$C$5:$C$34,0),)&amp;IF(COUNTBLANK(K30:$K$34)=34-ROW(),"",","),"")</f>
        <v/>
      </c>
      <c r="L29" s="30" t="str" cm="1">
        <f t="array" ref="L29">IFERROR(INDEX($D$5:$D$34,MATCH(宛先!D29,メールアドレス!$C$5:$C$34,0),)&amp;IF(COUNTBLANK($L30:L$34)=34-ROW(),"",","),"")</f>
        <v/>
      </c>
      <c r="M29" s="31" t="str" cm="1">
        <f t="array" ref="M29">IFERROR(INDEX($D$5:$D$34,MATCH(宛先!E29,メールアドレス!$C$5:$C$34,0),)&amp;IF(COUNTBLANK($M30:M$34)=34-ROW(),"",","),"")</f>
        <v/>
      </c>
    </row>
    <row r="30" spans="3:13" x14ac:dyDescent="0.45">
      <c r="C30" s="2"/>
      <c r="D30" s="3"/>
      <c r="K30" s="29" t="str" cm="1">
        <f t="array" ref="K30">IFERROR(INDEX($D$5:$D$34,MATCH(宛先!C30,メールアドレス!$C$5:$C$34,0),)&amp;IF(COUNTBLANK(K31:$K$34)=34-ROW(),"",","),"")</f>
        <v/>
      </c>
      <c r="L30" s="30" t="str" cm="1">
        <f t="array" ref="L30">IFERROR(INDEX($D$5:$D$34,MATCH(宛先!D30,メールアドレス!$C$5:$C$34,0),)&amp;IF(COUNTBLANK($L31:L$34)=34-ROW(),"",","),"")</f>
        <v/>
      </c>
      <c r="M30" s="31" t="str" cm="1">
        <f t="array" ref="M30">IFERROR(INDEX($D$5:$D$34,MATCH(宛先!E30,メールアドレス!$C$5:$C$34,0),)&amp;IF(COUNTBLANK($M31:M$34)=34-ROW(),"",","),"")</f>
        <v/>
      </c>
    </row>
    <row r="31" spans="3:13" x14ac:dyDescent="0.45">
      <c r="C31" s="2"/>
      <c r="D31" s="3"/>
      <c r="K31" s="29" t="str" cm="1">
        <f t="array" ref="K31">IFERROR(INDEX($D$5:$D$34,MATCH(宛先!C31,メールアドレス!$C$5:$C$34,0),)&amp;IF(COUNTBLANK(K32:$K$34)=34-ROW(),"",","),"")</f>
        <v/>
      </c>
      <c r="L31" s="30" t="str" cm="1">
        <f t="array" ref="L31">IFERROR(INDEX($D$5:$D$34,MATCH(宛先!D31,メールアドレス!$C$5:$C$34,0),)&amp;IF(COUNTBLANK($L32:L$34)=34-ROW(),"",","),"")</f>
        <v/>
      </c>
      <c r="M31" s="31" t="str" cm="1">
        <f t="array" ref="M31">IFERROR(INDEX($D$5:$D$34,MATCH(宛先!E31,メールアドレス!$C$5:$C$34,0),)&amp;IF(COUNTBLANK($M32:M$34)=34-ROW(),"",","),"")</f>
        <v/>
      </c>
    </row>
    <row r="32" spans="3:13" x14ac:dyDescent="0.45">
      <c r="C32" s="2"/>
      <c r="D32" s="3"/>
      <c r="K32" s="29" t="str" cm="1">
        <f t="array" ref="K32">IFERROR(INDEX($D$5:$D$34,MATCH(宛先!C32,メールアドレス!$C$5:$C$34,0),)&amp;IF(COUNTBLANK(K33:$K$34)=34-ROW(),"",","),"")</f>
        <v/>
      </c>
      <c r="L32" s="30" t="str" cm="1">
        <f t="array" ref="L32">IFERROR(INDEX($D$5:$D$34,MATCH(宛先!D32,メールアドレス!$C$5:$C$34,0),)&amp;IF(COUNTBLANK($L33:L$34)=34-ROW(),"",","),"")</f>
        <v/>
      </c>
      <c r="M32" s="31" t="str" cm="1">
        <f t="array" ref="M32">IFERROR(INDEX($D$5:$D$34,MATCH(宛先!E32,メールアドレス!$C$5:$C$34,0),)&amp;IF(COUNTBLANK($M33:M$34)=34-ROW(),"",","),"")</f>
        <v/>
      </c>
    </row>
    <row r="33" spans="3:13" x14ac:dyDescent="0.45">
      <c r="C33" s="2"/>
      <c r="D33" s="3"/>
      <c r="K33" s="29" t="str" cm="1">
        <f t="array" ref="K33">IFERROR(INDEX($D$5:$D$34,MATCH(宛先!C33,メールアドレス!$C$5:$C$34,0),)&amp;IF(COUNTBLANK(K34:$K$34)=34-ROW(),"",","),"")</f>
        <v/>
      </c>
      <c r="L33" s="30" t="str" cm="1">
        <f t="array" ref="L33">IFERROR(INDEX($D$5:$D$34,MATCH(宛先!D33,メールアドレス!$C$5:$C$34,0),)&amp;IF(COUNTBLANK($L34:L$34)=34-ROW(),"",","),"")</f>
        <v/>
      </c>
      <c r="M33" s="31" t="str" cm="1">
        <f t="array" ref="M33">IFERROR(INDEX($D$5:$D$34,MATCH(宛先!E33,メールアドレス!$C$5:$C$34,0),)&amp;IF(COUNTBLANK($M34:M$34)=34-ROW(),"",","),"")</f>
        <v/>
      </c>
    </row>
    <row r="34" spans="3:13" ht="18.600000000000001" thickBot="1" x14ac:dyDescent="0.5">
      <c r="C34" s="4"/>
      <c r="D34" s="5"/>
      <c r="K34" s="32" t="str" cm="1">
        <f t="array" ref="K34">IFERROR(INDEX($D$5:$D$34,MATCH(宛先!C34,メールアドレス!$C$5:$C$34,0),),"")</f>
        <v/>
      </c>
      <c r="L34" s="33" t="str" cm="1">
        <f t="array" ref="L34">IFERROR(INDEX($D$5:$D$34,MATCH(宛先!D34,メールアドレス!$C$5:$C$34,0),),"")</f>
        <v/>
      </c>
      <c r="M34" s="34" t="str" cm="1">
        <f t="array" ref="M34">IFERROR(INDEX($D$5:$D$34,MATCH(宛先!E34,メールアドレス!$C$5:$C$34,0),),"")</f>
        <v/>
      </c>
    </row>
    <row r="35" spans="3:13" x14ac:dyDescent="0.45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15</vt:i4>
      </vt:variant>
    </vt:vector>
  </HeadingPairs>
  <TitlesOfParts>
    <vt:vector size="17" baseType="lpstr">
      <vt:lpstr>宛先</vt:lpstr>
      <vt:lpstr>メールアドレス</vt:lpstr>
      <vt:lpstr>Bcc</vt:lpstr>
      <vt:lpstr>Body</vt:lpstr>
      <vt:lpstr>Cc</vt:lpstr>
      <vt:lpstr>File</vt:lpstr>
      <vt:lpstr>Format</vt:lpstr>
      <vt:lpstr>Input_1</vt:lpstr>
      <vt:lpstr>Input_2</vt:lpstr>
      <vt:lpstr>Input_3</vt:lpstr>
      <vt:lpstr>Input_4</vt:lpstr>
      <vt:lpstr>Input_5</vt:lpstr>
      <vt:lpstr>Subject</vt:lpstr>
      <vt:lpstr>To</vt:lpstr>
      <vt:lpstr>URL_1</vt:lpstr>
      <vt:lpstr>URL_2</vt:lpstr>
      <vt:lpstr>URL_3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西村翼</dc:creator>
  <cp:lastModifiedBy>西村 翼</cp:lastModifiedBy>
  <dcterms:created xsi:type="dcterms:W3CDTF">2023-01-29T10:41:01Z</dcterms:created>
  <dcterms:modified xsi:type="dcterms:W3CDTF">2023-01-31T16:00:21Z</dcterms:modified>
</cp:coreProperties>
</file>